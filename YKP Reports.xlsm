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rvis\Desktop\Macro\Freelance\Sushil\"/>
    </mc:Choice>
  </mc:AlternateContent>
  <xr:revisionPtr revIDLastSave="0" documentId="13_ncr:1_{5C53A7AC-6515-47DE-9C44-95995F29C87C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List" sheetId="8" state="hidden" r:id="rId1"/>
    <sheet name="Dashboard" sheetId="15" r:id="rId2"/>
    <sheet name="JEL DCR" sheetId="14" r:id="rId3"/>
  </sheets>
  <externalReferences>
    <externalReference r:id="rId4"/>
    <externalReference r:id="rId5"/>
    <externalReference r:id="rId6"/>
  </externalReferences>
  <definedNames>
    <definedName name="_xlnm._FilterDatabase" localSheetId="2" hidden="1">'JEL DCR'!$A$4:$W$423</definedName>
    <definedName name="_xlnm.Print_Area" localSheetId="2">'JEL DCR'!$A$1:$W$351</definedName>
    <definedName name="_xlnm.Print_Titles" localSheetId="2">'JEL DCR'!$1:$4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50" i="14" l="1"/>
  <c r="V250" i="14" s="1"/>
  <c r="B249" i="14"/>
  <c r="S249" i="14" s="1"/>
  <c r="B248" i="14"/>
  <c r="T248" i="14" s="1"/>
  <c r="N249" i="14" l="1"/>
  <c r="T249" i="14"/>
  <c r="L249" i="14"/>
  <c r="Q249" i="14"/>
  <c r="V249" i="14"/>
  <c r="M249" i="14"/>
  <c r="P249" i="14" s="1"/>
  <c r="R249" i="14"/>
  <c r="J249" i="14"/>
  <c r="U249" i="14"/>
  <c r="Q248" i="14"/>
  <c r="J248" i="14"/>
  <c r="R248" i="14"/>
  <c r="M248" i="14"/>
  <c r="P248" i="14" s="1"/>
  <c r="U248" i="14"/>
  <c r="N248" i="14"/>
  <c r="V248" i="14"/>
  <c r="K250" i="14"/>
  <c r="O250" i="14"/>
  <c r="S250" i="14"/>
  <c r="L250" i="14"/>
  <c r="T250" i="14"/>
  <c r="K248" i="14"/>
  <c r="O248" i="14"/>
  <c r="S248" i="14"/>
  <c r="M250" i="14"/>
  <c r="P250" i="14" s="1"/>
  <c r="Q250" i="14"/>
  <c r="U250" i="14"/>
  <c r="L248" i="14"/>
  <c r="K249" i="14"/>
  <c r="O249" i="14"/>
  <c r="J250" i="14"/>
  <c r="H250" i="14" s="1"/>
  <c r="N250" i="14"/>
  <c r="R250" i="14"/>
  <c r="B196" i="14"/>
  <c r="S196" i="14" s="1"/>
  <c r="B195" i="14"/>
  <c r="B194" i="14"/>
  <c r="B108" i="14"/>
  <c r="S108" i="14" s="1"/>
  <c r="B107" i="14"/>
  <c r="B106" i="14"/>
  <c r="S106" i="14" s="1"/>
  <c r="I249" i="14" l="1"/>
  <c r="W249" i="14" s="1"/>
  <c r="H249" i="14"/>
  <c r="H248" i="14"/>
  <c r="I248" i="14"/>
  <c r="W248" i="14" s="1"/>
  <c r="I250" i="14"/>
  <c r="W250" i="14" s="1"/>
  <c r="R196" i="14"/>
  <c r="J196" i="14"/>
  <c r="Q196" i="14"/>
  <c r="J195" i="14"/>
  <c r="R195" i="14"/>
  <c r="J194" i="14"/>
  <c r="R194" i="14"/>
  <c r="Q195" i="14"/>
  <c r="L196" i="14"/>
  <c r="K194" i="14"/>
  <c r="S194" i="14"/>
  <c r="L194" i="14"/>
  <c r="K195" i="14"/>
  <c r="S195" i="14"/>
  <c r="Q194" i="14"/>
  <c r="L195" i="14"/>
  <c r="K196" i="14"/>
  <c r="L106" i="14"/>
  <c r="K107" i="14"/>
  <c r="S107" i="14"/>
  <c r="J108" i="14"/>
  <c r="R108" i="14"/>
  <c r="Q106" i="14"/>
  <c r="L107" i="14"/>
  <c r="J106" i="14"/>
  <c r="R106" i="14"/>
  <c r="Q107" i="14"/>
  <c r="L108" i="14"/>
  <c r="K106" i="14"/>
  <c r="J107" i="14"/>
  <c r="R107" i="14"/>
  <c r="Q108" i="14"/>
  <c r="K108" i="14"/>
  <c r="B171" i="14"/>
  <c r="B170" i="14"/>
  <c r="L170" i="14" s="1"/>
  <c r="B227" i="14"/>
  <c r="T227" i="14" s="1"/>
  <c r="H107" i="14" l="1"/>
  <c r="H194" i="14"/>
  <c r="I194" i="14"/>
  <c r="H195" i="14"/>
  <c r="T170" i="14"/>
  <c r="I106" i="14"/>
  <c r="H106" i="14"/>
  <c r="R227" i="14"/>
  <c r="R171" i="14"/>
  <c r="U227" i="14"/>
  <c r="J227" i="14"/>
  <c r="V227" i="14"/>
  <c r="Q227" i="14"/>
  <c r="S170" i="14"/>
  <c r="W170" i="14" s="1"/>
  <c r="J170" i="14"/>
  <c r="J171" i="14"/>
  <c r="K171" i="14"/>
  <c r="S171" i="14"/>
  <c r="L171" i="14"/>
  <c r="Q171" i="14"/>
  <c r="Q170" i="14"/>
  <c r="U170" i="14"/>
  <c r="R170" i="14"/>
  <c r="V170" i="14"/>
  <c r="K170" i="14"/>
  <c r="K227" i="14"/>
  <c r="S227" i="14"/>
  <c r="L227" i="14"/>
  <c r="I171" i="14" l="1"/>
  <c r="H170" i="14"/>
  <c r="B47" i="14"/>
  <c r="S47" i="14" s="1"/>
  <c r="Q47" i="14" l="1"/>
  <c r="V47" i="14"/>
  <c r="R47" i="14"/>
  <c r="J47" i="14"/>
  <c r="T47" i="14"/>
  <c r="L47" i="14"/>
  <c r="U47" i="14"/>
  <c r="K47" i="14"/>
  <c r="B351" i="14"/>
  <c r="S351" i="14" s="1"/>
  <c r="B350" i="14"/>
  <c r="S350" i="14" s="1"/>
  <c r="B349" i="14"/>
  <c r="R349" i="14" l="1"/>
  <c r="Q351" i="14"/>
  <c r="L351" i="14"/>
  <c r="J350" i="14"/>
  <c r="Q350" i="14"/>
  <c r="L350" i="14"/>
  <c r="R350" i="14"/>
  <c r="J349" i="14"/>
  <c r="K349" i="14"/>
  <c r="S349" i="14"/>
  <c r="L349" i="14"/>
  <c r="K350" i="14"/>
  <c r="J351" i="14"/>
  <c r="R351" i="14"/>
  <c r="Q349" i="14"/>
  <c r="K351" i="14"/>
  <c r="B348" i="14"/>
  <c r="S348" i="14" s="1"/>
  <c r="B347" i="14"/>
  <c r="S347" i="14" s="1"/>
  <c r="B346" i="14"/>
  <c r="B345" i="14"/>
  <c r="S345" i="14" s="1"/>
  <c r="B344" i="14"/>
  <c r="S344" i="14" s="1"/>
  <c r="B343" i="14"/>
  <c r="I349" i="14" l="1"/>
  <c r="H349" i="14"/>
  <c r="H350" i="14"/>
  <c r="H351" i="14"/>
  <c r="L348" i="14"/>
  <c r="J347" i="14"/>
  <c r="Q347" i="14"/>
  <c r="L347" i="14"/>
  <c r="R347" i="14"/>
  <c r="Q346" i="14"/>
  <c r="J346" i="14"/>
  <c r="I346" i="14" s="1"/>
  <c r="R346" i="14"/>
  <c r="L345" i="14"/>
  <c r="L344" i="14"/>
  <c r="R344" i="14"/>
  <c r="J344" i="14"/>
  <c r="Q344" i="14"/>
  <c r="Q343" i="14"/>
  <c r="J343" i="14"/>
  <c r="R343" i="14"/>
  <c r="K343" i="14"/>
  <c r="S343" i="14"/>
  <c r="Q345" i="14"/>
  <c r="K346" i="14"/>
  <c r="S346" i="14"/>
  <c r="Q348" i="14"/>
  <c r="L343" i="14"/>
  <c r="K344" i="14"/>
  <c r="J345" i="14"/>
  <c r="R345" i="14"/>
  <c r="L346" i="14"/>
  <c r="K347" i="14"/>
  <c r="J348" i="14"/>
  <c r="R348" i="14"/>
  <c r="K345" i="14"/>
  <c r="K348" i="14"/>
  <c r="B219" i="14"/>
  <c r="S219" i="14" s="1"/>
  <c r="B46" i="14"/>
  <c r="T46" i="14" s="1"/>
  <c r="H348" i="14" l="1"/>
  <c r="H346" i="14"/>
  <c r="I343" i="14"/>
  <c r="H343" i="14"/>
  <c r="H344" i="14"/>
  <c r="H345" i="14"/>
  <c r="V46" i="14"/>
  <c r="I47" i="14" s="1"/>
  <c r="H347" i="14"/>
  <c r="J219" i="14"/>
  <c r="R219" i="14"/>
  <c r="V219" i="14"/>
  <c r="Q46" i="14"/>
  <c r="J46" i="14"/>
  <c r="H46" i="14" s="1"/>
  <c r="R46" i="14"/>
  <c r="L219" i="14"/>
  <c r="T219" i="14"/>
  <c r="U46" i="14"/>
  <c r="Q219" i="14"/>
  <c r="U219" i="14"/>
  <c r="K219" i="14"/>
  <c r="K46" i="14"/>
  <c r="S46" i="14"/>
  <c r="L46" i="14"/>
  <c r="B342" i="14"/>
  <c r="S342" i="14" s="1"/>
  <c r="B341" i="14"/>
  <c r="B340" i="14"/>
  <c r="B339" i="14"/>
  <c r="S339" i="14" s="1"/>
  <c r="B338" i="14"/>
  <c r="B337" i="14"/>
  <c r="R337" i="14" l="1"/>
  <c r="R342" i="14"/>
  <c r="Q342" i="14"/>
  <c r="Q341" i="14"/>
  <c r="R341" i="14"/>
  <c r="R340" i="14"/>
  <c r="R339" i="14"/>
  <c r="Q339" i="14"/>
  <c r="Q338" i="14"/>
  <c r="R338" i="14"/>
  <c r="J337" i="14"/>
  <c r="S340" i="14"/>
  <c r="K337" i="14"/>
  <c r="S337" i="14"/>
  <c r="L337" i="14"/>
  <c r="S338" i="14"/>
  <c r="S341" i="14"/>
  <c r="Q337" i="14"/>
  <c r="Q340" i="14"/>
  <c r="B336" i="14"/>
  <c r="S336" i="14" s="1"/>
  <c r="B335" i="14"/>
  <c r="B334" i="14"/>
  <c r="I337" i="14" l="1"/>
  <c r="R336" i="14"/>
  <c r="J334" i="14"/>
  <c r="L334" i="14"/>
  <c r="R334" i="14"/>
  <c r="S335" i="14"/>
  <c r="Q335" i="14"/>
  <c r="K334" i="14"/>
  <c r="S334" i="14"/>
  <c r="R335" i="14"/>
  <c r="Q336" i="14"/>
  <c r="Q334" i="14"/>
  <c r="B272" i="14"/>
  <c r="S272" i="14" s="1"/>
  <c r="B271" i="14"/>
  <c r="S271" i="14" s="1"/>
  <c r="B270" i="14"/>
  <c r="S270" i="14" s="1"/>
  <c r="B269" i="14"/>
  <c r="S269" i="14" s="1"/>
  <c r="B268" i="14"/>
  <c r="S268" i="14" s="1"/>
  <c r="B267" i="14"/>
  <c r="S267" i="14" s="1"/>
  <c r="I334" i="14" l="1"/>
  <c r="R270" i="14"/>
  <c r="Q271" i="14"/>
  <c r="Q270" i="14"/>
  <c r="Q268" i="14"/>
  <c r="J267" i="14"/>
  <c r="Q267" i="14"/>
  <c r="L267" i="14"/>
  <c r="R267" i="14"/>
  <c r="K267" i="14"/>
  <c r="R268" i="14"/>
  <c r="Q269" i="14"/>
  <c r="R271" i="14"/>
  <c r="Q272" i="14"/>
  <c r="R269" i="14"/>
  <c r="R272" i="14"/>
  <c r="B45" i="14"/>
  <c r="S45" i="14" s="1"/>
  <c r="W45" i="14" s="1"/>
  <c r="J45" i="14" l="1"/>
  <c r="H45" i="14" s="1"/>
  <c r="I267" i="14"/>
  <c r="Q45" i="14"/>
  <c r="U45" i="14"/>
  <c r="R45" i="14"/>
  <c r="V45" i="14"/>
  <c r="L45" i="14"/>
  <c r="T45" i="14"/>
  <c r="K45" i="14"/>
  <c r="B333" i="14"/>
  <c r="S333" i="14" s="1"/>
  <c r="B332" i="14"/>
  <c r="S332" i="14" s="1"/>
  <c r="B331" i="14"/>
  <c r="S331" i="14" s="1"/>
  <c r="B330" i="14"/>
  <c r="S330" i="14" s="1"/>
  <c r="B329" i="14"/>
  <c r="S329" i="14" s="1"/>
  <c r="B328" i="14"/>
  <c r="S328" i="14" s="1"/>
  <c r="I46" i="14" l="1"/>
  <c r="R328" i="14"/>
  <c r="J328" i="14"/>
  <c r="I328" i="14" s="1"/>
  <c r="L328" i="14"/>
  <c r="L331" i="14"/>
  <c r="Q328" i="14"/>
  <c r="Q329" i="14"/>
  <c r="R331" i="14"/>
  <c r="Q332" i="14"/>
  <c r="J331" i="14"/>
  <c r="I331" i="14" s="1"/>
  <c r="Q331" i="14"/>
  <c r="K328" i="14"/>
  <c r="R329" i="14"/>
  <c r="Q330" i="14"/>
  <c r="K331" i="14"/>
  <c r="R332" i="14"/>
  <c r="Q333" i="14"/>
  <c r="R330" i="14"/>
  <c r="R333" i="14"/>
  <c r="B247" i="14"/>
  <c r="S247" i="14" s="1"/>
  <c r="B246" i="14"/>
  <c r="B245" i="14"/>
  <c r="B226" i="14"/>
  <c r="B218" i="14"/>
  <c r="S218" i="14" s="1"/>
  <c r="S245" i="14" l="1"/>
  <c r="V245" i="14"/>
  <c r="U245" i="14"/>
  <c r="T245" i="14"/>
  <c r="U226" i="14"/>
  <c r="Q226" i="14"/>
  <c r="J226" i="14"/>
  <c r="H226" i="14" s="1"/>
  <c r="V226" i="14"/>
  <c r="R226" i="14"/>
  <c r="L245" i="14"/>
  <c r="Q245" i="14"/>
  <c r="J245" i="14"/>
  <c r="I245" i="14" s="1"/>
  <c r="R245" i="14"/>
  <c r="R247" i="14"/>
  <c r="S246" i="14"/>
  <c r="Q246" i="14"/>
  <c r="K245" i="14"/>
  <c r="R246" i="14"/>
  <c r="Q247" i="14"/>
  <c r="K226" i="14"/>
  <c r="S226" i="14"/>
  <c r="L226" i="14"/>
  <c r="T226" i="14"/>
  <c r="Q218" i="14"/>
  <c r="U218" i="14"/>
  <c r="J218" i="14"/>
  <c r="H218" i="14" s="1"/>
  <c r="R218" i="14"/>
  <c r="V218" i="14"/>
  <c r="L218" i="14"/>
  <c r="T218" i="14"/>
  <c r="K218" i="14"/>
  <c r="B327" i="14"/>
  <c r="S327" i="14" s="1"/>
  <c r="B326" i="14"/>
  <c r="S326" i="14" s="1"/>
  <c r="B325" i="14"/>
  <c r="I227" i="14" l="1"/>
  <c r="I219" i="14"/>
  <c r="R326" i="14"/>
  <c r="K325" i="14"/>
  <c r="S325" i="14"/>
  <c r="Q327" i="14"/>
  <c r="L325" i="14"/>
  <c r="Q325" i="14"/>
  <c r="J325" i="14"/>
  <c r="R325" i="14"/>
  <c r="Q326" i="14"/>
  <c r="R327" i="14"/>
  <c r="B324" i="14"/>
  <c r="S324" i="14" s="1"/>
  <c r="B323" i="14"/>
  <c r="B322" i="14"/>
  <c r="I325" i="14" l="1"/>
  <c r="R324" i="14"/>
  <c r="Q324" i="14"/>
  <c r="Q323" i="14"/>
  <c r="R323" i="14"/>
  <c r="J322" i="14"/>
  <c r="R322" i="14"/>
  <c r="K322" i="14"/>
  <c r="S322" i="14"/>
  <c r="L322" i="14"/>
  <c r="S323" i="14"/>
  <c r="Q322" i="14"/>
  <c r="B244" i="14"/>
  <c r="S244" i="14" s="1"/>
  <c r="B243" i="14"/>
  <c r="S243" i="14" s="1"/>
  <c r="B242" i="14"/>
  <c r="U242" i="14" s="1"/>
  <c r="I322" i="14" l="1"/>
  <c r="R243" i="14"/>
  <c r="R242" i="14"/>
  <c r="Q244" i="14"/>
  <c r="V242" i="14"/>
  <c r="J242" i="14"/>
  <c r="Q243" i="14"/>
  <c r="L242" i="14"/>
  <c r="T242" i="14"/>
  <c r="R244" i="14"/>
  <c r="K242" i="14"/>
  <c r="S242" i="14"/>
  <c r="Q242" i="14"/>
  <c r="B266" i="14"/>
  <c r="S266" i="14" s="1"/>
  <c r="B265" i="14"/>
  <c r="S265" i="14" s="1"/>
  <c r="B264" i="14"/>
  <c r="I242" i="14" l="1"/>
  <c r="W242" i="14"/>
  <c r="Q265" i="14"/>
  <c r="R265" i="14"/>
  <c r="Q264" i="14"/>
  <c r="J264" i="14"/>
  <c r="R264" i="14"/>
  <c r="K264" i="14"/>
  <c r="S264" i="14"/>
  <c r="Q266" i="14"/>
  <c r="L264" i="14"/>
  <c r="R266" i="14"/>
  <c r="B321" i="14"/>
  <c r="S321" i="14" s="1"/>
  <c r="B320" i="14"/>
  <c r="S320" i="14" s="1"/>
  <c r="B319" i="14"/>
  <c r="B105" i="14"/>
  <c r="S105" i="14" s="1"/>
  <c r="B104" i="14"/>
  <c r="B103" i="14"/>
  <c r="U103" i="14" s="1"/>
  <c r="R319" i="14" l="1"/>
  <c r="J319" i="14"/>
  <c r="I319" i="14" s="1"/>
  <c r="I264" i="14"/>
  <c r="R103" i="14"/>
  <c r="R105" i="14"/>
  <c r="Q321" i="14"/>
  <c r="Q320" i="14"/>
  <c r="R320" i="14"/>
  <c r="K319" i="14"/>
  <c r="S319" i="14"/>
  <c r="L319" i="14"/>
  <c r="R321" i="14"/>
  <c r="Q319" i="14"/>
  <c r="Q105" i="14"/>
  <c r="Q104" i="14"/>
  <c r="R104" i="14"/>
  <c r="V103" i="14"/>
  <c r="J103" i="14"/>
  <c r="K103" i="14"/>
  <c r="S103" i="14"/>
  <c r="L103" i="14"/>
  <c r="T103" i="14"/>
  <c r="S104" i="14"/>
  <c r="Q103" i="14"/>
  <c r="B211" i="14"/>
  <c r="S211" i="14" s="1"/>
  <c r="I103" i="14" l="1"/>
  <c r="L211" i="14"/>
  <c r="T211" i="14"/>
  <c r="Q211" i="14"/>
  <c r="U211" i="14"/>
  <c r="J211" i="14"/>
  <c r="R211" i="14"/>
  <c r="V211" i="14"/>
  <c r="K211" i="14"/>
  <c r="B231" i="14"/>
  <c r="V231" i="14" s="1"/>
  <c r="W211" i="14" l="1"/>
  <c r="K231" i="14"/>
  <c r="S231" i="14"/>
  <c r="L231" i="14"/>
  <c r="T231" i="14"/>
  <c r="Q231" i="14"/>
  <c r="U231" i="14"/>
  <c r="J231" i="14"/>
  <c r="R231" i="14"/>
  <c r="W231" i="14" l="1"/>
  <c r="B318" i="14" l="1"/>
  <c r="S318" i="14" s="1"/>
  <c r="B317" i="14"/>
  <c r="B316" i="14"/>
  <c r="S316" i="14" s="1"/>
  <c r="B315" i="14"/>
  <c r="S315" i="14" s="1"/>
  <c r="B314" i="14"/>
  <c r="B313" i="14"/>
  <c r="S313" i="14" s="1"/>
  <c r="Q313" i="14" l="1"/>
  <c r="L313" i="14"/>
  <c r="J313" i="14"/>
  <c r="I313" i="14" s="1"/>
  <c r="R318" i="14"/>
  <c r="R316" i="14"/>
  <c r="J316" i="14"/>
  <c r="L316" i="14"/>
  <c r="Q316" i="14"/>
  <c r="R315" i="14"/>
  <c r="R313" i="14"/>
  <c r="S314" i="14"/>
  <c r="S317" i="14"/>
  <c r="Q314" i="14"/>
  <c r="Q317" i="14"/>
  <c r="K313" i="14"/>
  <c r="R314" i="14"/>
  <c r="Q315" i="14"/>
  <c r="K316" i="14"/>
  <c r="R317" i="14"/>
  <c r="Q318" i="14"/>
  <c r="B241" i="14"/>
  <c r="S241" i="14" s="1"/>
  <c r="B240" i="14"/>
  <c r="S240" i="14" s="1"/>
  <c r="B239" i="14"/>
  <c r="I316" i="14" l="1"/>
  <c r="R239" i="14"/>
  <c r="J239" i="14"/>
  <c r="Q239" i="14"/>
  <c r="Q240" i="14"/>
  <c r="R240" i="14"/>
  <c r="K239" i="14"/>
  <c r="S239" i="14"/>
  <c r="Q241" i="14"/>
  <c r="L239" i="14"/>
  <c r="R241" i="14"/>
  <c r="B312" i="14"/>
  <c r="S312" i="14" s="1"/>
  <c r="B311" i="14"/>
  <c r="S311" i="14" s="1"/>
  <c r="B310" i="14"/>
  <c r="Q310" i="14" s="1"/>
  <c r="B263" i="14"/>
  <c r="S263" i="14" s="1"/>
  <c r="B262" i="14"/>
  <c r="B261" i="14"/>
  <c r="Q263" i="14" l="1"/>
  <c r="I239" i="14"/>
  <c r="Q312" i="14"/>
  <c r="R311" i="14"/>
  <c r="K310" i="14"/>
  <c r="S310" i="14"/>
  <c r="R261" i="14"/>
  <c r="J310" i="14"/>
  <c r="R310" i="14"/>
  <c r="Q311" i="14"/>
  <c r="R263" i="14"/>
  <c r="L310" i="14"/>
  <c r="R312" i="14"/>
  <c r="R262" i="14"/>
  <c r="Q262" i="14"/>
  <c r="J261" i="14"/>
  <c r="K261" i="14"/>
  <c r="S261" i="14"/>
  <c r="L261" i="14"/>
  <c r="S262" i="14"/>
  <c r="Q261" i="14"/>
  <c r="I310" i="14" l="1"/>
  <c r="I261" i="14"/>
  <c r="B309" i="14"/>
  <c r="S309" i="14" s="1"/>
  <c r="B308" i="14"/>
  <c r="S308" i="14" s="1"/>
  <c r="B307" i="14"/>
  <c r="R307" i="14" l="1"/>
  <c r="J307" i="14"/>
  <c r="I307" i="14" s="1"/>
  <c r="Q308" i="14"/>
  <c r="R308" i="14"/>
  <c r="K307" i="14"/>
  <c r="S307" i="14"/>
  <c r="Q309" i="14"/>
  <c r="L307" i="14"/>
  <c r="R309" i="14"/>
  <c r="Q307" i="14"/>
  <c r="B306" i="14"/>
  <c r="S306" i="14" s="1"/>
  <c r="B305" i="14"/>
  <c r="B304" i="14"/>
  <c r="R304" i="14" l="1"/>
  <c r="R306" i="14"/>
  <c r="Q306" i="14"/>
  <c r="Q305" i="14"/>
  <c r="R305" i="14"/>
  <c r="J304" i="14"/>
  <c r="K304" i="14"/>
  <c r="S304" i="14"/>
  <c r="L304" i="14"/>
  <c r="S305" i="14"/>
  <c r="Q304" i="14"/>
  <c r="B303" i="14"/>
  <c r="S303" i="14" s="1"/>
  <c r="B302" i="14"/>
  <c r="B301" i="14"/>
  <c r="I304" i="14" l="1"/>
  <c r="R303" i="14"/>
  <c r="Q303" i="14"/>
  <c r="Q302" i="14"/>
  <c r="R302" i="14"/>
  <c r="J301" i="14"/>
  <c r="R301" i="14"/>
  <c r="L301" i="14"/>
  <c r="S302" i="14"/>
  <c r="K301" i="14"/>
  <c r="S301" i="14"/>
  <c r="Q301" i="14"/>
  <c r="B238" i="14"/>
  <c r="S238" i="14" s="1"/>
  <c r="B237" i="14"/>
  <c r="B236" i="14"/>
  <c r="S236" i="14" s="1"/>
  <c r="I301" i="14" l="1"/>
  <c r="R238" i="14"/>
  <c r="L236" i="14"/>
  <c r="Q236" i="14"/>
  <c r="V236" i="14"/>
  <c r="R236" i="14"/>
  <c r="T236" i="14"/>
  <c r="J236" i="14"/>
  <c r="U236" i="14"/>
  <c r="Q237" i="14"/>
  <c r="K236" i="14"/>
  <c r="R237" i="14"/>
  <c r="Q238" i="14"/>
  <c r="S237" i="14"/>
  <c r="B235" i="14"/>
  <c r="S235" i="14" s="1"/>
  <c r="B234" i="14"/>
  <c r="B233" i="14"/>
  <c r="U233" i="14" s="1"/>
  <c r="B232" i="14"/>
  <c r="S232" i="14" s="1"/>
  <c r="B230" i="14"/>
  <c r="T230" i="14" s="1"/>
  <c r="B229" i="14"/>
  <c r="K229" i="14" l="1"/>
  <c r="J229" i="14"/>
  <c r="U229" i="14"/>
  <c r="L229" i="14"/>
  <c r="W236" i="14"/>
  <c r="I236" i="14"/>
  <c r="R233" i="14"/>
  <c r="R234" i="14"/>
  <c r="Q235" i="14"/>
  <c r="V233" i="14"/>
  <c r="J233" i="14"/>
  <c r="I233" i="14" s="1"/>
  <c r="Q234" i="14"/>
  <c r="R235" i="14"/>
  <c r="R229" i="14"/>
  <c r="R230" i="14"/>
  <c r="Q232" i="14"/>
  <c r="J230" i="14"/>
  <c r="U230" i="14"/>
  <c r="V230" i="14"/>
  <c r="I231" i="14" s="1"/>
  <c r="V229" i="14"/>
  <c r="Q230" i="14"/>
  <c r="R232" i="14"/>
  <c r="S229" i="14"/>
  <c r="K233" i="14"/>
  <c r="S233" i="14"/>
  <c r="T229" i="14"/>
  <c r="K230" i="14"/>
  <c r="S230" i="14"/>
  <c r="L233" i="14"/>
  <c r="T233" i="14"/>
  <c r="S234" i="14"/>
  <c r="Q229" i="14"/>
  <c r="L230" i="14"/>
  <c r="Q233" i="14"/>
  <c r="B300" i="14"/>
  <c r="S300" i="14" s="1"/>
  <c r="B299" i="14"/>
  <c r="B298" i="14"/>
  <c r="H229" i="14" l="1"/>
  <c r="H230" i="14"/>
  <c r="R300" i="14"/>
  <c r="I229" i="14"/>
  <c r="W229" i="14" s="1"/>
  <c r="I230" i="14"/>
  <c r="W233" i="14"/>
  <c r="R298" i="14"/>
  <c r="Q300" i="14"/>
  <c r="Q299" i="14"/>
  <c r="R299" i="14"/>
  <c r="J298" i="14"/>
  <c r="K298" i="14"/>
  <c r="S298" i="14"/>
  <c r="L298" i="14"/>
  <c r="S299" i="14"/>
  <c r="Q298" i="14"/>
  <c r="B228" i="14"/>
  <c r="B225" i="14"/>
  <c r="S225" i="14" s="1"/>
  <c r="B224" i="14"/>
  <c r="U224" i="14" s="1"/>
  <c r="B223" i="14"/>
  <c r="S223" i="14" s="1"/>
  <c r="B222" i="14"/>
  <c r="S222" i="14" s="1"/>
  <c r="B221" i="14"/>
  <c r="U221" i="14" s="1"/>
  <c r="B220" i="14"/>
  <c r="S220" i="14" s="1"/>
  <c r="B217" i="14"/>
  <c r="S217" i="14" s="1"/>
  <c r="B216" i="14"/>
  <c r="U216" i="14" s="1"/>
  <c r="S228" i="14" l="1"/>
  <c r="K228" i="14"/>
  <c r="J228" i="14"/>
  <c r="I228" i="14" s="1"/>
  <c r="L228" i="14"/>
  <c r="I298" i="14"/>
  <c r="Q217" i="14"/>
  <c r="Q225" i="14"/>
  <c r="R216" i="14"/>
  <c r="R224" i="14"/>
  <c r="R225" i="14"/>
  <c r="J216" i="14"/>
  <c r="V217" i="14"/>
  <c r="J224" i="14"/>
  <c r="I224" i="14" s="1"/>
  <c r="V225" i="14"/>
  <c r="R217" i="14"/>
  <c r="T222" i="14"/>
  <c r="V221" i="14"/>
  <c r="Q228" i="14"/>
  <c r="V216" i="14"/>
  <c r="T217" i="14"/>
  <c r="Q222" i="14"/>
  <c r="V222" i="14"/>
  <c r="V224" i="14"/>
  <c r="T225" i="14"/>
  <c r="Q220" i="14"/>
  <c r="J221" i="14"/>
  <c r="I221" i="14" s="1"/>
  <c r="U222" i="14"/>
  <c r="U217" i="14"/>
  <c r="R221" i="14"/>
  <c r="R222" i="14"/>
  <c r="Q223" i="14"/>
  <c r="U225" i="14"/>
  <c r="L216" i="14"/>
  <c r="T216" i="14"/>
  <c r="R220" i="14"/>
  <c r="L221" i="14"/>
  <c r="T221" i="14"/>
  <c r="R223" i="14"/>
  <c r="L224" i="14"/>
  <c r="T224" i="14"/>
  <c r="R228" i="14"/>
  <c r="K216" i="14"/>
  <c r="S216" i="14"/>
  <c r="K221" i="14"/>
  <c r="S221" i="14"/>
  <c r="K224" i="14"/>
  <c r="S224" i="14"/>
  <c r="Q216" i="14"/>
  <c r="Q221" i="14"/>
  <c r="Q224" i="14"/>
  <c r="B297" i="14"/>
  <c r="S297" i="14" s="1"/>
  <c r="B296" i="14"/>
  <c r="B295" i="14"/>
  <c r="H227" i="14" l="1"/>
  <c r="I218" i="14"/>
  <c r="I226" i="14"/>
  <c r="R297" i="14"/>
  <c r="R295" i="14"/>
  <c r="I216" i="14"/>
  <c r="Q297" i="14"/>
  <c r="Q296" i="14"/>
  <c r="R296" i="14"/>
  <c r="J295" i="14"/>
  <c r="K295" i="14"/>
  <c r="S295" i="14"/>
  <c r="L295" i="14"/>
  <c r="S296" i="14"/>
  <c r="Q295" i="14"/>
  <c r="B215" i="14"/>
  <c r="B214" i="14"/>
  <c r="V214" i="14" s="1"/>
  <c r="B213" i="14"/>
  <c r="S213" i="14" s="1"/>
  <c r="A255" i="14"/>
  <c r="A258" i="14" s="1"/>
  <c r="A261" i="14" s="1"/>
  <c r="A264" i="14" s="1"/>
  <c r="A267" i="14" s="1"/>
  <c r="A270" i="14" s="1"/>
  <c r="B260" i="14"/>
  <c r="B259" i="14"/>
  <c r="B258" i="14"/>
  <c r="B212" i="14"/>
  <c r="S212" i="14" s="1"/>
  <c r="B210" i="14"/>
  <c r="T210" i="14" s="1"/>
  <c r="B209" i="14"/>
  <c r="U209" i="14" s="1"/>
  <c r="I295" i="14" l="1"/>
  <c r="U213" i="14"/>
  <c r="L213" i="14"/>
  <c r="T213" i="14"/>
  <c r="R215" i="14"/>
  <c r="Q213" i="14"/>
  <c r="J213" i="14"/>
  <c r="R213" i="14"/>
  <c r="V213" i="14"/>
  <c r="Q214" i="14"/>
  <c r="U214" i="14"/>
  <c r="S214" i="14"/>
  <c r="T214" i="14"/>
  <c r="S215" i="14"/>
  <c r="K213" i="14"/>
  <c r="R214" i="14"/>
  <c r="Q215" i="14"/>
  <c r="R259" i="14"/>
  <c r="Q260" i="14"/>
  <c r="R260" i="14"/>
  <c r="L258" i="14"/>
  <c r="S259" i="14"/>
  <c r="S260" i="14"/>
  <c r="J258" i="14"/>
  <c r="R258" i="14"/>
  <c r="Q259" i="14"/>
  <c r="K258" i="14"/>
  <c r="S258" i="14"/>
  <c r="Q258" i="14"/>
  <c r="J209" i="14"/>
  <c r="Q210" i="14"/>
  <c r="R212" i="14"/>
  <c r="R210" i="14"/>
  <c r="R209" i="14"/>
  <c r="U210" i="14"/>
  <c r="V209" i="14"/>
  <c r="V210" i="14"/>
  <c r="I211" i="14" s="1"/>
  <c r="Q212" i="14"/>
  <c r="K209" i="14"/>
  <c r="S209" i="14"/>
  <c r="L209" i="14"/>
  <c r="T209" i="14"/>
  <c r="S210" i="14"/>
  <c r="Q209" i="14"/>
  <c r="B294" i="14"/>
  <c r="S294" i="14" s="1"/>
  <c r="B293" i="14"/>
  <c r="S293" i="14" s="1"/>
  <c r="B292" i="14"/>
  <c r="B208" i="14"/>
  <c r="S208" i="14" s="1"/>
  <c r="B207" i="14"/>
  <c r="B206" i="14"/>
  <c r="S206" i="14" s="1"/>
  <c r="B205" i="14"/>
  <c r="S205" i="14" s="1"/>
  <c r="B204" i="14"/>
  <c r="S204" i="14" s="1"/>
  <c r="B203" i="14"/>
  <c r="S203" i="14" s="1"/>
  <c r="R292" i="14" l="1"/>
  <c r="I213" i="14"/>
  <c r="W213" i="14"/>
  <c r="I258" i="14"/>
  <c r="I209" i="14"/>
  <c r="W209" i="14"/>
  <c r="V206" i="14"/>
  <c r="Q294" i="14"/>
  <c r="Q293" i="14"/>
  <c r="R293" i="14"/>
  <c r="J292" i="14"/>
  <c r="L292" i="14"/>
  <c r="R294" i="14"/>
  <c r="K292" i="14"/>
  <c r="S292" i="14"/>
  <c r="Q292" i="14"/>
  <c r="L206" i="14"/>
  <c r="R206" i="14"/>
  <c r="J206" i="14"/>
  <c r="I206" i="14" s="1"/>
  <c r="T206" i="14"/>
  <c r="Q206" i="14"/>
  <c r="Q204" i="14"/>
  <c r="U203" i="14"/>
  <c r="J203" i="14"/>
  <c r="Q203" i="14"/>
  <c r="V203" i="14"/>
  <c r="L203" i="14"/>
  <c r="R203" i="14"/>
  <c r="R208" i="14"/>
  <c r="T203" i="14"/>
  <c r="U206" i="14"/>
  <c r="Q207" i="14"/>
  <c r="K203" i="14"/>
  <c r="R204" i="14"/>
  <c r="Q205" i="14"/>
  <c r="K206" i="14"/>
  <c r="R207" i="14"/>
  <c r="Q208" i="14"/>
  <c r="R205" i="14"/>
  <c r="S207" i="14"/>
  <c r="B141" i="14"/>
  <c r="S141" i="14" s="1"/>
  <c r="U141" i="14" l="1"/>
  <c r="V141" i="14"/>
  <c r="L141" i="14"/>
  <c r="Q141" i="14"/>
  <c r="R141" i="14"/>
  <c r="J141" i="14"/>
  <c r="T141" i="14"/>
  <c r="I292" i="14"/>
  <c r="W206" i="14"/>
  <c r="I203" i="14"/>
  <c r="W203" i="14"/>
  <c r="K141" i="14"/>
  <c r="B187" i="14"/>
  <c r="S187" i="14" s="1"/>
  <c r="B186" i="14"/>
  <c r="B185" i="14"/>
  <c r="B184" i="14"/>
  <c r="S184" i="14" s="1"/>
  <c r="B183" i="14"/>
  <c r="B182" i="14"/>
  <c r="B202" i="14"/>
  <c r="S202" i="14" s="1"/>
  <c r="B201" i="14"/>
  <c r="B200" i="14"/>
  <c r="V200" i="14" s="1"/>
  <c r="K200" i="14" l="1"/>
  <c r="R186" i="14"/>
  <c r="U200" i="14"/>
  <c r="R200" i="14"/>
  <c r="R182" i="14"/>
  <c r="R185" i="14"/>
  <c r="J200" i="14"/>
  <c r="S200" i="14"/>
  <c r="W200" i="14" s="1"/>
  <c r="R187" i="14"/>
  <c r="Q187" i="14"/>
  <c r="Q186" i="14"/>
  <c r="J185" i="14"/>
  <c r="K185" i="14"/>
  <c r="S185" i="14"/>
  <c r="L185" i="14"/>
  <c r="S186" i="14"/>
  <c r="J182" i="14"/>
  <c r="I182" i="14" s="1"/>
  <c r="R184" i="14"/>
  <c r="Q185" i="14"/>
  <c r="Q184" i="14"/>
  <c r="Q183" i="14"/>
  <c r="R183" i="14"/>
  <c r="K182" i="14"/>
  <c r="S182" i="14"/>
  <c r="L182" i="14"/>
  <c r="S183" i="14"/>
  <c r="Q182" i="14"/>
  <c r="R202" i="14"/>
  <c r="Q202" i="14"/>
  <c r="Q201" i="14"/>
  <c r="R201" i="14"/>
  <c r="L200" i="14"/>
  <c r="T200" i="14"/>
  <c r="S201" i="14"/>
  <c r="Q200" i="14"/>
  <c r="B199" i="14"/>
  <c r="S199" i="14" s="1"/>
  <c r="B198" i="14"/>
  <c r="B197" i="14"/>
  <c r="U197" i="14" s="1"/>
  <c r="I200" i="14" l="1"/>
  <c r="I185" i="14"/>
  <c r="Q198" i="14"/>
  <c r="R199" i="14"/>
  <c r="R197" i="14"/>
  <c r="R198" i="14"/>
  <c r="S197" i="14"/>
  <c r="V197" i="14"/>
  <c r="Q199" i="14"/>
  <c r="T197" i="14"/>
  <c r="S198" i="14"/>
  <c r="Q197" i="14"/>
  <c r="B193" i="14"/>
  <c r="S193" i="14" s="1"/>
  <c r="B192" i="14"/>
  <c r="S192" i="14" s="1"/>
  <c r="B191" i="14"/>
  <c r="T191" i="14" s="1"/>
  <c r="Q192" i="14" l="1"/>
  <c r="R192" i="14"/>
  <c r="S191" i="14"/>
  <c r="Q191" i="14"/>
  <c r="V191" i="14"/>
  <c r="U191" i="14"/>
  <c r="R191" i="14"/>
  <c r="Q193" i="14"/>
  <c r="R193" i="14"/>
  <c r="B291" i="14"/>
  <c r="S291" i="14" s="1"/>
  <c r="B290" i="14"/>
  <c r="B289" i="14"/>
  <c r="B288" i="14"/>
  <c r="S288" i="14" s="1"/>
  <c r="B287" i="14"/>
  <c r="B286" i="14"/>
  <c r="R286" i="14" l="1"/>
  <c r="R291" i="14"/>
  <c r="Q291" i="14"/>
  <c r="Q290" i="14"/>
  <c r="R290" i="14"/>
  <c r="R289" i="14"/>
  <c r="R288" i="14"/>
  <c r="Q288" i="14"/>
  <c r="Q287" i="14"/>
  <c r="R287" i="14"/>
  <c r="S287" i="14"/>
  <c r="S286" i="14"/>
  <c r="S289" i="14"/>
  <c r="S290" i="14"/>
  <c r="Q286" i="14"/>
  <c r="Q289" i="14"/>
  <c r="B285" i="14" l="1"/>
  <c r="S285" i="14" s="1"/>
  <c r="B284" i="14"/>
  <c r="B283" i="14"/>
  <c r="Q285" i="14" l="1"/>
  <c r="R285" i="14"/>
  <c r="Q284" i="14"/>
  <c r="R284" i="14"/>
  <c r="R283" i="14"/>
  <c r="S283" i="14"/>
  <c r="S284" i="14"/>
  <c r="Q283" i="14"/>
  <c r="B257" i="14" l="1"/>
  <c r="S257" i="14" s="1"/>
  <c r="B256" i="14"/>
  <c r="S256" i="14" s="1"/>
  <c r="B255" i="14"/>
  <c r="R255" i="14" l="1"/>
  <c r="Q256" i="14"/>
  <c r="R256" i="14"/>
  <c r="Q257" i="14"/>
  <c r="R257" i="14"/>
  <c r="S255" i="14"/>
  <c r="Q255" i="14"/>
  <c r="B181" i="14"/>
  <c r="S181" i="14" s="1"/>
  <c r="B180" i="14"/>
  <c r="S180" i="14" s="1"/>
  <c r="B179" i="14"/>
  <c r="R180" i="14" l="1"/>
  <c r="Q181" i="14"/>
  <c r="R179" i="14"/>
  <c r="Q180" i="14"/>
  <c r="S179" i="14"/>
  <c r="R181" i="14"/>
  <c r="Q179" i="14"/>
  <c r="B152" i="14"/>
  <c r="S152" i="14" s="1"/>
  <c r="B151" i="14"/>
  <c r="B150" i="14"/>
  <c r="U150" i="14" s="1"/>
  <c r="B282" i="14"/>
  <c r="S282" i="14" s="1"/>
  <c r="B281" i="14"/>
  <c r="B280" i="14"/>
  <c r="R282" i="14" l="1"/>
  <c r="Q282" i="14"/>
  <c r="R280" i="14"/>
  <c r="Q152" i="14"/>
  <c r="R152" i="14"/>
  <c r="R151" i="14"/>
  <c r="S150" i="14"/>
  <c r="T150" i="14"/>
  <c r="S151" i="14"/>
  <c r="R150" i="14"/>
  <c r="V150" i="14"/>
  <c r="Q151" i="14"/>
  <c r="Q150" i="14"/>
  <c r="Q281" i="14"/>
  <c r="R281" i="14"/>
  <c r="S280" i="14"/>
  <c r="S281" i="14"/>
  <c r="Q280" i="14"/>
  <c r="B190" i="14"/>
  <c r="S190" i="14" s="1"/>
  <c r="B189" i="14"/>
  <c r="S189" i="14" s="1"/>
  <c r="B188" i="14"/>
  <c r="T188" i="14" s="1"/>
  <c r="R189" i="14" l="1"/>
  <c r="U188" i="14"/>
  <c r="T189" i="14"/>
  <c r="V188" i="14"/>
  <c r="Q188" i="14"/>
  <c r="U189" i="14"/>
  <c r="R188" i="14"/>
  <c r="Q189" i="14"/>
  <c r="V189" i="14"/>
  <c r="S188" i="14"/>
  <c r="Q190" i="14"/>
  <c r="R190" i="14"/>
  <c r="B178" i="14"/>
  <c r="S178" i="14" s="1"/>
  <c r="B177" i="14"/>
  <c r="B176" i="14"/>
  <c r="S176" i="14" s="1"/>
  <c r="B14" i="14"/>
  <c r="S14" i="14" s="1"/>
  <c r="R14" i="14" l="1"/>
  <c r="T14" i="14"/>
  <c r="U14" i="14"/>
  <c r="Q14" i="14"/>
  <c r="V14" i="14"/>
  <c r="R178" i="14"/>
  <c r="R176" i="14"/>
  <c r="Q176" i="14"/>
  <c r="Q177" i="14"/>
  <c r="R177" i="14"/>
  <c r="Q178" i="14"/>
  <c r="S177" i="14"/>
  <c r="B279" i="14"/>
  <c r="S279" i="14" s="1"/>
  <c r="B278" i="14"/>
  <c r="B277" i="14"/>
  <c r="W14" i="14" l="1"/>
  <c r="R277" i="14"/>
  <c r="Q279" i="14"/>
  <c r="R279" i="14"/>
  <c r="Q278" i="14"/>
  <c r="R278" i="14"/>
  <c r="S277" i="14"/>
  <c r="S278" i="14"/>
  <c r="Q277" i="14"/>
  <c r="B145" i="14"/>
  <c r="S145" i="14" s="1"/>
  <c r="R145" i="14" l="1"/>
  <c r="U145" i="14"/>
  <c r="Q145" i="14"/>
  <c r="V145" i="14"/>
  <c r="T145" i="14"/>
  <c r="B276" i="14" l="1"/>
  <c r="S276" i="14" s="1"/>
  <c r="B275" i="14"/>
  <c r="B274" i="14"/>
  <c r="A274" i="14"/>
  <c r="A277" i="14" s="1"/>
  <c r="A280" i="14" s="1"/>
  <c r="A283" i="14" s="1"/>
  <c r="A286" i="14" s="1"/>
  <c r="A289" i="14" s="1"/>
  <c r="A292" i="14" s="1"/>
  <c r="A295" i="14" s="1"/>
  <c r="A298" i="14" s="1"/>
  <c r="A301" i="14" s="1"/>
  <c r="A304" i="14" s="1"/>
  <c r="A307" i="14" s="1"/>
  <c r="A310" i="14" s="1"/>
  <c r="A313" i="14" s="1"/>
  <c r="A316" i="14" s="1"/>
  <c r="A319" i="14" s="1"/>
  <c r="A322" i="14" s="1"/>
  <c r="A325" i="14" s="1"/>
  <c r="A328" i="14" s="1"/>
  <c r="A331" i="14" s="1"/>
  <c r="A334" i="14" s="1"/>
  <c r="A337" i="14" s="1"/>
  <c r="A340" i="14" s="1"/>
  <c r="A343" i="14" s="1"/>
  <c r="A346" i="14" s="1"/>
  <c r="A349" i="14" s="1"/>
  <c r="R275" i="14" l="1"/>
  <c r="Q276" i="14"/>
  <c r="S275" i="14"/>
  <c r="R276" i="14"/>
  <c r="Q274" i="14"/>
  <c r="R274" i="14"/>
  <c r="Q275" i="14"/>
  <c r="S274" i="14"/>
  <c r="B175" i="14"/>
  <c r="B174" i="14"/>
  <c r="S174" i="14" s="1"/>
  <c r="B173" i="14"/>
  <c r="S173" i="14" s="1"/>
  <c r="R175" i="14" l="1"/>
  <c r="R173" i="14"/>
  <c r="T173" i="14"/>
  <c r="U173" i="14"/>
  <c r="Q173" i="14"/>
  <c r="V173" i="14"/>
  <c r="S175" i="14"/>
  <c r="Q174" i="14"/>
  <c r="R174" i="14"/>
  <c r="Q175" i="14"/>
  <c r="B172" i="14"/>
  <c r="B169" i="14"/>
  <c r="B168" i="14"/>
  <c r="B167" i="14"/>
  <c r="B166" i="14"/>
  <c r="B165" i="14"/>
  <c r="U165" i="14" s="1"/>
  <c r="B164" i="14"/>
  <c r="B163" i="14"/>
  <c r="S163" i="14" s="1"/>
  <c r="B162" i="14"/>
  <c r="B161" i="14"/>
  <c r="B160" i="14"/>
  <c r="S160" i="14" s="1"/>
  <c r="B159" i="14"/>
  <c r="U159" i="14" s="1"/>
  <c r="B158" i="14"/>
  <c r="B157" i="14"/>
  <c r="S157" i="14" s="1"/>
  <c r="B156" i="14"/>
  <c r="B155" i="14"/>
  <c r="B154" i="14"/>
  <c r="B153" i="14"/>
  <c r="J169" i="14" l="1"/>
  <c r="H169" i="14" s="1"/>
  <c r="S166" i="14"/>
  <c r="J166" i="14"/>
  <c r="S172" i="14"/>
  <c r="J172" i="14"/>
  <c r="S154" i="14"/>
  <c r="Q154" i="14"/>
  <c r="U153" i="14"/>
  <c r="L153" i="14"/>
  <c r="K153" i="14"/>
  <c r="J153" i="14"/>
  <c r="S169" i="14"/>
  <c r="U168" i="14"/>
  <c r="R168" i="14"/>
  <c r="R169" i="14"/>
  <c r="Q169" i="14"/>
  <c r="Q172" i="14"/>
  <c r="V168" i="14"/>
  <c r="T168" i="14"/>
  <c r="R172" i="14"/>
  <c r="S168" i="14"/>
  <c r="Q168" i="14"/>
  <c r="T166" i="14"/>
  <c r="V166" i="14"/>
  <c r="Q165" i="14"/>
  <c r="S165" i="14"/>
  <c r="R166" i="14"/>
  <c r="V163" i="14"/>
  <c r="Q164" i="14"/>
  <c r="S164" i="14"/>
  <c r="R163" i="14"/>
  <c r="T163" i="14"/>
  <c r="S161" i="14"/>
  <c r="V160" i="14"/>
  <c r="R160" i="14"/>
  <c r="T160" i="14"/>
  <c r="Q161" i="14"/>
  <c r="Q156" i="14"/>
  <c r="S156" i="14"/>
  <c r="R157" i="14"/>
  <c r="T154" i="14"/>
  <c r="V154" i="14"/>
  <c r="Q153" i="14"/>
  <c r="S153" i="14"/>
  <c r="R154" i="14"/>
  <c r="T162" i="14"/>
  <c r="V162" i="14"/>
  <c r="R162" i="14"/>
  <c r="R158" i="14"/>
  <c r="R155" i="14"/>
  <c r="Q158" i="14"/>
  <c r="T159" i="14"/>
  <c r="V159" i="14"/>
  <c r="R159" i="14"/>
  <c r="Q162" i="14"/>
  <c r="R167" i="14"/>
  <c r="S167" i="14"/>
  <c r="Q167" i="14"/>
  <c r="Q155" i="14"/>
  <c r="R156" i="14"/>
  <c r="S158" i="14"/>
  <c r="Q159" i="14"/>
  <c r="S162" i="14"/>
  <c r="R164" i="14"/>
  <c r="T153" i="14"/>
  <c r="V153" i="14"/>
  <c r="R153" i="14"/>
  <c r="S155" i="14"/>
  <c r="S159" i="14"/>
  <c r="R161" i="14"/>
  <c r="U162" i="14"/>
  <c r="T165" i="14"/>
  <c r="V165" i="14"/>
  <c r="R165" i="14"/>
  <c r="U154" i="14"/>
  <c r="Q157" i="14"/>
  <c r="Q160" i="14"/>
  <c r="U160" i="14"/>
  <c r="Q163" i="14"/>
  <c r="U163" i="14"/>
  <c r="Q166" i="14"/>
  <c r="U166" i="14"/>
  <c r="B254" i="14"/>
  <c r="S254" i="14" s="1"/>
  <c r="B253" i="14"/>
  <c r="B252" i="14"/>
  <c r="H171" i="14" l="1"/>
  <c r="R252" i="14"/>
  <c r="R254" i="14"/>
  <c r="Q254" i="14"/>
  <c r="R253" i="14"/>
  <c r="Q253" i="14"/>
  <c r="S252" i="14"/>
  <c r="S253" i="14"/>
  <c r="Q252" i="14"/>
  <c r="B149" i="14" l="1"/>
  <c r="S149" i="14" s="1"/>
  <c r="B148" i="14"/>
  <c r="U148" i="14" s="1"/>
  <c r="B147" i="14"/>
  <c r="S147" i="14" s="1"/>
  <c r="R148" i="14" l="1"/>
  <c r="Q149" i="14"/>
  <c r="V148" i="14"/>
  <c r="T147" i="14"/>
  <c r="S148" i="14"/>
  <c r="R149" i="14"/>
  <c r="Q147" i="14"/>
  <c r="U147" i="14"/>
  <c r="T148" i="14"/>
  <c r="R147" i="14"/>
  <c r="V147" i="14"/>
  <c r="Q148" i="14"/>
  <c r="W147" i="14" l="1"/>
  <c r="B60" i="14" l="1"/>
  <c r="S60" i="14" s="1"/>
  <c r="B59" i="14"/>
  <c r="B58" i="14"/>
  <c r="U58" i="14" s="1"/>
  <c r="B57" i="14"/>
  <c r="S57" i="14" s="1"/>
  <c r="B56" i="14"/>
  <c r="S56" i="14" s="1"/>
  <c r="B55" i="14"/>
  <c r="U55" i="14" s="1"/>
  <c r="B54" i="14"/>
  <c r="S54" i="14" s="1"/>
  <c r="B53" i="14"/>
  <c r="S53" i="14" s="1"/>
  <c r="B52" i="14"/>
  <c r="U52" i="14" s="1"/>
  <c r="B51" i="14"/>
  <c r="S51" i="14" s="1"/>
  <c r="B50" i="14"/>
  <c r="S50" i="14" s="1"/>
  <c r="B49" i="14"/>
  <c r="U49" i="14" s="1"/>
  <c r="B48" i="14"/>
  <c r="B44" i="14"/>
  <c r="S44" i="14" s="1"/>
  <c r="B43" i="14"/>
  <c r="U43" i="14" s="1"/>
  <c r="B42" i="14"/>
  <c r="S42" i="14" s="1"/>
  <c r="B41" i="14"/>
  <c r="S41" i="14" s="1"/>
  <c r="B40" i="14"/>
  <c r="T40" i="14" s="1"/>
  <c r="B39" i="14"/>
  <c r="B38" i="14"/>
  <c r="S38" i="14" s="1"/>
  <c r="B37" i="14"/>
  <c r="T37" i="14" s="1"/>
  <c r="B36" i="14"/>
  <c r="B35" i="14"/>
  <c r="S35" i="14" s="1"/>
  <c r="B34" i="14"/>
  <c r="S34" i="14" s="1"/>
  <c r="S48" i="14" l="1"/>
  <c r="J48" i="14"/>
  <c r="L48" i="14"/>
  <c r="K48" i="14"/>
  <c r="Q34" i="14"/>
  <c r="T44" i="14"/>
  <c r="U34" i="14"/>
  <c r="V44" i="14"/>
  <c r="R60" i="14"/>
  <c r="Q60" i="14"/>
  <c r="R59" i="14"/>
  <c r="R56" i="14"/>
  <c r="Q54" i="14"/>
  <c r="Q51" i="14"/>
  <c r="Q48" i="14"/>
  <c r="Q44" i="14"/>
  <c r="R44" i="14"/>
  <c r="T34" i="14"/>
  <c r="U50" i="14"/>
  <c r="Q57" i="14"/>
  <c r="S58" i="14"/>
  <c r="R50" i="14"/>
  <c r="U44" i="14"/>
  <c r="T50" i="14"/>
  <c r="R53" i="14"/>
  <c r="Q56" i="14"/>
  <c r="R58" i="14"/>
  <c r="V58" i="14"/>
  <c r="Q59" i="14"/>
  <c r="T58" i="14"/>
  <c r="S59" i="14"/>
  <c r="Q50" i="14"/>
  <c r="V50" i="14"/>
  <c r="Q53" i="14"/>
  <c r="Q58" i="14"/>
  <c r="R38" i="14"/>
  <c r="S43" i="14"/>
  <c r="R43" i="14"/>
  <c r="V43" i="14"/>
  <c r="R49" i="14"/>
  <c r="V49" i="14"/>
  <c r="R52" i="14"/>
  <c r="V52" i="14"/>
  <c r="R55" i="14"/>
  <c r="V55" i="14"/>
  <c r="R41" i="14"/>
  <c r="S49" i="14"/>
  <c r="S52" i="14"/>
  <c r="S55" i="14"/>
  <c r="Q39" i="14"/>
  <c r="Q42" i="14"/>
  <c r="T43" i="14"/>
  <c r="R48" i="14"/>
  <c r="T49" i="14"/>
  <c r="R51" i="14"/>
  <c r="T52" i="14"/>
  <c r="R54" i="14"/>
  <c r="T55" i="14"/>
  <c r="R57" i="14"/>
  <c r="Q43" i="14"/>
  <c r="Q49" i="14"/>
  <c r="Q52" i="14"/>
  <c r="Q55" i="14"/>
  <c r="S37" i="14"/>
  <c r="S40" i="14"/>
  <c r="Q37" i="14"/>
  <c r="U37" i="14"/>
  <c r="S39" i="14"/>
  <c r="Q40" i="14"/>
  <c r="U40" i="14"/>
  <c r="R37" i="14"/>
  <c r="V37" i="14"/>
  <c r="Q38" i="14"/>
  <c r="R40" i="14"/>
  <c r="V40" i="14"/>
  <c r="Q41" i="14"/>
  <c r="R39" i="14"/>
  <c r="R42" i="14"/>
  <c r="S36" i="14"/>
  <c r="R34" i="14"/>
  <c r="V34" i="14"/>
  <c r="Q35" i="14"/>
  <c r="R35" i="14"/>
  <c r="Q36" i="14"/>
  <c r="R36" i="14"/>
  <c r="B146" i="14"/>
  <c r="S146" i="14" s="1"/>
  <c r="B144" i="14"/>
  <c r="T144" i="14" s="1"/>
  <c r="B143" i="14"/>
  <c r="U143" i="14" s="1"/>
  <c r="H47" i="14" l="1"/>
  <c r="I48" i="14"/>
  <c r="I45" i="14"/>
  <c r="U144" i="14"/>
  <c r="R143" i="14"/>
  <c r="V144" i="14"/>
  <c r="Q146" i="14"/>
  <c r="V143" i="14"/>
  <c r="Q144" i="14"/>
  <c r="R144" i="14"/>
  <c r="R146" i="14"/>
  <c r="S143" i="14"/>
  <c r="T143" i="14"/>
  <c r="S144" i="14"/>
  <c r="Q143" i="14"/>
  <c r="B142" i="14"/>
  <c r="S142" i="14" s="1"/>
  <c r="B140" i="14"/>
  <c r="B139" i="14"/>
  <c r="T140" i="14" l="1"/>
  <c r="U139" i="14"/>
  <c r="R139" i="14"/>
  <c r="R142" i="14"/>
  <c r="Q142" i="14"/>
  <c r="Q140" i="14"/>
  <c r="R140" i="14"/>
  <c r="U140" i="14"/>
  <c r="V140" i="14"/>
  <c r="V139" i="14"/>
  <c r="S139" i="14"/>
  <c r="T139" i="14"/>
  <c r="S140" i="14"/>
  <c r="Q139" i="14"/>
  <c r="I141" i="14" l="1"/>
  <c r="B138" i="14"/>
  <c r="B137" i="14"/>
  <c r="S137" i="14" s="1"/>
  <c r="B136" i="14"/>
  <c r="T136" i="14" s="1"/>
  <c r="V136" i="14" l="1"/>
  <c r="U136" i="14"/>
  <c r="R137" i="14"/>
  <c r="R138" i="14"/>
  <c r="Q138" i="14"/>
  <c r="S136" i="14"/>
  <c r="Q136" i="14"/>
  <c r="S138" i="14"/>
  <c r="R136" i="14"/>
  <c r="Q137" i="14"/>
  <c r="B135" i="14" l="1"/>
  <c r="B134" i="14"/>
  <c r="B133" i="14"/>
  <c r="B132" i="14"/>
  <c r="B131" i="14"/>
  <c r="B130" i="14"/>
  <c r="B352" i="14"/>
  <c r="S132" i="14" l="1"/>
  <c r="T133" i="14"/>
  <c r="V133" i="14"/>
  <c r="U133" i="14"/>
  <c r="S135" i="14"/>
  <c r="Q131" i="14"/>
  <c r="R135" i="14"/>
  <c r="Q135" i="14"/>
  <c r="Q134" i="14"/>
  <c r="R134" i="14"/>
  <c r="R133" i="14"/>
  <c r="R130" i="14"/>
  <c r="S133" i="14"/>
  <c r="S134" i="14"/>
  <c r="Q133" i="14"/>
  <c r="R132" i="14"/>
  <c r="Q132" i="14"/>
  <c r="R131" i="14"/>
  <c r="S130" i="14"/>
  <c r="S131" i="14"/>
  <c r="Q130" i="14"/>
  <c r="B129" i="14"/>
  <c r="B128" i="14"/>
  <c r="B127" i="14"/>
  <c r="Q127" i="14" l="1"/>
  <c r="T127" i="14"/>
  <c r="S127" i="14"/>
  <c r="V127" i="14"/>
  <c r="R127" i="14"/>
  <c r="U127" i="14"/>
  <c r="U128" i="14"/>
  <c r="V128" i="14"/>
  <c r="T128" i="14"/>
  <c r="R129" i="14"/>
  <c r="S128" i="14"/>
  <c r="S129" i="14"/>
  <c r="Q128" i="14"/>
  <c r="R128" i="14"/>
  <c r="Q129" i="14"/>
  <c r="B126" i="14"/>
  <c r="B125" i="14"/>
  <c r="B124" i="14"/>
  <c r="V124" i="14" l="1"/>
  <c r="U124" i="14"/>
  <c r="T124" i="14"/>
  <c r="S126" i="14"/>
  <c r="T125" i="14"/>
  <c r="V125" i="14"/>
  <c r="U125" i="14"/>
  <c r="R126" i="14"/>
  <c r="Q126" i="14"/>
  <c r="Q125" i="14"/>
  <c r="R125" i="14"/>
  <c r="R124" i="14"/>
  <c r="S124" i="14"/>
  <c r="S125" i="14"/>
  <c r="Q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J67" i="14" s="1"/>
  <c r="B66" i="14"/>
  <c r="B65" i="14"/>
  <c r="B64" i="14"/>
  <c r="B63" i="14"/>
  <c r="B62" i="14"/>
  <c r="B61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M17" i="14" s="1"/>
  <c r="B16" i="14"/>
  <c r="B15" i="14"/>
  <c r="B13" i="14"/>
  <c r="B12" i="14"/>
  <c r="Q64" i="14" l="1"/>
  <c r="U64" i="14"/>
  <c r="R64" i="14"/>
  <c r="S64" i="14"/>
  <c r="V64" i="14"/>
  <c r="T64" i="14"/>
  <c r="J73" i="14"/>
  <c r="K73" i="14"/>
  <c r="S88" i="14"/>
  <c r="T88" i="14"/>
  <c r="R88" i="14"/>
  <c r="Q88" i="14"/>
  <c r="U12" i="14"/>
  <c r="T12" i="14"/>
  <c r="V12" i="14"/>
  <c r="V19" i="14"/>
  <c r="U19" i="14"/>
  <c r="T19" i="14"/>
  <c r="U70" i="14"/>
  <c r="T70" i="14"/>
  <c r="V70" i="14"/>
  <c r="V31" i="14"/>
  <c r="T31" i="14"/>
  <c r="U31" i="14"/>
  <c r="Q16" i="14"/>
  <c r="T16" i="14"/>
  <c r="U16" i="14"/>
  <c r="V16" i="14"/>
  <c r="T20" i="14"/>
  <c r="V20" i="14"/>
  <c r="U20" i="14"/>
  <c r="T32" i="14"/>
  <c r="U32" i="14"/>
  <c r="V32" i="14"/>
  <c r="T67" i="14"/>
  <c r="V67" i="14"/>
  <c r="U67" i="14"/>
  <c r="T79" i="14"/>
  <c r="V79" i="14"/>
  <c r="U79" i="14"/>
  <c r="T91" i="14"/>
  <c r="V91" i="14"/>
  <c r="U91" i="14"/>
  <c r="T121" i="14"/>
  <c r="V121" i="14"/>
  <c r="U121" i="14"/>
  <c r="U88" i="14"/>
  <c r="V88" i="14"/>
  <c r="U92" i="14"/>
  <c r="T92" i="14"/>
  <c r="V92" i="14"/>
  <c r="U100" i="14"/>
  <c r="T100" i="14"/>
  <c r="V100" i="14"/>
  <c r="U118" i="14"/>
  <c r="T118" i="14"/>
  <c r="V118" i="14"/>
  <c r="U122" i="14"/>
  <c r="T122" i="14"/>
  <c r="V122" i="14"/>
  <c r="V13" i="14"/>
  <c r="U13" i="14"/>
  <c r="T13" i="14"/>
  <c r="V22" i="14"/>
  <c r="U22" i="14"/>
  <c r="T22" i="14"/>
  <c r="V61" i="14"/>
  <c r="U61" i="14"/>
  <c r="T61" i="14"/>
  <c r="V65" i="14"/>
  <c r="U65" i="14"/>
  <c r="T65" i="14"/>
  <c r="V73" i="14"/>
  <c r="U73" i="14"/>
  <c r="T73" i="14"/>
  <c r="V89" i="14"/>
  <c r="U89" i="14"/>
  <c r="T89" i="14"/>
  <c r="V115" i="14"/>
  <c r="U115" i="14"/>
  <c r="T115" i="14"/>
  <c r="V119" i="14"/>
  <c r="U119" i="14"/>
  <c r="T119" i="14"/>
  <c r="V62" i="14"/>
  <c r="U62" i="14"/>
  <c r="T62" i="14"/>
  <c r="V116" i="14"/>
  <c r="U116" i="14"/>
  <c r="T116" i="14"/>
  <c r="Q61" i="14"/>
  <c r="Q19" i="14"/>
  <c r="R19" i="14"/>
  <c r="W124" i="14"/>
  <c r="R16" i="14"/>
  <c r="S16" i="14"/>
  <c r="R24" i="14"/>
  <c r="S24" i="14"/>
  <c r="Q24" i="14"/>
  <c r="R32" i="14"/>
  <c r="S32" i="14"/>
  <c r="Q32" i="14"/>
  <c r="R67" i="14"/>
  <c r="S67" i="14"/>
  <c r="Q67" i="14"/>
  <c r="R13" i="14"/>
  <c r="S13" i="14"/>
  <c r="Q13" i="14"/>
  <c r="R18" i="14"/>
  <c r="S18" i="14"/>
  <c r="Q18" i="14"/>
  <c r="R22" i="14"/>
  <c r="S22" i="14"/>
  <c r="Q22" i="14"/>
  <c r="R26" i="14"/>
  <c r="S26" i="14"/>
  <c r="Q26" i="14"/>
  <c r="R30" i="14"/>
  <c r="S30" i="14"/>
  <c r="Q30" i="14"/>
  <c r="R61" i="14"/>
  <c r="S61" i="14"/>
  <c r="R65" i="14"/>
  <c r="S65" i="14"/>
  <c r="Q65" i="14"/>
  <c r="R69" i="14"/>
  <c r="S69" i="14"/>
  <c r="Q69" i="14"/>
  <c r="R73" i="14"/>
  <c r="S73" i="14"/>
  <c r="Q73" i="14"/>
  <c r="R77" i="14"/>
  <c r="S77" i="14"/>
  <c r="Q77" i="14"/>
  <c r="R81" i="14"/>
  <c r="S81" i="14"/>
  <c r="Q81" i="14"/>
  <c r="S85" i="14"/>
  <c r="Q85" i="14"/>
  <c r="R85" i="14"/>
  <c r="R89" i="14"/>
  <c r="S89" i="14"/>
  <c r="Q89" i="14"/>
  <c r="Q93" i="14"/>
  <c r="S93" i="14"/>
  <c r="R93" i="14"/>
  <c r="Q97" i="14"/>
  <c r="S97" i="14"/>
  <c r="R97" i="14"/>
  <c r="Q101" i="14"/>
  <c r="S101" i="14"/>
  <c r="R101" i="14"/>
  <c r="Q111" i="14"/>
  <c r="S111" i="14"/>
  <c r="R111" i="14"/>
  <c r="Q115" i="14"/>
  <c r="S115" i="14"/>
  <c r="R115" i="14"/>
  <c r="Q119" i="14"/>
  <c r="S119" i="14"/>
  <c r="R119" i="14"/>
  <c r="R123" i="14"/>
  <c r="S123" i="14"/>
  <c r="Q123" i="14"/>
  <c r="R15" i="14"/>
  <c r="Q15" i="14"/>
  <c r="S15" i="14"/>
  <c r="S19" i="14"/>
  <c r="R23" i="14"/>
  <c r="S23" i="14"/>
  <c r="Q23" i="14"/>
  <c r="R27" i="14"/>
  <c r="S27" i="14"/>
  <c r="Q27" i="14"/>
  <c r="R31" i="14"/>
  <c r="S31" i="14"/>
  <c r="Q31" i="14"/>
  <c r="R62" i="14"/>
  <c r="S62" i="14"/>
  <c r="Q62" i="14"/>
  <c r="R66" i="14"/>
  <c r="S66" i="14"/>
  <c r="Q66" i="14"/>
  <c r="R70" i="14"/>
  <c r="S70" i="14"/>
  <c r="Q70" i="14"/>
  <c r="R74" i="14"/>
  <c r="S74" i="14"/>
  <c r="Q74" i="14"/>
  <c r="S78" i="14"/>
  <c r="R78" i="14"/>
  <c r="Q78" i="14"/>
  <c r="R82" i="14"/>
  <c r="Q82" i="14"/>
  <c r="S82" i="14"/>
  <c r="Q86" i="14"/>
  <c r="S86" i="14"/>
  <c r="R86" i="14"/>
  <c r="R90" i="14"/>
  <c r="S90" i="14"/>
  <c r="Q90" i="14"/>
  <c r="R94" i="14"/>
  <c r="Q94" i="14"/>
  <c r="S94" i="14"/>
  <c r="R98" i="14"/>
  <c r="S98" i="14"/>
  <c r="Q98" i="14"/>
  <c r="R102" i="14"/>
  <c r="Q102" i="14"/>
  <c r="S102" i="14"/>
  <c r="R112" i="14"/>
  <c r="S112" i="14"/>
  <c r="Q112" i="14"/>
  <c r="R116" i="14"/>
  <c r="Q116" i="14"/>
  <c r="S116" i="14"/>
  <c r="R120" i="14"/>
  <c r="S120" i="14"/>
  <c r="Q120" i="14"/>
  <c r="R20" i="14"/>
  <c r="S20" i="14"/>
  <c r="Q20" i="14"/>
  <c r="R28" i="14"/>
  <c r="S28" i="14"/>
  <c r="Q28" i="14"/>
  <c r="R63" i="14"/>
  <c r="S63" i="14"/>
  <c r="Q63" i="14"/>
  <c r="R71" i="14"/>
  <c r="S71" i="14"/>
  <c r="Q71" i="14"/>
  <c r="R75" i="14"/>
  <c r="S75" i="14"/>
  <c r="Q75" i="14"/>
  <c r="S79" i="14"/>
  <c r="Q79" i="14"/>
  <c r="R79" i="14"/>
  <c r="Q83" i="14"/>
  <c r="R83" i="14"/>
  <c r="S83" i="14"/>
  <c r="S87" i="14"/>
  <c r="R87" i="14"/>
  <c r="Q87" i="14"/>
  <c r="Q91" i="14"/>
  <c r="R91" i="14"/>
  <c r="S91" i="14"/>
  <c r="S95" i="14"/>
  <c r="Q95" i="14"/>
  <c r="R95" i="14"/>
  <c r="S99" i="14"/>
  <c r="Q99" i="14"/>
  <c r="R99" i="14"/>
  <c r="S109" i="14"/>
  <c r="Q109" i="14"/>
  <c r="R109" i="14"/>
  <c r="S113" i="14"/>
  <c r="Q113" i="14"/>
  <c r="R113" i="14"/>
  <c r="S117" i="14"/>
  <c r="Q117" i="14"/>
  <c r="R117" i="14"/>
  <c r="S121" i="14"/>
  <c r="Q121" i="14"/>
  <c r="R121" i="14"/>
  <c r="R12" i="14"/>
  <c r="Q12" i="14"/>
  <c r="S12" i="14"/>
  <c r="R17" i="14"/>
  <c r="Q17" i="14"/>
  <c r="S17" i="14"/>
  <c r="R21" i="14"/>
  <c r="Q21" i="14"/>
  <c r="S21" i="14"/>
  <c r="R25" i="14"/>
  <c r="S25" i="14"/>
  <c r="Q25" i="14"/>
  <c r="R29" i="14"/>
  <c r="S29" i="14"/>
  <c r="Q29" i="14"/>
  <c r="R33" i="14"/>
  <c r="S33" i="14"/>
  <c r="Q33" i="14"/>
  <c r="R68" i="14"/>
  <c r="S68" i="14"/>
  <c r="Q68" i="14"/>
  <c r="R72" i="14"/>
  <c r="S72" i="14"/>
  <c r="Q72" i="14"/>
  <c r="R76" i="14"/>
  <c r="S76" i="14"/>
  <c r="Q76" i="14"/>
  <c r="S80" i="14"/>
  <c r="R80" i="14"/>
  <c r="Q80" i="14"/>
  <c r="Q84" i="14"/>
  <c r="S84" i="14"/>
  <c r="R84" i="14"/>
  <c r="Q92" i="14"/>
  <c r="S92" i="14"/>
  <c r="R92" i="14"/>
  <c r="R96" i="14"/>
  <c r="S96" i="14"/>
  <c r="Q96" i="14"/>
  <c r="R100" i="14"/>
  <c r="Q100" i="14"/>
  <c r="S100" i="14"/>
  <c r="R110" i="14"/>
  <c r="S110" i="14"/>
  <c r="Q110" i="14"/>
  <c r="R114" i="14"/>
  <c r="Q114" i="14"/>
  <c r="S114" i="14"/>
  <c r="R118" i="14"/>
  <c r="S118" i="14"/>
  <c r="Q118" i="14"/>
  <c r="S122" i="14"/>
  <c r="Q122" i="14"/>
  <c r="R122" i="14"/>
  <c r="W20" i="14" l="1"/>
  <c r="W119" i="14"/>
  <c r="W115" i="14"/>
  <c r="W16" i="14"/>
  <c r="W118" i="14"/>
  <c r="W121" i="14"/>
  <c r="W19" i="14"/>
  <c r="W12" i="14"/>
  <c r="B11" i="14"/>
  <c r="B10" i="14"/>
  <c r="B9" i="14"/>
  <c r="B8" i="14"/>
  <c r="B7" i="14"/>
  <c r="V10" i="14" l="1"/>
  <c r="U10" i="14"/>
  <c r="T10" i="14"/>
  <c r="V9" i="14"/>
  <c r="U9" i="14"/>
  <c r="T9" i="14"/>
  <c r="Q9" i="14"/>
  <c r="S9" i="14"/>
  <c r="R9" i="14"/>
  <c r="R10" i="14"/>
  <c r="Q10" i="14"/>
  <c r="S10" i="14"/>
  <c r="R11" i="14"/>
  <c r="S11" i="14"/>
  <c r="Q11" i="14"/>
  <c r="Q7" i="14"/>
  <c r="S7" i="14"/>
  <c r="R7" i="14"/>
  <c r="Q8" i="14"/>
  <c r="S8" i="14"/>
  <c r="R8" i="14"/>
  <c r="A9" i="14" l="1"/>
  <c r="A12" i="14" s="1"/>
  <c r="A16" i="14" s="1"/>
  <c r="A19" i="14" s="1"/>
  <c r="A22" i="14" s="1"/>
  <c r="A25" i="14" s="1"/>
  <c r="A28" i="14" s="1"/>
  <c r="A31" i="14" s="1"/>
  <c r="B6" i="14"/>
  <c r="W3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A34" i="14" l="1"/>
  <c r="A37" i="14" s="1"/>
  <c r="A40" i="14" s="1"/>
  <c r="A43" i="14" s="1"/>
  <c r="A49" i="14" s="1"/>
  <c r="A52" i="14" s="1"/>
  <c r="A55" i="14" s="1"/>
  <c r="A58" i="14" s="1"/>
  <c r="A61" i="14" s="1"/>
  <c r="A64" i="14" s="1"/>
  <c r="A67" i="14" s="1"/>
  <c r="A70" i="14" s="1"/>
  <c r="A73" i="14" s="1"/>
  <c r="A76" i="14" s="1"/>
  <c r="A79" i="14" s="1"/>
  <c r="A82" i="14" s="1"/>
  <c r="A85" i="14" s="1"/>
  <c r="A88" i="14" s="1"/>
  <c r="A91" i="14" s="1"/>
  <c r="A94" i="14" s="1"/>
  <c r="A97" i="14" s="1"/>
  <c r="A100" i="14" s="1"/>
  <c r="S6" i="14"/>
  <c r="R6" i="14"/>
  <c r="Q6" i="14"/>
  <c r="A103" i="14" l="1"/>
  <c r="A106" i="14" l="1"/>
  <c r="A109" i="14" s="1"/>
  <c r="A112" i="14" s="1"/>
  <c r="A115" i="14" s="1"/>
  <c r="A118" i="14" s="1"/>
  <c r="A121" i="14" s="1"/>
  <c r="A124" i="14" s="1"/>
  <c r="A127" i="14" s="1"/>
  <c r="A130" i="14" s="1"/>
  <c r="A133" i="14" s="1"/>
  <c r="A136" i="14" s="1"/>
  <c r="A139" i="14" s="1"/>
  <c r="A143" i="14" s="1"/>
  <c r="A147" i="14" s="1"/>
  <c r="A150" i="14" s="1"/>
  <c r="A153" i="14" s="1"/>
  <c r="A156" i="14" s="1"/>
  <c r="A159" i="14" s="1"/>
  <c r="A162" i="14" s="1"/>
  <c r="A165" i="14" s="1"/>
  <c r="A168" i="14" l="1"/>
  <c r="A173" i="14" s="1"/>
  <c r="A176" i="14" s="1"/>
  <c r="A179" i="14" s="1"/>
  <c r="A182" i="14" s="1"/>
  <c r="A185" i="14" s="1"/>
  <c r="A188" i="14" s="1"/>
  <c r="A191" i="14" s="1"/>
  <c r="W116" i="14"/>
  <c r="W22" i="14"/>
  <c r="W136" i="14"/>
  <c r="W61" i="14"/>
  <c r="W64" i="14"/>
  <c r="W91" i="14"/>
  <c r="A194" i="14" l="1"/>
  <c r="A197" i="14" s="1"/>
  <c r="A200" i="14" s="1"/>
  <c r="A203" i="14" s="1"/>
  <c r="A206" i="14" s="1"/>
  <c r="A209" i="14" s="1"/>
  <c r="A213" i="14" s="1"/>
  <c r="A216" i="14" s="1"/>
  <c r="A221" i="14" s="1"/>
  <c r="A224" i="14" s="1"/>
  <c r="A229" i="14" s="1"/>
  <c r="A233" i="14" s="1"/>
  <c r="A236" i="14" s="1"/>
  <c r="A239" i="14" s="1"/>
  <c r="A242" i="14" s="1"/>
  <c r="A245" i="14" s="1"/>
  <c r="A248" i="14" s="1"/>
  <c r="W133" i="14"/>
  <c r="W10" i="14"/>
  <c r="W127" i="14"/>
  <c r="W139" i="14"/>
  <c r="W143" i="14"/>
  <c r="W43" i="14"/>
  <c r="W128" i="14"/>
  <c r="W9" i="14"/>
  <c r="W144" i="14"/>
  <c r="W88" i="14"/>
  <c r="W13" i="14"/>
  <c r="W65" i="14"/>
  <c r="W62" i="14"/>
  <c r="W49" i="14"/>
  <c r="W31" i="14" l="1"/>
  <c r="W55" i="14"/>
  <c r="W58" i="14"/>
  <c r="W34" i="14"/>
  <c r="W37" i="14"/>
  <c r="W52" i="14"/>
  <c r="W40" i="14"/>
  <c r="W145" i="14"/>
  <c r="W67" i="14" l="1"/>
  <c r="W159" i="14"/>
  <c r="W70" i="14"/>
  <c r="W89" i="14"/>
  <c r="W162" i="14"/>
  <c r="W173" i="14"/>
  <c r="K6" i="14" l="1"/>
  <c r="J6" i="14"/>
  <c r="L6" i="14"/>
  <c r="J109" i="14" l="1"/>
  <c r="H108" i="14" s="1"/>
  <c r="K109" i="14"/>
  <c r="J188" i="14"/>
  <c r="K156" i="14"/>
  <c r="J252" i="14"/>
  <c r="I252" i="14" s="1"/>
  <c r="J25" i="14"/>
  <c r="K125" i="14"/>
  <c r="K140" i="14"/>
  <c r="J61" i="14"/>
  <c r="K127" i="14"/>
  <c r="J168" i="14"/>
  <c r="K147" i="14"/>
  <c r="L109" i="14"/>
  <c r="J65" i="14"/>
  <c r="L127" i="14"/>
  <c r="K144" i="14"/>
  <c r="K88" i="14"/>
  <c r="L25" i="14"/>
  <c r="K20" i="14"/>
  <c r="J133" i="14"/>
  <c r="L89" i="14"/>
  <c r="I188" i="14" l="1"/>
  <c r="K165" i="14"/>
  <c r="K49" i="14"/>
  <c r="J52" i="14"/>
  <c r="I52" i="14" s="1"/>
  <c r="L64" i="14"/>
  <c r="J16" i="14"/>
  <c r="L20" i="14"/>
  <c r="J130" i="14"/>
  <c r="I130" i="14" s="1"/>
  <c r="J89" i="14"/>
  <c r="I89" i="14" s="1"/>
  <c r="L65" i="14"/>
  <c r="K274" i="14"/>
  <c r="K280" i="14"/>
  <c r="J145" i="14"/>
  <c r="I145" i="14" s="1"/>
  <c r="K168" i="14"/>
  <c r="L58" i="14"/>
  <c r="L16" i="14"/>
  <c r="L91" i="14"/>
  <c r="K116" i="14"/>
  <c r="J76" i="14"/>
  <c r="K10" i="14"/>
  <c r="K89" i="14"/>
  <c r="J79" i="14"/>
  <c r="I79" i="14" s="1"/>
  <c r="L139" i="14"/>
  <c r="J280" i="14"/>
  <c r="I280" i="14" s="1"/>
  <c r="L159" i="14"/>
  <c r="K91" i="14"/>
  <c r="K19" i="14"/>
  <c r="L122" i="14"/>
  <c r="L14" i="14"/>
  <c r="L156" i="14"/>
  <c r="K34" i="14"/>
  <c r="J43" i="14"/>
  <c r="J121" i="14"/>
  <c r="L121" i="14"/>
  <c r="J119" i="14"/>
  <c r="I119" i="14" s="1"/>
  <c r="J70" i="14"/>
  <c r="K14" i="14"/>
  <c r="K12" i="14"/>
  <c r="J12" i="14"/>
  <c r="K122" i="14"/>
  <c r="K130" i="14"/>
  <c r="K64" i="14"/>
  <c r="L55" i="14"/>
  <c r="K162" i="14"/>
  <c r="K173" i="14"/>
  <c r="K188" i="14"/>
  <c r="L140" i="14"/>
  <c r="J13" i="14"/>
  <c r="I13" i="14" s="1"/>
  <c r="L112" i="14"/>
  <c r="L49" i="14"/>
  <c r="K40" i="14"/>
  <c r="J31" i="14"/>
  <c r="L9" i="14"/>
  <c r="K118" i="14"/>
  <c r="L162" i="14"/>
  <c r="K119" i="14"/>
  <c r="L118" i="14"/>
  <c r="K26" i="14"/>
  <c r="J277" i="14"/>
  <c r="I277" i="14" s="1"/>
  <c r="L133" i="14"/>
  <c r="J122" i="14"/>
  <c r="J91" i="14"/>
  <c r="K52" i="14"/>
  <c r="L147" i="14"/>
  <c r="L274" i="14"/>
  <c r="K22" i="14"/>
  <c r="L76" i="14"/>
  <c r="K121" i="14"/>
  <c r="J49" i="14"/>
  <c r="I49" i="14" s="1"/>
  <c r="J37" i="14"/>
  <c r="L125" i="14"/>
  <c r="J112" i="14"/>
  <c r="L124" i="14"/>
  <c r="J156" i="14"/>
  <c r="I156" i="14" s="1"/>
  <c r="L13" i="14"/>
  <c r="L19" i="14"/>
  <c r="K58" i="14"/>
  <c r="L280" i="14"/>
  <c r="K76" i="14"/>
  <c r="L67" i="14"/>
  <c r="K124" i="14"/>
  <c r="J147" i="14"/>
  <c r="K145" i="14"/>
  <c r="J159" i="14"/>
  <c r="J143" i="14"/>
  <c r="I143" i="14" s="1"/>
  <c r="J128" i="14"/>
  <c r="I128" i="14" s="1"/>
  <c r="J125" i="14"/>
  <c r="L88" i="14"/>
  <c r="L136" i="14"/>
  <c r="K139" i="14"/>
  <c r="K13" i="14"/>
  <c r="J14" i="14"/>
  <c r="I14" i="14" s="1"/>
  <c r="K128" i="14"/>
  <c r="J22" i="14"/>
  <c r="I22" i="14" s="1"/>
  <c r="L12" i="14"/>
  <c r="K112" i="14"/>
  <c r="K43" i="14"/>
  <c r="L128" i="14"/>
  <c r="L31" i="14"/>
  <c r="J9" i="14"/>
  <c r="J173" i="14"/>
  <c r="H172" i="14" s="1"/>
  <c r="L79" i="14"/>
  <c r="J127" i="14"/>
  <c r="I127" i="14" s="1"/>
  <c r="L115" i="14"/>
  <c r="J124" i="14"/>
  <c r="I124" i="14" s="1"/>
  <c r="J58" i="14"/>
  <c r="I58" i="14" s="1"/>
  <c r="L145" i="14"/>
  <c r="K79" i="14"/>
  <c r="J144" i="14"/>
  <c r="L130" i="14"/>
  <c r="K115" i="14"/>
  <c r="L165" i="14"/>
  <c r="J274" i="14"/>
  <c r="I274" i="14" s="1"/>
  <c r="J88" i="14"/>
  <c r="K61" i="14"/>
  <c r="L52" i="14"/>
  <c r="J165" i="14"/>
  <c r="L188" i="14"/>
  <c r="W188" i="14" s="1"/>
  <c r="I168" i="14"/>
  <c r="I133" i="14"/>
  <c r="I65" i="14"/>
  <c r="I109" i="14"/>
  <c r="J140" i="14"/>
  <c r="H140" i="14" s="1"/>
  <c r="K143" i="14"/>
  <c r="L116" i="14"/>
  <c r="J115" i="14"/>
  <c r="L61" i="14"/>
  <c r="J136" i="14"/>
  <c r="I136" i="14" s="1"/>
  <c r="L252" i="14"/>
  <c r="K277" i="14"/>
  <c r="L144" i="14"/>
  <c r="K70" i="14"/>
  <c r="K133" i="14"/>
  <c r="J10" i="14"/>
  <c r="L119" i="14"/>
  <c r="L22" i="14"/>
  <c r="J26" i="14"/>
  <c r="L26" i="14"/>
  <c r="K136" i="14"/>
  <c r="J34" i="14"/>
  <c r="L43" i="14"/>
  <c r="L143" i="14"/>
  <c r="L70" i="14"/>
  <c r="K62" i="14"/>
  <c r="J20" i="14"/>
  <c r="J118" i="14"/>
  <c r="K67" i="14"/>
  <c r="L37" i="14"/>
  <c r="K55" i="14"/>
  <c r="K159" i="14"/>
  <c r="J162" i="14"/>
  <c r="L277" i="14"/>
  <c r="K9" i="14"/>
  <c r="J62" i="14"/>
  <c r="K25" i="14"/>
  <c r="K16" i="14"/>
  <c r="K37" i="14"/>
  <c r="J55" i="14"/>
  <c r="K252" i="14"/>
  <c r="K65" i="14"/>
  <c r="L10" i="14"/>
  <c r="K31" i="14"/>
  <c r="J139" i="14"/>
  <c r="J116" i="14"/>
  <c r="L62" i="14"/>
  <c r="J64" i="14"/>
  <c r="J19" i="14"/>
  <c r="J40" i="14"/>
  <c r="L40" i="14"/>
  <c r="L34" i="14"/>
  <c r="L168" i="14"/>
  <c r="W168" i="14" s="1"/>
  <c r="L173" i="14"/>
  <c r="I173" i="14" l="1"/>
  <c r="I112" i="14"/>
  <c r="H88" i="14"/>
  <c r="W140" i="14"/>
  <c r="H118" i="14"/>
  <c r="W92" i="14"/>
  <c r="I43" i="14"/>
  <c r="H13" i="14"/>
  <c r="I37" i="14"/>
  <c r="H127" i="14"/>
  <c r="H144" i="14"/>
  <c r="I121" i="14"/>
  <c r="H12" i="14"/>
  <c r="I165" i="14"/>
  <c r="H124" i="14"/>
  <c r="H121" i="14"/>
  <c r="I125" i="14"/>
  <c r="W125" i="14" s="1"/>
  <c r="I122" i="14"/>
  <c r="W122" i="14" s="1"/>
  <c r="I144" i="14"/>
  <c r="I31" i="14"/>
  <c r="I159" i="14"/>
  <c r="H143" i="14"/>
  <c r="I147" i="14"/>
  <c r="W79" i="14"/>
  <c r="I40" i="14"/>
  <c r="H115" i="14"/>
  <c r="I116" i="14"/>
  <c r="I139" i="14"/>
  <c r="I55" i="14"/>
  <c r="I10" i="14"/>
  <c r="H9" i="14"/>
  <c r="I162" i="14"/>
  <c r="I118" i="14"/>
  <c r="H25" i="14"/>
  <c r="I115" i="14"/>
  <c r="H64" i="14"/>
  <c r="I153" i="14"/>
  <c r="W153" i="14" s="1"/>
  <c r="I62" i="14"/>
  <c r="H61" i="14"/>
  <c r="H19" i="14"/>
  <c r="I20" i="14"/>
  <c r="I34" i="14"/>
  <c r="H139" i="14"/>
  <c r="I140" i="14"/>
  <c r="J197" i="14" l="1"/>
  <c r="J191" i="14"/>
  <c r="J289" i="14"/>
  <c r="L148" i="14"/>
  <c r="K150" i="14"/>
  <c r="L197" i="14"/>
  <c r="W197" i="14" s="1"/>
  <c r="K191" i="14"/>
  <c r="L191" i="14"/>
  <c r="W191" i="14" s="1"/>
  <c r="L286" i="14"/>
  <c r="L289" i="14"/>
  <c r="K286" i="14"/>
  <c r="J44" i="14"/>
  <c r="L92" i="14"/>
  <c r="L44" i="14"/>
  <c r="W44" i="14" s="1"/>
  <c r="L150" i="14"/>
  <c r="J283" i="14"/>
  <c r="K179" i="14"/>
  <c r="J176" i="14"/>
  <c r="K255" i="14"/>
  <c r="J92" i="14"/>
  <c r="L179" i="14"/>
  <c r="L255" i="14"/>
  <c r="L176" i="14"/>
  <c r="J255" i="14"/>
  <c r="K197" i="14"/>
  <c r="J286" i="14"/>
  <c r="K283" i="14"/>
  <c r="J148" i="14"/>
  <c r="K160" i="14"/>
  <c r="K92" i="14"/>
  <c r="J163" i="14"/>
  <c r="L160" i="14"/>
  <c r="J160" i="14"/>
  <c r="J179" i="14"/>
  <c r="K289" i="14"/>
  <c r="K163" i="14"/>
  <c r="K44" i="14"/>
  <c r="K176" i="14"/>
  <c r="K148" i="14"/>
  <c r="J189" i="14"/>
  <c r="L283" i="14"/>
  <c r="J150" i="14"/>
  <c r="L189" i="14"/>
  <c r="L163" i="14"/>
  <c r="K189" i="14"/>
  <c r="I197" i="14" l="1"/>
  <c r="H196" i="14"/>
  <c r="H43" i="14"/>
  <c r="H44" i="14"/>
  <c r="I191" i="14"/>
  <c r="I179" i="14"/>
  <c r="I255" i="14"/>
  <c r="I176" i="14"/>
  <c r="I160" i="14"/>
  <c r="W160" i="14" s="1"/>
  <c r="H159" i="14"/>
  <c r="I286" i="14"/>
  <c r="I150" i="14"/>
  <c r="W150" i="14" s="1"/>
  <c r="I163" i="14"/>
  <c r="W163" i="14" s="1"/>
  <c r="H162" i="14"/>
  <c r="I92" i="14"/>
  <c r="H91" i="14"/>
  <c r="I283" i="14"/>
  <c r="I148" i="14"/>
  <c r="H147" i="14"/>
  <c r="I44" i="14"/>
  <c r="W148" i="14"/>
  <c r="I289" i="14"/>
  <c r="I189" i="14"/>
  <c r="W189" i="14" s="1"/>
  <c r="H188" i="14"/>
  <c r="L225" i="14" l="1"/>
  <c r="J225" i="14"/>
  <c r="H225" i="14" s="1"/>
  <c r="L217" i="14"/>
  <c r="J222" i="14"/>
  <c r="L222" i="14"/>
  <c r="J217" i="14"/>
  <c r="H217" i="14" s="1"/>
  <c r="K217" i="14"/>
  <c r="K222" i="14"/>
  <c r="K225" i="14"/>
  <c r="J214" i="14"/>
  <c r="L210" i="14"/>
  <c r="L214" i="14"/>
  <c r="J210" i="14"/>
  <c r="H210" i="14" s="1"/>
  <c r="K214" i="14"/>
  <c r="K210" i="14"/>
  <c r="K32" i="14"/>
  <c r="L17" i="14"/>
  <c r="J17" i="14"/>
  <c r="K154" i="14"/>
  <c r="J154" i="14"/>
  <c r="L100" i="14"/>
  <c r="K100" i="14"/>
  <c r="J32" i="14"/>
  <c r="K17" i="14"/>
  <c r="J100" i="14"/>
  <c r="L154" i="14"/>
  <c r="L32" i="14"/>
  <c r="H153" i="14" l="1"/>
  <c r="I154" i="14"/>
  <c r="I214" i="14"/>
  <c r="H213" i="14"/>
  <c r="I217" i="14"/>
  <c r="H216" i="14"/>
  <c r="I100" i="14"/>
  <c r="I32" i="14"/>
  <c r="H31" i="14"/>
  <c r="H48" i="14"/>
  <c r="I210" i="14"/>
  <c r="H209" i="14"/>
  <c r="H221" i="14"/>
  <c r="I222" i="14"/>
  <c r="I17" i="14"/>
  <c r="H16" i="14"/>
  <c r="I225" i="14"/>
  <c r="H224" i="14"/>
  <c r="W216" i="14" l="1"/>
  <c r="W224" i="14" l="1"/>
  <c r="W230" i="14"/>
  <c r="W225" i="14"/>
  <c r="W217" i="14"/>
  <c r="W154" i="14"/>
  <c r="W73" i="14"/>
  <c r="W210" i="14"/>
  <c r="W214" i="14"/>
  <c r="W221" i="14" l="1"/>
  <c r="W165" i="14"/>
  <c r="W32" i="14"/>
  <c r="W218" i="14"/>
  <c r="J342" i="14" l="1"/>
  <c r="H342" i="14" s="1"/>
  <c r="L339" i="14"/>
  <c r="J338" i="14"/>
  <c r="L338" i="14"/>
  <c r="L340" i="14"/>
  <c r="K339" i="14"/>
  <c r="L341" i="14"/>
  <c r="L342" i="14"/>
  <c r="J341" i="14"/>
  <c r="J339" i="14"/>
  <c r="K340" i="14"/>
  <c r="K338" i="14"/>
  <c r="K342" i="14"/>
  <c r="J340" i="14"/>
  <c r="I340" i="14" s="1"/>
  <c r="K341" i="14"/>
  <c r="L336" i="14"/>
  <c r="J336" i="14"/>
  <c r="K335" i="14"/>
  <c r="J335" i="14"/>
  <c r="L335" i="14"/>
  <c r="K336" i="14"/>
  <c r="J270" i="14"/>
  <c r="L270" i="14"/>
  <c r="L271" i="14"/>
  <c r="L268" i="14"/>
  <c r="L269" i="14"/>
  <c r="J268" i="14"/>
  <c r="K268" i="14"/>
  <c r="J272" i="14"/>
  <c r="K269" i="14"/>
  <c r="J271" i="14"/>
  <c r="J269" i="14"/>
  <c r="K271" i="14"/>
  <c r="K272" i="14"/>
  <c r="L272" i="14"/>
  <c r="K270" i="14"/>
  <c r="J330" i="14"/>
  <c r="K332" i="14"/>
  <c r="K333" i="14"/>
  <c r="L333" i="14"/>
  <c r="L330" i="14"/>
  <c r="J329" i="14"/>
  <c r="K329" i="14"/>
  <c r="J333" i="14"/>
  <c r="K330" i="14"/>
  <c r="L332" i="14"/>
  <c r="L329" i="14"/>
  <c r="J332" i="14"/>
  <c r="J247" i="14"/>
  <c r="H247" i="14" s="1"/>
  <c r="J246" i="14"/>
  <c r="L246" i="14"/>
  <c r="L247" i="14"/>
  <c r="K247" i="14"/>
  <c r="K246" i="14"/>
  <c r="J327" i="14"/>
  <c r="L327" i="14"/>
  <c r="J326" i="14"/>
  <c r="L326" i="14"/>
  <c r="K326" i="14"/>
  <c r="K327" i="14"/>
  <c r="J324" i="14"/>
  <c r="K323" i="14"/>
  <c r="K324" i="14"/>
  <c r="L324" i="14"/>
  <c r="J323" i="14"/>
  <c r="L323" i="14"/>
  <c r="K244" i="14"/>
  <c r="L243" i="14"/>
  <c r="K243" i="14"/>
  <c r="J243" i="14"/>
  <c r="J244" i="14"/>
  <c r="L244" i="14"/>
  <c r="J265" i="14"/>
  <c r="K265" i="14"/>
  <c r="K266" i="14"/>
  <c r="L266" i="14"/>
  <c r="J266" i="14"/>
  <c r="L265" i="14"/>
  <c r="L321" i="14"/>
  <c r="J320" i="14"/>
  <c r="L320" i="14"/>
  <c r="K320" i="14"/>
  <c r="L104" i="14"/>
  <c r="J321" i="14"/>
  <c r="K321" i="14"/>
  <c r="L105" i="14"/>
  <c r="J104" i="14"/>
  <c r="H103" i="14" s="1"/>
  <c r="K104" i="14"/>
  <c r="K105" i="14"/>
  <c r="J105" i="14"/>
  <c r="K317" i="14"/>
  <c r="L315" i="14"/>
  <c r="L314" i="14"/>
  <c r="J318" i="14"/>
  <c r="J315" i="14"/>
  <c r="J314" i="14"/>
  <c r="K315" i="14"/>
  <c r="K314" i="14"/>
  <c r="L317" i="14"/>
  <c r="L318" i="14"/>
  <c r="J317" i="14"/>
  <c r="K318" i="14"/>
  <c r="L240" i="14"/>
  <c r="K240" i="14"/>
  <c r="K241" i="14"/>
  <c r="L241" i="14"/>
  <c r="J241" i="14"/>
  <c r="J240" i="14"/>
  <c r="K311" i="14"/>
  <c r="K262" i="14"/>
  <c r="K263" i="14"/>
  <c r="J311" i="14"/>
  <c r="L263" i="14"/>
  <c r="J312" i="14"/>
  <c r="K312" i="14"/>
  <c r="J262" i="14"/>
  <c r="L311" i="14"/>
  <c r="L312" i="14"/>
  <c r="J263" i="14"/>
  <c r="L262" i="14"/>
  <c r="L309" i="14"/>
  <c r="L308" i="14"/>
  <c r="J308" i="14"/>
  <c r="K308" i="14"/>
  <c r="J309" i="14"/>
  <c r="K309" i="14"/>
  <c r="L306" i="14"/>
  <c r="J305" i="14"/>
  <c r="K305" i="14"/>
  <c r="K306" i="14"/>
  <c r="J306" i="14"/>
  <c r="L305" i="14"/>
  <c r="K303" i="14"/>
  <c r="L303" i="14"/>
  <c r="J303" i="14"/>
  <c r="J302" i="14"/>
  <c r="K302" i="14"/>
  <c r="L302" i="14"/>
  <c r="J237" i="14"/>
  <c r="K238" i="14"/>
  <c r="L238" i="14"/>
  <c r="K237" i="14"/>
  <c r="J238" i="14"/>
  <c r="L237" i="14"/>
  <c r="L235" i="14"/>
  <c r="J235" i="14"/>
  <c r="J234" i="14"/>
  <c r="L234" i="14"/>
  <c r="L232" i="14"/>
  <c r="K235" i="14"/>
  <c r="J232" i="14"/>
  <c r="K234" i="14"/>
  <c r="K232" i="14"/>
  <c r="L300" i="14"/>
  <c r="J300" i="14"/>
  <c r="J297" i="14"/>
  <c r="J296" i="14"/>
  <c r="L259" i="14"/>
  <c r="J212" i="14"/>
  <c r="K294" i="14"/>
  <c r="K293" i="14"/>
  <c r="L294" i="14"/>
  <c r="J208" i="14"/>
  <c r="J205" i="14"/>
  <c r="K186" i="14"/>
  <c r="K187" i="14"/>
  <c r="L187" i="14"/>
  <c r="L184" i="14"/>
  <c r="J275" i="14"/>
  <c r="L99" i="14"/>
  <c r="K151" i="14"/>
  <c r="L74" i="14"/>
  <c r="K84" i="14"/>
  <c r="L50" i="14"/>
  <c r="J278" i="14"/>
  <c r="L82" i="14"/>
  <c r="J131" i="14"/>
  <c r="J282" i="14"/>
  <c r="L290" i="14"/>
  <c r="J57" i="14"/>
  <c r="L276" i="14"/>
  <c r="K24" i="14"/>
  <c r="K98" i="14"/>
  <c r="J86" i="14"/>
  <c r="L36" i="14"/>
  <c r="L281" i="14"/>
  <c r="J53" i="14"/>
  <c r="L257" i="14"/>
  <c r="L77" i="14"/>
  <c r="L18" i="14"/>
  <c r="K83" i="14"/>
  <c r="J192" i="14"/>
  <c r="L85" i="14"/>
  <c r="K158" i="14"/>
  <c r="K29" i="14"/>
  <c r="L68" i="14"/>
  <c r="J142" i="14"/>
  <c r="K15" i="14"/>
  <c r="L158" i="14"/>
  <c r="K38" i="14"/>
  <c r="L123" i="14"/>
  <c r="L166" i="14"/>
  <c r="K192" i="14"/>
  <c r="L57" i="14"/>
  <c r="K77" i="14"/>
  <c r="J161" i="14"/>
  <c r="J126" i="14"/>
  <c r="L93" i="14"/>
  <c r="J72" i="14"/>
  <c r="L30" i="14"/>
  <c r="J36" i="14"/>
  <c r="J117" i="14"/>
  <c r="K99" i="14"/>
  <c r="J198" i="14"/>
  <c r="J77" i="14"/>
  <c r="L137" i="14"/>
  <c r="J27" i="14"/>
  <c r="J178" i="14"/>
  <c r="K284" i="14"/>
  <c r="J155" i="14"/>
  <c r="L192" i="14"/>
  <c r="J276" i="14"/>
  <c r="L120" i="14"/>
  <c r="J54" i="14"/>
  <c r="K33" i="14"/>
  <c r="J123" i="14"/>
  <c r="J15" i="14"/>
  <c r="K282" i="14"/>
  <c r="K95" i="14"/>
  <c r="J33" i="14"/>
  <c r="L175" i="14"/>
  <c r="L102" i="14"/>
  <c r="J299" i="14"/>
  <c r="K223" i="14"/>
  <c r="J220" i="14"/>
  <c r="K296" i="14"/>
  <c r="L215" i="14"/>
  <c r="J260" i="14"/>
  <c r="J215" i="14"/>
  <c r="L260" i="14"/>
  <c r="L208" i="14"/>
  <c r="K204" i="14"/>
  <c r="L204" i="14"/>
  <c r="K207" i="14"/>
  <c r="L202" i="14"/>
  <c r="K201" i="14"/>
  <c r="J183" i="14"/>
  <c r="L41" i="14"/>
  <c r="J135" i="14"/>
  <c r="L117" i="14"/>
  <c r="L60" i="14"/>
  <c r="K75" i="14"/>
  <c r="L161" i="14"/>
  <c r="J90" i="14"/>
  <c r="K290" i="14"/>
  <c r="K56" i="14"/>
  <c r="J42" i="14"/>
  <c r="L129" i="14"/>
  <c r="L101" i="14"/>
  <c r="K82" i="14"/>
  <c r="L111" i="14"/>
  <c r="K169" i="14"/>
  <c r="J82" i="14"/>
  <c r="L198" i="14"/>
  <c r="J87" i="14"/>
  <c r="K257" i="14"/>
  <c r="J59" i="14"/>
  <c r="K30" i="14"/>
  <c r="K134" i="14"/>
  <c r="K129" i="14"/>
  <c r="L135" i="14"/>
  <c r="J102" i="14"/>
  <c r="L7" i="14"/>
  <c r="J71" i="14"/>
  <c r="L96" i="14"/>
  <c r="L66" i="14"/>
  <c r="J80" i="14"/>
  <c r="K68" i="14"/>
  <c r="L181" i="14"/>
  <c r="J66" i="14"/>
  <c r="K126" i="14"/>
  <c r="L285" i="14"/>
  <c r="J38" i="14"/>
  <c r="K23" i="14"/>
  <c r="J97" i="14"/>
  <c r="J30" i="14"/>
  <c r="L275" i="14"/>
  <c r="K152" i="14"/>
  <c r="J157" i="14"/>
  <c r="K111" i="14"/>
  <c r="K78" i="14"/>
  <c r="L113" i="14"/>
  <c r="J190" i="14"/>
  <c r="J291" i="14"/>
  <c r="J120" i="14"/>
  <c r="K131" i="14"/>
  <c r="K146" i="14"/>
  <c r="J7" i="14"/>
  <c r="L284" i="14"/>
  <c r="K27" i="14"/>
  <c r="J28" i="14"/>
  <c r="H27" i="14" s="1"/>
  <c r="L95" i="14"/>
  <c r="L29" i="14"/>
  <c r="L35" i="14"/>
  <c r="K93" i="14"/>
  <c r="L146" i="14"/>
  <c r="L178" i="14"/>
  <c r="J149" i="14"/>
  <c r="K288" i="14"/>
  <c r="J8" i="14"/>
  <c r="K80" i="14"/>
  <c r="L149" i="14"/>
  <c r="K287" i="14"/>
  <c r="K42" i="14"/>
  <c r="K299" i="14"/>
  <c r="L223" i="14"/>
  <c r="J223" i="14"/>
  <c r="L296" i="14"/>
  <c r="K260" i="14"/>
  <c r="K215" i="14"/>
  <c r="L207" i="14"/>
  <c r="K208" i="14"/>
  <c r="J207" i="14"/>
  <c r="J186" i="14"/>
  <c r="J201" i="14"/>
  <c r="L183" i="14"/>
  <c r="K184" i="14"/>
  <c r="L83" i="14"/>
  <c r="J41" i="14"/>
  <c r="J129" i="14"/>
  <c r="K57" i="14"/>
  <c r="L278" i="14"/>
  <c r="J287" i="14"/>
  <c r="L15" i="14"/>
  <c r="K97" i="14"/>
  <c r="K281" i="14"/>
  <c r="K135" i="14"/>
  <c r="J74" i="14"/>
  <c r="J24" i="14"/>
  <c r="K190" i="14"/>
  <c r="K36" i="14"/>
  <c r="J279" i="14"/>
  <c r="K117" i="14"/>
  <c r="L38" i="14"/>
  <c r="J167" i="14"/>
  <c r="L169" i="14"/>
  <c r="K174" i="14"/>
  <c r="J95" i="14"/>
  <c r="L142" i="14"/>
  <c r="L59" i="14"/>
  <c r="K164" i="14"/>
  <c r="K63" i="14"/>
  <c r="L42" i="14"/>
  <c r="K7" i="14"/>
  <c r="K85" i="14"/>
  <c r="J137" i="14"/>
  <c r="K110" i="14"/>
  <c r="K180" i="14"/>
  <c r="K86" i="14"/>
  <c r="J158" i="14"/>
  <c r="L81" i="14"/>
  <c r="L134" i="14"/>
  <c r="K39" i="14"/>
  <c r="L53" i="14"/>
  <c r="L54" i="14"/>
  <c r="L71" i="14"/>
  <c r="K138" i="14"/>
  <c r="J83" i="14"/>
  <c r="J63" i="14"/>
  <c r="K35" i="14"/>
  <c r="K96" i="14"/>
  <c r="K59" i="14"/>
  <c r="J96" i="14"/>
  <c r="K41" i="14"/>
  <c r="L299" i="14"/>
  <c r="J259" i="14"/>
  <c r="L293" i="14"/>
  <c r="K205" i="14"/>
  <c r="J184" i="14"/>
  <c r="J23" i="14"/>
  <c r="L180" i="14"/>
  <c r="L56" i="14"/>
  <c r="K51" i="14"/>
  <c r="K8" i="14"/>
  <c r="K149" i="14"/>
  <c r="J132" i="14"/>
  <c r="K285" i="14"/>
  <c r="L51" i="14"/>
  <c r="J256" i="14"/>
  <c r="L80" i="14"/>
  <c r="K175" i="14"/>
  <c r="L287" i="14"/>
  <c r="L86" i="14"/>
  <c r="J78" i="14"/>
  <c r="J94" i="14"/>
  <c r="K90" i="14"/>
  <c r="J199" i="14"/>
  <c r="L78" i="14"/>
  <c r="K157" i="14"/>
  <c r="J21" i="14"/>
  <c r="L8" i="14"/>
  <c r="J146" i="14"/>
  <c r="K50" i="14"/>
  <c r="K193" i="14"/>
  <c r="K21" i="14"/>
  <c r="K177" i="14"/>
  <c r="K199" i="14"/>
  <c r="L190" i="14"/>
  <c r="K167" i="14"/>
  <c r="J253" i="14"/>
  <c r="K72" i="14"/>
  <c r="J11" i="14"/>
  <c r="K66" i="14"/>
  <c r="L138" i="14"/>
  <c r="J114" i="14"/>
  <c r="L132" i="14"/>
  <c r="K101" i="14"/>
  <c r="K253" i="14"/>
  <c r="L90" i="14"/>
  <c r="J180" i="14"/>
  <c r="K113" i="14"/>
  <c r="L220" i="14"/>
  <c r="L297" i="14"/>
  <c r="L212" i="14"/>
  <c r="J293" i="14"/>
  <c r="J187" i="14"/>
  <c r="J202" i="14"/>
  <c r="K202" i="14"/>
  <c r="J257" i="14"/>
  <c r="K142" i="14"/>
  <c r="J177" i="14"/>
  <c r="L98" i="14"/>
  <c r="K254" i="14"/>
  <c r="L256" i="14"/>
  <c r="L167" i="14"/>
  <c r="L63" i="14"/>
  <c r="K54" i="14"/>
  <c r="L11" i="14"/>
  <c r="J151" i="14"/>
  <c r="L131" i="14"/>
  <c r="J288" i="14"/>
  <c r="J29" i="14"/>
  <c r="L151" i="14"/>
  <c r="L94" i="14"/>
  <c r="L152" i="14"/>
  <c r="L87" i="14"/>
  <c r="L288" i="14"/>
  <c r="J75" i="14"/>
  <c r="J81" i="14"/>
  <c r="K300" i="14"/>
  <c r="K212" i="14"/>
  <c r="J204" i="14"/>
  <c r="K183" i="14"/>
  <c r="L21" i="14"/>
  <c r="L97" i="14"/>
  <c r="J110" i="14"/>
  <c r="H109" i="14" s="1"/>
  <c r="K278" i="14"/>
  <c r="L39" i="14"/>
  <c r="L193" i="14"/>
  <c r="L126" i="14"/>
  <c r="J56" i="14"/>
  <c r="L75" i="14"/>
  <c r="K114" i="14"/>
  <c r="K291" i="14"/>
  <c r="J134" i="14"/>
  <c r="J111" i="14"/>
  <c r="L114" i="14"/>
  <c r="L33" i="14"/>
  <c r="J284" i="14"/>
  <c r="J281" i="14"/>
  <c r="J254" i="14"/>
  <c r="L291" i="14"/>
  <c r="K53" i="14"/>
  <c r="J138" i="14"/>
  <c r="L205" i="14"/>
  <c r="J193" i="14"/>
  <c r="H193" i="14" s="1"/>
  <c r="K172" i="14"/>
  <c r="K279" i="14"/>
  <c r="K60" i="14"/>
  <c r="L174" i="14"/>
  <c r="J101" i="14"/>
  <c r="L72" i="14"/>
  <c r="J93" i="14"/>
  <c r="J18" i="14"/>
  <c r="J50" i="14"/>
  <c r="L24" i="14"/>
  <c r="J68" i="14"/>
  <c r="K259" i="14"/>
  <c r="J294" i="14"/>
  <c r="J290" i="14"/>
  <c r="K178" i="14"/>
  <c r="K181" i="14"/>
  <c r="K11" i="14"/>
  <c r="K275" i="14"/>
  <c r="K256" i="14"/>
  <c r="K102" i="14"/>
  <c r="J164" i="14"/>
  <c r="L199" i="14"/>
  <c r="K87" i="14"/>
  <c r="K123" i="14"/>
  <c r="J39" i="14"/>
  <c r="K220" i="14"/>
  <c r="K297" i="14"/>
  <c r="L186" i="14"/>
  <c r="L84" i="14"/>
  <c r="K132" i="14"/>
  <c r="L177" i="14"/>
  <c r="L282" i="14"/>
  <c r="K69" i="14"/>
  <c r="L28" i="14"/>
  <c r="L253" i="14"/>
  <c r="J152" i="14"/>
  <c r="K28" i="14"/>
  <c r="J174" i="14"/>
  <c r="K120" i="14"/>
  <c r="J99" i="14"/>
  <c r="L110" i="14"/>
  <c r="L155" i="14"/>
  <c r="K276" i="14"/>
  <c r="K155" i="14"/>
  <c r="J181" i="14"/>
  <c r="L27" i="14"/>
  <c r="J85" i="14"/>
  <c r="K137" i="14"/>
  <c r="L279" i="14"/>
  <c r="K74" i="14"/>
  <c r="J35" i="14"/>
  <c r="K198" i="14"/>
  <c r="L201" i="14"/>
  <c r="L172" i="14"/>
  <c r="J285" i="14"/>
  <c r="J175" i="14"/>
  <c r="K18" i="14"/>
  <c r="K161" i="14"/>
  <c r="K81" i="14"/>
  <c r="J113" i="14"/>
  <c r="L23" i="14"/>
  <c r="J60" i="14"/>
  <c r="K166" i="14"/>
  <c r="L164" i="14"/>
  <c r="K71" i="14"/>
  <c r="J98" i="14"/>
  <c r="L69" i="14"/>
  <c r="L157" i="14"/>
  <c r="L254" i="14"/>
  <c r="J84" i="14"/>
  <c r="J51" i="14"/>
  <c r="K94" i="14"/>
  <c r="J69" i="14"/>
  <c r="L73" i="14"/>
  <c r="H101" i="14" l="1"/>
  <c r="H102" i="14"/>
  <c r="H104" i="14"/>
  <c r="H105" i="14"/>
  <c r="H219" i="14"/>
  <c r="I220" i="14"/>
  <c r="H174" i="14"/>
  <c r="H175" i="14"/>
  <c r="H98" i="14"/>
  <c r="H99" i="14"/>
  <c r="H18" i="14"/>
  <c r="H17" i="14"/>
  <c r="H192" i="14"/>
  <c r="I204" i="14"/>
  <c r="H203" i="14"/>
  <c r="H179" i="14"/>
  <c r="H11" i="14"/>
  <c r="I11" i="14"/>
  <c r="H10" i="14"/>
  <c r="H22" i="14"/>
  <c r="I23" i="14"/>
  <c r="H40" i="14"/>
  <c r="I41" i="14"/>
  <c r="H200" i="14"/>
  <c r="I201" i="14"/>
  <c r="H223" i="14"/>
  <c r="I223" i="14"/>
  <c r="H222" i="14"/>
  <c r="H6" i="14"/>
  <c r="I71" i="14"/>
  <c r="H70" i="14"/>
  <c r="H122" i="14"/>
  <c r="H123" i="14"/>
  <c r="I123" i="14"/>
  <c r="H177" i="14"/>
  <c r="H178" i="14"/>
  <c r="H85" i="14"/>
  <c r="H274" i="14"/>
  <c r="H228" i="14"/>
  <c r="H261" i="14"/>
  <c r="H239" i="14"/>
  <c r="H321" i="14"/>
  <c r="H320" i="14"/>
  <c r="H331" i="14"/>
  <c r="I35" i="14"/>
  <c r="H34" i="14"/>
  <c r="H67" i="14"/>
  <c r="I68" i="14"/>
  <c r="H253" i="14"/>
  <c r="H254" i="14"/>
  <c r="I151" i="14"/>
  <c r="H150" i="14"/>
  <c r="H176" i="14"/>
  <c r="H114" i="14"/>
  <c r="H113" i="14"/>
  <c r="H185" i="14"/>
  <c r="H190" i="14"/>
  <c r="H189" i="14"/>
  <c r="I190" i="14"/>
  <c r="I97" i="14"/>
  <c r="H96" i="14"/>
  <c r="H79" i="14"/>
  <c r="I80" i="14"/>
  <c r="H277" i="14"/>
  <c r="H168" i="14"/>
  <c r="I169" i="14"/>
  <c r="H300" i="14"/>
  <c r="H299" i="14"/>
  <c r="H233" i="14"/>
  <c r="I234" i="14"/>
  <c r="H236" i="14"/>
  <c r="I237" i="14"/>
  <c r="H263" i="14"/>
  <c r="H262" i="14"/>
  <c r="H241" i="14"/>
  <c r="H240" i="14"/>
  <c r="H315" i="14"/>
  <c r="H314" i="14"/>
  <c r="I104" i="14"/>
  <c r="H244" i="14"/>
  <c r="H243" i="14"/>
  <c r="H327" i="14"/>
  <c r="H326" i="14"/>
  <c r="H270" i="14"/>
  <c r="H267" i="14"/>
  <c r="H334" i="14"/>
  <c r="H337" i="14"/>
  <c r="H83" i="14"/>
  <c r="H97" i="14"/>
  <c r="H59" i="14"/>
  <c r="H60" i="14"/>
  <c r="I174" i="14"/>
  <c r="H173" i="14"/>
  <c r="H289" i="14"/>
  <c r="H138" i="14"/>
  <c r="H137" i="14"/>
  <c r="H280" i="14"/>
  <c r="H110" i="14"/>
  <c r="H111" i="14"/>
  <c r="H28" i="14"/>
  <c r="H187" i="14"/>
  <c r="H186" i="14"/>
  <c r="H252" i="14"/>
  <c r="H145" i="14"/>
  <c r="I146" i="14"/>
  <c r="H146" i="14"/>
  <c r="H78" i="14"/>
  <c r="H77" i="14"/>
  <c r="H132" i="14"/>
  <c r="H131" i="14"/>
  <c r="H24" i="14"/>
  <c r="H23" i="14"/>
  <c r="H206" i="14"/>
  <c r="I207" i="14"/>
  <c r="H148" i="14"/>
  <c r="I149" i="14"/>
  <c r="H149" i="14"/>
  <c r="I66" i="14"/>
  <c r="H66" i="14"/>
  <c r="H65" i="14"/>
  <c r="H53" i="14"/>
  <c r="H54" i="14"/>
  <c r="H154" i="14"/>
  <c r="H155" i="14"/>
  <c r="I155" i="14"/>
  <c r="H117" i="14"/>
  <c r="H116" i="14"/>
  <c r="I117" i="14"/>
  <c r="I142" i="14"/>
  <c r="H142" i="14"/>
  <c r="H141" i="14"/>
  <c r="H72" i="14"/>
  <c r="I73" i="14"/>
  <c r="H282" i="14"/>
  <c r="H281" i="14"/>
  <c r="H204" i="14"/>
  <c r="H205" i="14"/>
  <c r="H296" i="14"/>
  <c r="H297" i="14"/>
  <c r="H235" i="14"/>
  <c r="H234" i="14"/>
  <c r="H312" i="14"/>
  <c r="H311" i="14"/>
  <c r="H318" i="14"/>
  <c r="H317" i="14"/>
  <c r="I243" i="14"/>
  <c r="H242" i="14"/>
  <c r="H245" i="14"/>
  <c r="I246" i="14"/>
  <c r="H328" i="14"/>
  <c r="I270" i="14"/>
  <c r="H269" i="14"/>
  <c r="H339" i="14"/>
  <c r="H338" i="14"/>
  <c r="H112" i="14"/>
  <c r="H152" i="14"/>
  <c r="H151" i="14"/>
  <c r="H75" i="14"/>
  <c r="H74" i="14"/>
  <c r="H21" i="14"/>
  <c r="H20" i="14"/>
  <c r="I21" i="14"/>
  <c r="H258" i="14"/>
  <c r="H82" i="14"/>
  <c r="H157" i="14"/>
  <c r="H158" i="14"/>
  <c r="H166" i="14"/>
  <c r="I167" i="14"/>
  <c r="H167" i="14"/>
  <c r="H286" i="14"/>
  <c r="H7" i="14"/>
  <c r="H8" i="14"/>
  <c r="H290" i="14"/>
  <c r="H291" i="14"/>
  <c r="H29" i="14"/>
  <c r="H30" i="14"/>
  <c r="H90" i="14"/>
  <c r="H89" i="14"/>
  <c r="I90" i="14"/>
  <c r="H260" i="14"/>
  <c r="H259" i="14"/>
  <c r="H33" i="14"/>
  <c r="H32" i="14"/>
  <c r="I33" i="14"/>
  <c r="H276" i="14"/>
  <c r="H275" i="14"/>
  <c r="I198" i="14"/>
  <c r="H197" i="14"/>
  <c r="H160" i="14"/>
  <c r="I161" i="14"/>
  <c r="H161" i="14"/>
  <c r="H52" i="14"/>
  <c r="I53" i="14"/>
  <c r="H57" i="14"/>
  <c r="H56" i="14"/>
  <c r="H301" i="14"/>
  <c r="H304" i="14"/>
  <c r="H310" i="14"/>
  <c r="H313" i="14"/>
  <c r="H319" i="14"/>
  <c r="H333" i="14"/>
  <c r="H332" i="14"/>
  <c r="H268" i="14"/>
  <c r="H51" i="14"/>
  <c r="H50" i="14"/>
  <c r="I51" i="14"/>
  <c r="H284" i="14"/>
  <c r="H285" i="14"/>
  <c r="I85" i="14"/>
  <c r="H84" i="14"/>
  <c r="I93" i="14"/>
  <c r="H92" i="14"/>
  <c r="H202" i="14"/>
  <c r="H201" i="14"/>
  <c r="H93" i="14"/>
  <c r="I94" i="14"/>
  <c r="H183" i="14"/>
  <c r="H184" i="14"/>
  <c r="H136" i="14"/>
  <c r="I137" i="14"/>
  <c r="H94" i="14"/>
  <c r="H156" i="14"/>
  <c r="H86" i="14"/>
  <c r="H87" i="14"/>
  <c r="H41" i="14"/>
  <c r="H42" i="14"/>
  <c r="H134" i="14"/>
  <c r="H135" i="14"/>
  <c r="H298" i="14"/>
  <c r="H26" i="14"/>
  <c r="H71" i="14"/>
  <c r="H295" i="14"/>
  <c r="H231" i="14"/>
  <c r="I232" i="14"/>
  <c r="H232" i="14"/>
  <c r="H238" i="14"/>
  <c r="H237" i="14"/>
  <c r="H303" i="14"/>
  <c r="H302" i="14"/>
  <c r="H306" i="14"/>
  <c r="H305" i="14"/>
  <c r="H307" i="14"/>
  <c r="H68" i="14"/>
  <c r="H69" i="14"/>
  <c r="H181" i="14"/>
  <c r="H180" i="14"/>
  <c r="H39" i="14"/>
  <c r="H38" i="14"/>
  <c r="I164" i="14"/>
  <c r="H163" i="14"/>
  <c r="H164" i="14"/>
  <c r="H294" i="14"/>
  <c r="H293" i="14"/>
  <c r="I50" i="14"/>
  <c r="H49" i="14"/>
  <c r="I101" i="14"/>
  <c r="H100" i="14"/>
  <c r="H283" i="14"/>
  <c r="I134" i="14"/>
  <c r="H133" i="14"/>
  <c r="H55" i="14"/>
  <c r="I56" i="14"/>
  <c r="H80" i="14"/>
  <c r="H288" i="14"/>
  <c r="H287" i="14"/>
  <c r="H256" i="14"/>
  <c r="H257" i="14"/>
  <c r="H292" i="14"/>
  <c r="H199" i="14"/>
  <c r="H198" i="14"/>
  <c r="H255" i="14"/>
  <c r="H95" i="14"/>
  <c r="H62" i="14"/>
  <c r="I63" i="14"/>
  <c r="H63" i="14"/>
  <c r="H278" i="14"/>
  <c r="H279" i="14"/>
  <c r="H73" i="14"/>
  <c r="I74" i="14"/>
  <c r="H129" i="14"/>
  <c r="H128" i="14"/>
  <c r="I129" i="14"/>
  <c r="I120" i="14"/>
  <c r="H120" i="14"/>
  <c r="H119" i="14"/>
  <c r="I38" i="14"/>
  <c r="H37" i="14"/>
  <c r="H58" i="14"/>
  <c r="I59" i="14"/>
  <c r="H81" i="14"/>
  <c r="I82" i="14"/>
  <c r="H182" i="14"/>
  <c r="H215" i="14"/>
  <c r="I215" i="14"/>
  <c r="H214" i="14"/>
  <c r="H220" i="14"/>
  <c r="I15" i="14"/>
  <c r="H15" i="14"/>
  <c r="H14" i="14"/>
  <c r="H76" i="14"/>
  <c r="H35" i="14"/>
  <c r="H36" i="14"/>
  <c r="I126" i="14"/>
  <c r="H126" i="14"/>
  <c r="H125" i="14"/>
  <c r="H165" i="14"/>
  <c r="I166" i="14"/>
  <c r="I192" i="14"/>
  <c r="H191" i="14"/>
  <c r="H130" i="14"/>
  <c r="H207" i="14"/>
  <c r="H208" i="14"/>
  <c r="I212" i="14"/>
  <c r="H211" i="14"/>
  <c r="H212" i="14"/>
  <c r="H308" i="14"/>
  <c r="H309" i="14"/>
  <c r="H316" i="14"/>
  <c r="H265" i="14"/>
  <c r="H266" i="14"/>
  <c r="H264" i="14"/>
  <c r="H322" i="14"/>
  <c r="H324" i="14"/>
  <c r="H323" i="14"/>
  <c r="H325" i="14"/>
  <c r="H246" i="14"/>
  <c r="H330" i="14"/>
  <c r="H329" i="14"/>
  <c r="H271" i="14"/>
  <c r="H272" i="14"/>
  <c r="H336" i="14"/>
  <c r="H335" i="14"/>
  <c r="H340" i="14"/>
  <c r="H341" i="14"/>
  <c r="W245" i="14" l="1"/>
  <c r="W46" i="14"/>
  <c r="W222" i="14"/>
  <c r="W47" i="14" l="1"/>
  <c r="W50" i="14"/>
  <c r="W226" i="14"/>
  <c r="W219" i="14"/>
  <c r="W100" i="14"/>
  <c r="N227" i="14" l="1"/>
  <c r="M227" i="14"/>
  <c r="N171" i="14"/>
  <c r="O171" i="14"/>
  <c r="M171" i="14"/>
  <c r="O227" i="14"/>
  <c r="M170" i="14"/>
  <c r="P170" i="14" s="1"/>
  <c r="N170" i="14"/>
  <c r="O170" i="14"/>
  <c r="N47" i="14"/>
  <c r="N226" i="14"/>
  <c r="O19" i="14"/>
  <c r="M222" i="14"/>
  <c r="P222" i="14" s="1"/>
  <c r="M230" i="14"/>
  <c r="P230" i="14" s="1"/>
  <c r="O216" i="14"/>
  <c r="O211" i="14"/>
  <c r="M145" i="14"/>
  <c r="P145" i="14" s="1"/>
  <c r="M219" i="14"/>
  <c r="P219" i="14" s="1"/>
  <c r="M45" i="14"/>
  <c r="P45" i="14" s="1"/>
  <c r="N124" i="14"/>
  <c r="N218" i="14"/>
  <c r="N213" i="14"/>
  <c r="O46" i="14"/>
  <c r="O45" i="14"/>
  <c r="N153" i="14"/>
  <c r="O245" i="14"/>
  <c r="O189" i="14"/>
  <c r="M49" i="14"/>
  <c r="P49" i="14" s="1"/>
  <c r="O47" i="14"/>
  <c r="N46" i="14"/>
  <c r="N76" i="14"/>
  <c r="N236" i="14"/>
  <c r="M242" i="14"/>
  <c r="P242" i="14" s="1"/>
  <c r="O31" i="14"/>
  <c r="O224" i="14"/>
  <c r="M216" i="14"/>
  <c r="P216" i="14" s="1"/>
  <c r="O13" i="14"/>
  <c r="N222" i="14"/>
  <c r="N209" i="14"/>
  <c r="O122" i="14"/>
  <c r="N150" i="14"/>
  <c r="O130" i="14"/>
  <c r="M46" i="14"/>
  <c r="P46" i="14" s="1"/>
  <c r="O121" i="14"/>
  <c r="N216" i="14"/>
  <c r="N17" i="14"/>
  <c r="O22" i="14"/>
  <c r="M136" i="14"/>
  <c r="P136" i="14" s="1"/>
  <c r="N166" i="14"/>
  <c r="N217" i="14"/>
  <c r="M47" i="14"/>
  <c r="P47" i="14" s="1"/>
  <c r="N62" i="14"/>
  <c r="N37" i="14"/>
  <c r="O103" i="14"/>
  <c r="O118" i="14"/>
  <c r="M143" i="14"/>
  <c r="P143" i="14" s="1"/>
  <c r="N118" i="14"/>
  <c r="M245" i="14"/>
  <c r="P245" i="14" s="1"/>
  <c r="O65" i="14"/>
  <c r="N203" i="14"/>
  <c r="M229" i="14"/>
  <c r="P229" i="14" s="1"/>
  <c r="M9" i="14"/>
  <c r="P9" i="14" s="1"/>
  <c r="O50" i="14"/>
  <c r="O163" i="14"/>
  <c r="N200" i="14"/>
  <c r="M34" i="14"/>
  <c r="P34" i="14" s="1"/>
  <c r="O236" i="14"/>
  <c r="O200" i="14"/>
  <c r="N210" i="14"/>
  <c r="O116" i="14"/>
  <c r="O40" i="14"/>
  <c r="N34" i="14"/>
  <c r="M211" i="14"/>
  <c r="P211" i="14" s="1"/>
  <c r="O127" i="14"/>
  <c r="N230" i="14"/>
  <c r="O32" i="14"/>
  <c r="M14" i="14"/>
  <c r="P14" i="14" s="1"/>
  <c r="N245" i="14"/>
  <c r="N127" i="14"/>
  <c r="N58" i="14"/>
  <c r="N40" i="14"/>
  <c r="O226" i="14"/>
  <c r="N52" i="14"/>
  <c r="N246" i="14"/>
  <c r="N147" i="14"/>
  <c r="O55" i="14"/>
  <c r="M246" i="14"/>
  <c r="M221" i="14"/>
  <c r="P221" i="14" s="1"/>
  <c r="O145" i="14"/>
  <c r="O91" i="14"/>
  <c r="M188" i="14"/>
  <c r="P188" i="14" s="1"/>
  <c r="M125" i="14"/>
  <c r="P125" i="14" s="1"/>
  <c r="O213" i="14"/>
  <c r="M226" i="14"/>
  <c r="P226" i="14" s="1"/>
  <c r="N13" i="14"/>
  <c r="O219" i="14"/>
  <c r="M233" i="14"/>
  <c r="P233" i="14" s="1"/>
  <c r="N10" i="14"/>
  <c r="N116" i="14"/>
  <c r="N55" i="14"/>
  <c r="N12" i="14"/>
  <c r="N221" i="14"/>
  <c r="O147" i="14"/>
  <c r="N71" i="14"/>
  <c r="M203" i="14"/>
  <c r="P203" i="14" s="1"/>
  <c r="O43" i="14"/>
  <c r="M144" i="14"/>
  <c r="P144" i="14" s="1"/>
  <c r="N14" i="14"/>
  <c r="O10" i="14"/>
  <c r="N128" i="14"/>
  <c r="O62" i="14"/>
  <c r="M13" i="14"/>
  <c r="P13" i="14" s="1"/>
  <c r="O197" i="14"/>
  <c r="O144" i="14"/>
  <c r="N16" i="14"/>
  <c r="O231" i="14"/>
  <c r="N100" i="14"/>
  <c r="N122" i="14"/>
  <c r="M197" i="14"/>
  <c r="P197" i="14" s="1"/>
  <c r="M148" i="14"/>
  <c r="P148" i="14" s="1"/>
  <c r="O160" i="14"/>
  <c r="N49" i="14"/>
  <c r="M43" i="14"/>
  <c r="P43" i="14" s="1"/>
  <c r="M209" i="14"/>
  <c r="P209" i="14" s="1"/>
  <c r="M76" i="14"/>
  <c r="O246" i="14"/>
  <c r="M100" i="14"/>
  <c r="P100" i="14" s="1"/>
  <c r="N219" i="14"/>
  <c r="O68" i="14"/>
  <c r="M121" i="14"/>
  <c r="P121" i="14" s="1"/>
  <c r="N125" i="14"/>
  <c r="M176" i="14"/>
  <c r="M52" i="14"/>
  <c r="P52" i="14" s="1"/>
  <c r="N68" i="14"/>
  <c r="N64" i="14"/>
  <c r="M231" i="14"/>
  <c r="P231" i="14" s="1"/>
  <c r="N214" i="14"/>
  <c r="N189" i="14"/>
  <c r="N103" i="14"/>
  <c r="N136" i="14"/>
  <c r="N173" i="14"/>
  <c r="M10" i="14"/>
  <c r="P10" i="14" s="1"/>
  <c r="M127" i="14"/>
  <c r="P127" i="14" s="1"/>
  <c r="M65" i="14"/>
  <c r="P65" i="14" s="1"/>
  <c r="N43" i="14"/>
  <c r="M115" i="14"/>
  <c r="P115" i="14" s="1"/>
  <c r="O242" i="14"/>
  <c r="M62" i="14"/>
  <c r="P62" i="14" s="1"/>
  <c r="O206" i="14"/>
  <c r="O20" i="14"/>
  <c r="O159" i="14"/>
  <c r="M168" i="14"/>
  <c r="P168" i="14" s="1"/>
  <c r="N168" i="14"/>
  <c r="M210" i="14"/>
  <c r="P210" i="14" s="1"/>
  <c r="N144" i="14"/>
  <c r="N45" i="14"/>
  <c r="M32" i="14"/>
  <c r="P32" i="14" s="1"/>
  <c r="M162" i="14"/>
  <c r="P162" i="14" s="1"/>
  <c r="O76" i="14"/>
  <c r="M103" i="14"/>
  <c r="M224" i="14"/>
  <c r="P224" i="14" s="1"/>
  <c r="O218" i="14"/>
  <c r="O148" i="14"/>
  <c r="N50" i="14"/>
  <c r="N73" i="14"/>
  <c r="O210" i="14"/>
  <c r="M118" i="14"/>
  <c r="P118" i="14" s="1"/>
  <c r="O225" i="14"/>
  <c r="M37" i="14"/>
  <c r="P37" i="14" s="1"/>
  <c r="M73" i="14"/>
  <c r="P73" i="14" s="1"/>
  <c r="M55" i="14"/>
  <c r="P55" i="14" s="1"/>
  <c r="M189" i="14"/>
  <c r="P189" i="14" s="1"/>
  <c r="M122" i="14"/>
  <c r="P122" i="14" s="1"/>
  <c r="O119" i="14"/>
  <c r="N19" i="14"/>
  <c r="N115" i="14"/>
  <c r="O52" i="14"/>
  <c r="O165" i="14"/>
  <c r="O140" i="14"/>
  <c r="M16" i="14"/>
  <c r="P16" i="14" s="1"/>
  <c r="M64" i="14"/>
  <c r="P64" i="14" s="1"/>
  <c r="N141" i="14"/>
  <c r="N206" i="14"/>
  <c r="O73" i="14"/>
  <c r="M88" i="14"/>
  <c r="P88" i="14" s="1"/>
  <c r="M50" i="14"/>
  <c r="P50" i="14" s="1"/>
  <c r="O12" i="14"/>
  <c r="O34" i="14"/>
  <c r="O88" i="14"/>
  <c r="O89" i="14"/>
  <c r="M124" i="14"/>
  <c r="P124" i="14" s="1"/>
  <c r="N22" i="14"/>
  <c r="M225" i="14"/>
  <c r="P225" i="14" s="1"/>
  <c r="O230" i="14"/>
  <c r="M67" i="14"/>
  <c r="P67" i="14" s="1"/>
  <c r="N160" i="14"/>
  <c r="N139" i="14"/>
  <c r="M22" i="14"/>
  <c r="P22" i="14" s="1"/>
  <c r="O128" i="14"/>
  <c r="O16" i="14"/>
  <c r="M139" i="14"/>
  <c r="P139" i="14" s="1"/>
  <c r="M31" i="14"/>
  <c r="P31" i="14" s="1"/>
  <c r="M91" i="14"/>
  <c r="P91" i="14" s="1"/>
  <c r="O166" i="14"/>
  <c r="N211" i="14"/>
  <c r="N231" i="14"/>
  <c r="N242" i="14"/>
  <c r="O14" i="14"/>
  <c r="M214" i="14"/>
  <c r="P214" i="14" s="1"/>
  <c r="M165" i="14"/>
  <c r="P165" i="14" s="1"/>
  <c r="O229" i="14"/>
  <c r="M89" i="14"/>
  <c r="P89" i="14" s="1"/>
  <c r="M141" i="14"/>
  <c r="P141" i="14" s="1"/>
  <c r="N79" i="14"/>
  <c r="N91" i="14"/>
  <c r="O214" i="14"/>
  <c r="M200" i="14"/>
  <c r="P200" i="14" s="1"/>
  <c r="M154" i="14"/>
  <c r="P154" i="14" s="1"/>
  <c r="O49" i="14"/>
  <c r="M58" i="14"/>
  <c r="P58" i="14" s="1"/>
  <c r="M40" i="14"/>
  <c r="P40" i="14" s="1"/>
  <c r="N188" i="14"/>
  <c r="M130" i="14"/>
  <c r="N224" i="14"/>
  <c r="N9" i="14"/>
  <c r="M119" i="14"/>
  <c r="P119" i="14" s="1"/>
  <c r="O162" i="14"/>
  <c r="N191" i="14"/>
  <c r="O233" i="14"/>
  <c r="M218" i="14"/>
  <c r="P218" i="14" s="1"/>
  <c r="N133" i="14"/>
  <c r="O124" i="14"/>
  <c r="O136" i="14"/>
  <c r="O141" i="14"/>
  <c r="W141" i="14" s="1"/>
  <c r="M163" i="14"/>
  <c r="P163" i="14" s="1"/>
  <c r="N163" i="14"/>
  <c r="N165" i="14"/>
  <c r="O191" i="14"/>
  <c r="N140" i="14"/>
  <c r="O143" i="14"/>
  <c r="O17" i="14"/>
  <c r="M217" i="14"/>
  <c r="P217" i="14" s="1"/>
  <c r="M19" i="14"/>
  <c r="P19" i="14" s="1"/>
  <c r="O176" i="14"/>
  <c r="N67" i="14"/>
  <c r="M159" i="14"/>
  <c r="P159" i="14" s="1"/>
  <c r="O71" i="14"/>
  <c r="O221" i="14"/>
  <c r="M68" i="14"/>
  <c r="M79" i="14"/>
  <c r="P79" i="14" s="1"/>
  <c r="N225" i="14"/>
  <c r="N162" i="14"/>
  <c r="N88" i="14"/>
  <c r="O203" i="14"/>
  <c r="N121" i="14"/>
  <c r="N65" i="14"/>
  <c r="M133" i="14"/>
  <c r="P133" i="14" s="1"/>
  <c r="O139" i="14"/>
  <c r="O37" i="14"/>
  <c r="O133" i="14"/>
  <c r="N154" i="14"/>
  <c r="M147" i="14"/>
  <c r="P147" i="14" s="1"/>
  <c r="N92" i="14"/>
  <c r="M153" i="14"/>
  <c r="P153" i="14" s="1"/>
  <c r="M61" i="14"/>
  <c r="P61" i="14" s="1"/>
  <c r="N176" i="14"/>
  <c r="O150" i="14"/>
  <c r="N159" i="14"/>
  <c r="O61" i="14"/>
  <c r="N32" i="14"/>
  <c r="N145" i="14"/>
  <c r="N61" i="14"/>
  <c r="M128" i="14"/>
  <c r="P128" i="14" s="1"/>
  <c r="O188" i="14"/>
  <c r="O9" i="14"/>
  <c r="N229" i="14"/>
  <c r="M236" i="14"/>
  <c r="P236" i="14" s="1"/>
  <c r="M116" i="14"/>
  <c r="P116" i="14" s="1"/>
  <c r="M173" i="14"/>
  <c r="P173" i="14" s="1"/>
  <c r="N119" i="14"/>
  <c r="N143" i="14"/>
  <c r="M92" i="14"/>
  <c r="P92" i="14" s="1"/>
  <c r="O209" i="14"/>
  <c r="O173" i="14"/>
  <c r="O67" i="14"/>
  <c r="N197" i="14"/>
  <c r="M166" i="14"/>
  <c r="O58" i="14"/>
  <c r="O100" i="14"/>
  <c r="M12" i="14"/>
  <c r="P12" i="14" s="1"/>
  <c r="M71" i="14"/>
  <c r="O125" i="14"/>
  <c r="N31" i="14"/>
  <c r="O92" i="14"/>
  <c r="N44" i="14"/>
  <c r="N89" i="14"/>
  <c r="M140" i="14"/>
  <c r="P140" i="14" s="1"/>
  <c r="M70" i="14"/>
  <c r="P70" i="14" s="1"/>
  <c r="M191" i="14"/>
  <c r="P191" i="14" s="1"/>
  <c r="M213" i="14"/>
  <c r="P213" i="14" s="1"/>
  <c r="M44" i="14"/>
  <c r="P44" i="14" s="1"/>
  <c r="O115" i="14"/>
  <c r="M20" i="14"/>
  <c r="P20" i="14" s="1"/>
  <c r="N70" i="14"/>
  <c r="N233" i="14"/>
  <c r="O222" i="14"/>
  <c r="O154" i="14"/>
  <c r="N148" i="14"/>
  <c r="O44" i="14"/>
  <c r="O217" i="14"/>
  <c r="O64" i="14"/>
  <c r="M160" i="14"/>
  <c r="P160" i="14" s="1"/>
  <c r="O79" i="14"/>
  <c r="O153" i="14"/>
  <c r="N20" i="14"/>
  <c r="O168" i="14"/>
  <c r="O70" i="14"/>
  <c r="M150" i="14"/>
  <c r="P150" i="14" s="1"/>
  <c r="M206" i="14"/>
  <c r="P206" i="14" s="1"/>
  <c r="N130" i="14"/>
  <c r="P71" i="14" l="1"/>
  <c r="P166" i="14"/>
  <c r="W166" i="14"/>
  <c r="P17" i="14"/>
  <c r="P103" i="14"/>
  <c r="W103" i="14"/>
  <c r="P76" i="14"/>
  <c r="W246" i="14"/>
  <c r="P246" i="14"/>
  <c r="P68" i="14"/>
  <c r="P130" i="14"/>
  <c r="P176" i="14"/>
  <c r="P171" i="14"/>
  <c r="W171" i="14"/>
  <c r="P227" i="14"/>
  <c r="W227" i="14"/>
  <c r="V196" i="14" l="1"/>
  <c r="U196" i="14"/>
  <c r="V107" i="14"/>
  <c r="I108" i="14" s="1"/>
  <c r="V195" i="14"/>
  <c r="I196" i="14" s="1"/>
  <c r="T196" i="14"/>
  <c r="T108" i="14"/>
  <c r="U108" i="14"/>
  <c r="T195" i="14"/>
  <c r="T194" i="14"/>
  <c r="U106" i="14"/>
  <c r="U107" i="14"/>
  <c r="T106" i="14"/>
  <c r="V106" i="14"/>
  <c r="U194" i="14"/>
  <c r="U195" i="14"/>
  <c r="V108" i="14"/>
  <c r="V194" i="14"/>
  <c r="T107" i="14"/>
  <c r="V171" i="14"/>
  <c r="I172" i="14" s="1"/>
  <c r="U171" i="14"/>
  <c r="T171" i="14"/>
  <c r="U351" i="14"/>
  <c r="V350" i="14"/>
  <c r="V349" i="14"/>
  <c r="T351" i="14"/>
  <c r="U349" i="14"/>
  <c r="U350" i="14"/>
  <c r="T349" i="14"/>
  <c r="V351" i="14"/>
  <c r="T350" i="14"/>
  <c r="T343" i="14"/>
  <c r="V343" i="14"/>
  <c r="T345" i="14"/>
  <c r="T344" i="14"/>
  <c r="V348" i="14"/>
  <c r="V346" i="14"/>
  <c r="U348" i="14"/>
  <c r="T346" i="14"/>
  <c r="U347" i="14"/>
  <c r="V345" i="14"/>
  <c r="T348" i="14"/>
  <c r="T347" i="14"/>
  <c r="U346" i="14"/>
  <c r="U344" i="14"/>
  <c r="V347" i="14"/>
  <c r="U345" i="14"/>
  <c r="U343" i="14"/>
  <c r="V344" i="14"/>
  <c r="T338" i="14"/>
  <c r="V341" i="14"/>
  <c r="U341" i="14"/>
  <c r="T339" i="14"/>
  <c r="V337" i="14"/>
  <c r="T340" i="14"/>
  <c r="U340" i="14"/>
  <c r="U338" i="14"/>
  <c r="T337" i="14"/>
  <c r="T341" i="14"/>
  <c r="V339" i="14"/>
  <c r="U337" i="14"/>
  <c r="V342" i="14"/>
  <c r="V340" i="14"/>
  <c r="U339" i="14"/>
  <c r="T342" i="14"/>
  <c r="U342" i="14"/>
  <c r="V338" i="14"/>
  <c r="T335" i="14"/>
  <c r="V336" i="14"/>
  <c r="U335" i="14"/>
  <c r="V335" i="14"/>
  <c r="U334" i="14"/>
  <c r="T334" i="14"/>
  <c r="V334" i="14"/>
  <c r="U336" i="14"/>
  <c r="T336" i="14"/>
  <c r="U271" i="14"/>
  <c r="T270" i="14"/>
  <c r="U268" i="14"/>
  <c r="V267" i="14"/>
  <c r="T269" i="14"/>
  <c r="U270" i="14"/>
  <c r="T267" i="14"/>
  <c r="U269" i="14"/>
  <c r="U272" i="14"/>
  <c r="V272" i="14"/>
  <c r="T271" i="14"/>
  <c r="V268" i="14"/>
  <c r="V269" i="14"/>
  <c r="V270" i="14"/>
  <c r="T272" i="14"/>
  <c r="T268" i="14"/>
  <c r="U267" i="14"/>
  <c r="V271" i="14"/>
  <c r="T333" i="14"/>
  <c r="V328" i="14"/>
  <c r="T331" i="14"/>
  <c r="V331" i="14"/>
  <c r="U328" i="14"/>
  <c r="V329" i="14"/>
  <c r="V330" i="14"/>
  <c r="U333" i="14"/>
  <c r="V333" i="14"/>
  <c r="U331" i="14"/>
  <c r="T329" i="14"/>
  <c r="T330" i="14"/>
  <c r="V332" i="14"/>
  <c r="U332" i="14"/>
  <c r="U329" i="14"/>
  <c r="U330" i="14"/>
  <c r="T332" i="14"/>
  <c r="T328" i="14"/>
  <c r="T247" i="14"/>
  <c r="V247" i="14"/>
  <c r="V246" i="14"/>
  <c r="I247" i="14" s="1"/>
  <c r="T246" i="14"/>
  <c r="U246" i="14"/>
  <c r="U247" i="14"/>
  <c r="V325" i="14"/>
  <c r="V326" i="14"/>
  <c r="U327" i="14"/>
  <c r="T326" i="14"/>
  <c r="U326" i="14"/>
  <c r="V327" i="14"/>
  <c r="T325" i="14"/>
  <c r="T327" i="14"/>
  <c r="U325" i="14"/>
  <c r="T324" i="14"/>
  <c r="U324" i="14"/>
  <c r="T322" i="14"/>
  <c r="T323" i="14"/>
  <c r="V322" i="14"/>
  <c r="V324" i="14"/>
  <c r="U322" i="14"/>
  <c r="U323" i="14"/>
  <c r="V323" i="14"/>
  <c r="T243" i="14"/>
  <c r="V243" i="14"/>
  <c r="T244" i="14"/>
  <c r="U243" i="14"/>
  <c r="U244" i="14"/>
  <c r="V244" i="14"/>
  <c r="T266" i="14"/>
  <c r="U266" i="14"/>
  <c r="T264" i="14"/>
  <c r="U264" i="14"/>
  <c r="V265" i="14"/>
  <c r="V264" i="14"/>
  <c r="U265" i="14"/>
  <c r="T265" i="14"/>
  <c r="V266" i="14"/>
  <c r="T104" i="14"/>
  <c r="T321" i="14"/>
  <c r="V320" i="14"/>
  <c r="V104" i="14"/>
  <c r="T319" i="14"/>
  <c r="T105" i="14"/>
  <c r="V319" i="14"/>
  <c r="U321" i="14"/>
  <c r="T320" i="14"/>
  <c r="U105" i="14"/>
  <c r="U319" i="14"/>
  <c r="V105" i="14"/>
  <c r="U320" i="14"/>
  <c r="V321" i="14"/>
  <c r="U104" i="14"/>
  <c r="T314" i="14"/>
  <c r="U316" i="14"/>
  <c r="T315" i="14"/>
  <c r="U318" i="14"/>
  <c r="V317" i="14"/>
  <c r="V318" i="14"/>
  <c r="V316" i="14"/>
  <c r="U315" i="14"/>
  <c r="V313" i="14"/>
  <c r="V315" i="14"/>
  <c r="V314" i="14"/>
  <c r="U313" i="14"/>
  <c r="U314" i="14"/>
  <c r="T318" i="14"/>
  <c r="T316" i="14"/>
  <c r="U317" i="14"/>
  <c r="T317" i="14"/>
  <c r="T313" i="14"/>
  <c r="T239" i="14"/>
  <c r="U239" i="14"/>
  <c r="T241" i="14"/>
  <c r="V240" i="14"/>
  <c r="U240" i="14"/>
  <c r="V241" i="14"/>
  <c r="T240" i="14"/>
  <c r="V239" i="14"/>
  <c r="U241" i="14"/>
  <c r="T262" i="14"/>
  <c r="V263" i="14"/>
  <c r="V262" i="14"/>
  <c r="T261" i="14"/>
  <c r="V310" i="14"/>
  <c r="U261" i="14"/>
  <c r="U312" i="14"/>
  <c r="U311" i="14"/>
  <c r="T310" i="14"/>
  <c r="T263" i="14"/>
  <c r="U263" i="14"/>
  <c r="T311" i="14"/>
  <c r="V261" i="14"/>
  <c r="V311" i="14"/>
  <c r="U310" i="14"/>
  <c r="T312" i="14"/>
  <c r="U262" i="14"/>
  <c r="V312" i="14"/>
  <c r="U307" i="14"/>
  <c r="U308" i="14"/>
  <c r="V308" i="14"/>
  <c r="V307" i="14"/>
  <c r="U309" i="14"/>
  <c r="V309" i="14"/>
  <c r="T308" i="14"/>
  <c r="T309" i="14"/>
  <c r="T307" i="14"/>
  <c r="U304" i="14"/>
  <c r="V305" i="14"/>
  <c r="V304" i="14"/>
  <c r="T305" i="14"/>
  <c r="T306" i="14"/>
  <c r="V306" i="14"/>
  <c r="T304" i="14"/>
  <c r="U305" i="14"/>
  <c r="U306" i="14"/>
  <c r="U301" i="14"/>
  <c r="U303" i="14"/>
  <c r="V301" i="14"/>
  <c r="T302" i="14"/>
  <c r="T303" i="14"/>
  <c r="U302" i="14"/>
  <c r="V302" i="14"/>
  <c r="V303" i="14"/>
  <c r="T301" i="14"/>
  <c r="T238" i="14"/>
  <c r="V237" i="14"/>
  <c r="V238" i="14"/>
  <c r="U238" i="14"/>
  <c r="T237" i="14"/>
  <c r="U237" i="14"/>
  <c r="T234" i="14"/>
  <c r="U234" i="14"/>
  <c r="V235" i="14"/>
  <c r="V232" i="14"/>
  <c r="U235" i="14"/>
  <c r="V234" i="14"/>
  <c r="T235" i="14"/>
  <c r="U232" i="14"/>
  <c r="T232" i="14"/>
  <c r="U298" i="14"/>
  <c r="V299" i="14"/>
  <c r="U299" i="14"/>
  <c r="T299" i="14"/>
  <c r="V300" i="14"/>
  <c r="V298" i="14"/>
  <c r="U300" i="14"/>
  <c r="T300" i="14"/>
  <c r="T298" i="14"/>
  <c r="T223" i="14"/>
  <c r="U228" i="14"/>
  <c r="V220" i="14"/>
  <c r="V223" i="14"/>
  <c r="V228" i="14"/>
  <c r="U223" i="14"/>
  <c r="T220" i="14"/>
  <c r="U220" i="14"/>
  <c r="T228" i="14"/>
  <c r="U295" i="14"/>
  <c r="V297" i="14"/>
  <c r="T295" i="14"/>
  <c r="V296" i="14"/>
  <c r="T297" i="14"/>
  <c r="V295" i="14"/>
  <c r="U297" i="14"/>
  <c r="T296" i="14"/>
  <c r="U296" i="14"/>
  <c r="U258" i="14"/>
  <c r="V215" i="14"/>
  <c r="U260" i="14"/>
  <c r="T258" i="14"/>
  <c r="T260" i="14"/>
  <c r="U259" i="14"/>
  <c r="V212" i="14"/>
  <c r="T259" i="14"/>
  <c r="V260" i="14"/>
  <c r="V258" i="14"/>
  <c r="U215" i="14"/>
  <c r="U212" i="14"/>
  <c r="T215" i="14"/>
  <c r="V259" i="14"/>
  <c r="T212" i="14"/>
  <c r="U292" i="14"/>
  <c r="V292" i="14"/>
  <c r="T208" i="14"/>
  <c r="U208" i="14"/>
  <c r="V207" i="14"/>
  <c r="T207" i="14"/>
  <c r="T293" i="14"/>
  <c r="T205" i="14"/>
  <c r="V293" i="14"/>
  <c r="V294" i="14"/>
  <c r="V204" i="14"/>
  <c r="U204" i="14"/>
  <c r="V205" i="14"/>
  <c r="T292" i="14"/>
  <c r="U294" i="14"/>
  <c r="T294" i="14"/>
  <c r="V208" i="14"/>
  <c r="T204" i="14"/>
  <c r="U207" i="14"/>
  <c r="U293" i="14"/>
  <c r="U205" i="14"/>
  <c r="T183" i="14"/>
  <c r="T186" i="14"/>
  <c r="T184" i="14"/>
  <c r="U202" i="14"/>
  <c r="V184" i="14"/>
  <c r="T201" i="14"/>
  <c r="U187" i="14"/>
  <c r="U186" i="14"/>
  <c r="U184" i="14"/>
  <c r="U201" i="14"/>
  <c r="V202" i="14"/>
  <c r="U182" i="14"/>
  <c r="T187" i="14"/>
  <c r="V187" i="14"/>
  <c r="V182" i="14"/>
  <c r="T182" i="14"/>
  <c r="U185" i="14"/>
  <c r="V186" i="14"/>
  <c r="V185" i="14"/>
  <c r="U183" i="14"/>
  <c r="V201" i="14"/>
  <c r="V183" i="14"/>
  <c r="T185" i="14"/>
  <c r="T202" i="14"/>
  <c r="T198" i="14"/>
  <c r="V198" i="14"/>
  <c r="U198" i="14"/>
  <c r="U199" i="14"/>
  <c r="V199" i="14"/>
  <c r="T199" i="14"/>
  <c r="U193" i="14"/>
  <c r="U192" i="14"/>
  <c r="T193" i="14"/>
  <c r="V192" i="14"/>
  <c r="T192" i="14"/>
  <c r="V193" i="14"/>
  <c r="U289" i="14"/>
  <c r="U290" i="14"/>
  <c r="U291" i="14"/>
  <c r="V286" i="14"/>
  <c r="U288" i="14"/>
  <c r="T289" i="14"/>
  <c r="T291" i="14"/>
  <c r="V287" i="14"/>
  <c r="U286" i="14"/>
  <c r="V290" i="14"/>
  <c r="V289" i="14"/>
  <c r="T286" i="14"/>
  <c r="V288" i="14"/>
  <c r="T290" i="14"/>
  <c r="V291" i="14"/>
  <c r="U287" i="14"/>
  <c r="T287" i="14"/>
  <c r="T288" i="14"/>
  <c r="U283" i="14"/>
  <c r="V285" i="14"/>
  <c r="V284" i="14"/>
  <c r="T284" i="14"/>
  <c r="U285" i="14"/>
  <c r="T283" i="14"/>
  <c r="V283" i="14"/>
  <c r="T285" i="14"/>
  <c r="U284" i="14"/>
  <c r="U255" i="14"/>
  <c r="U257" i="14"/>
  <c r="V256" i="14"/>
  <c r="T256" i="14"/>
  <c r="U256" i="14"/>
  <c r="V257" i="14"/>
  <c r="V255" i="14"/>
  <c r="T257" i="14"/>
  <c r="T255" i="14"/>
  <c r="U179" i="14"/>
  <c r="T180" i="14"/>
  <c r="T179" i="14"/>
  <c r="T181" i="14"/>
  <c r="V180" i="14"/>
  <c r="U181" i="14"/>
  <c r="V179" i="14"/>
  <c r="V181" i="14"/>
  <c r="U180" i="14"/>
  <c r="U280" i="14"/>
  <c r="V151" i="14"/>
  <c r="U151" i="14"/>
  <c r="U282" i="14"/>
  <c r="V280" i="14"/>
  <c r="T151" i="14"/>
  <c r="V281" i="14"/>
  <c r="U152" i="14"/>
  <c r="T152" i="14"/>
  <c r="T280" i="14"/>
  <c r="T282" i="14"/>
  <c r="T281" i="14"/>
  <c r="V152" i="14"/>
  <c r="V282" i="14"/>
  <c r="U281" i="14"/>
  <c r="U190" i="14"/>
  <c r="T190" i="14"/>
  <c r="V190" i="14"/>
  <c r="T177" i="14"/>
  <c r="V178" i="14"/>
  <c r="U177" i="14"/>
  <c r="T176" i="14"/>
  <c r="V176" i="14"/>
  <c r="V177" i="14"/>
  <c r="T178" i="14"/>
  <c r="U176" i="14"/>
  <c r="U178" i="14"/>
  <c r="T278" i="14"/>
  <c r="T279" i="14"/>
  <c r="V278" i="14"/>
  <c r="U277" i="14"/>
  <c r="U279" i="14"/>
  <c r="V277" i="14"/>
  <c r="T277" i="14"/>
  <c r="V279" i="14"/>
  <c r="U278" i="14"/>
  <c r="T274" i="14"/>
  <c r="V275" i="14"/>
  <c r="V274" i="14"/>
  <c r="U274" i="14"/>
  <c r="U276" i="14"/>
  <c r="T275" i="14"/>
  <c r="V276" i="14"/>
  <c r="T276" i="14"/>
  <c r="U275" i="14"/>
  <c r="U175" i="14"/>
  <c r="T174" i="14"/>
  <c r="T175" i="14"/>
  <c r="U174" i="14"/>
  <c r="V175" i="14"/>
  <c r="V174" i="14"/>
  <c r="U156" i="14"/>
  <c r="T157" i="14"/>
  <c r="T169" i="14"/>
  <c r="V172" i="14"/>
  <c r="U164" i="14"/>
  <c r="V157" i="14"/>
  <c r="V158" i="14"/>
  <c r="U161" i="14"/>
  <c r="V169" i="14"/>
  <c r="T172" i="14"/>
  <c r="T155" i="14"/>
  <c r="T167" i="14"/>
  <c r="T156" i="14"/>
  <c r="T164" i="14"/>
  <c r="V161" i="14"/>
  <c r="U169" i="14"/>
  <c r="U172" i="14"/>
  <c r="T158" i="14"/>
  <c r="V156" i="14"/>
  <c r="U167" i="14"/>
  <c r="U157" i="14"/>
  <c r="U155" i="14"/>
  <c r="V155" i="14"/>
  <c r="V167" i="14"/>
  <c r="V164" i="14"/>
  <c r="U158" i="14"/>
  <c r="T161" i="14"/>
  <c r="T253" i="14"/>
  <c r="U254" i="14"/>
  <c r="T252" i="14"/>
  <c r="U252" i="14"/>
  <c r="T254" i="14"/>
  <c r="V252" i="14"/>
  <c r="V253" i="14"/>
  <c r="V254" i="14"/>
  <c r="U253" i="14"/>
  <c r="T149" i="14"/>
  <c r="V149" i="14"/>
  <c r="U149" i="14"/>
  <c r="V39" i="14"/>
  <c r="U60" i="14"/>
  <c r="U48" i="14"/>
  <c r="U51" i="14"/>
  <c r="V56" i="14"/>
  <c r="U59" i="14"/>
  <c r="T51" i="14"/>
  <c r="U57" i="14"/>
  <c r="V38" i="14"/>
  <c r="V36" i="14"/>
  <c r="V60" i="14"/>
  <c r="T53" i="14"/>
  <c r="T60" i="14"/>
  <c r="T48" i="14"/>
  <c r="V51" i="14"/>
  <c r="U39" i="14"/>
  <c r="T36" i="14"/>
  <c r="U36" i="14"/>
  <c r="V53" i="14"/>
  <c r="T41" i="14"/>
  <c r="V48" i="14"/>
  <c r="V41" i="14"/>
  <c r="U38" i="14"/>
  <c r="V59" i="14"/>
  <c r="U56" i="14"/>
  <c r="V57" i="14"/>
  <c r="T39" i="14"/>
  <c r="V42" i="14"/>
  <c r="V35" i="14"/>
  <c r="V54" i="14"/>
  <c r="T42" i="14"/>
  <c r="T59" i="14"/>
  <c r="T56" i="14"/>
  <c r="U53" i="14"/>
  <c r="T54" i="14"/>
  <c r="T57" i="14"/>
  <c r="U54" i="14"/>
  <c r="T35" i="14"/>
  <c r="U42" i="14"/>
  <c r="U41" i="14"/>
  <c r="T38" i="14"/>
  <c r="U35" i="14"/>
  <c r="V146" i="14"/>
  <c r="U146" i="14"/>
  <c r="T146" i="14"/>
  <c r="U142" i="14"/>
  <c r="V142" i="14"/>
  <c r="T142" i="14"/>
  <c r="T137" i="14"/>
  <c r="V138" i="14"/>
  <c r="U138" i="14"/>
  <c r="T138" i="14"/>
  <c r="V137" i="14"/>
  <c r="U137" i="14"/>
  <c r="U132" i="14"/>
  <c r="V134" i="14"/>
  <c r="V131" i="14"/>
  <c r="V135" i="14"/>
  <c r="V130" i="14"/>
  <c r="V132" i="14"/>
  <c r="U130" i="14"/>
  <c r="T131" i="14"/>
  <c r="T135" i="14"/>
  <c r="T134" i="14"/>
  <c r="T132" i="14"/>
  <c r="U134" i="14"/>
  <c r="T130" i="14"/>
  <c r="U131" i="14"/>
  <c r="U135" i="14"/>
  <c r="T129" i="14"/>
  <c r="V129" i="14"/>
  <c r="U129" i="14"/>
  <c r="T126" i="14"/>
  <c r="V126" i="14"/>
  <c r="U126" i="14"/>
  <c r="T25" i="14"/>
  <c r="T24" i="14"/>
  <c r="V28" i="14"/>
  <c r="V71" i="14"/>
  <c r="V75" i="14"/>
  <c r="T83" i="14"/>
  <c r="V87" i="14"/>
  <c r="T99" i="14"/>
  <c r="V109" i="14"/>
  <c r="U113" i="14"/>
  <c r="T68" i="14"/>
  <c r="V72" i="14"/>
  <c r="U84" i="14"/>
  <c r="U96" i="14"/>
  <c r="V110" i="14"/>
  <c r="V17" i="14"/>
  <c r="U29" i="14"/>
  <c r="T33" i="14"/>
  <c r="U26" i="14"/>
  <c r="T30" i="14"/>
  <c r="U69" i="14"/>
  <c r="V81" i="14"/>
  <c r="U85" i="14"/>
  <c r="V97" i="14"/>
  <c r="U101" i="14"/>
  <c r="T111" i="14"/>
  <c r="U123" i="14"/>
  <c r="T15" i="14"/>
  <c r="V27" i="14"/>
  <c r="T66" i="14"/>
  <c r="V78" i="14"/>
  <c r="T82" i="14"/>
  <c r="T86" i="14"/>
  <c r="V94" i="14"/>
  <c r="T98" i="14"/>
  <c r="T102" i="14"/>
  <c r="U120" i="14"/>
  <c r="T85" i="14"/>
  <c r="U97" i="14"/>
  <c r="V23" i="14"/>
  <c r="V74" i="14"/>
  <c r="U82" i="14"/>
  <c r="U94" i="14"/>
  <c r="V112" i="14"/>
  <c r="T87" i="14"/>
  <c r="V113" i="14"/>
  <c r="T72" i="14"/>
  <c r="V114" i="14"/>
  <c r="U33" i="14"/>
  <c r="V26" i="14"/>
  <c r="V69" i="14"/>
  <c r="V101" i="14"/>
  <c r="U15" i="14"/>
  <c r="U66" i="14"/>
  <c r="U86" i="14"/>
  <c r="V98" i="14"/>
  <c r="U112" i="14"/>
  <c r="V76" i="14"/>
  <c r="V24" i="14"/>
  <c r="U28" i="14"/>
  <c r="T63" i="14"/>
  <c r="U71" i="14"/>
  <c r="V83" i="14"/>
  <c r="U87" i="14"/>
  <c r="T95" i="14"/>
  <c r="V99" i="14"/>
  <c r="U109" i="14"/>
  <c r="T117" i="14"/>
  <c r="V68" i="14"/>
  <c r="U80" i="14"/>
  <c r="T84" i="14"/>
  <c r="T96" i="14"/>
  <c r="U114" i="14"/>
  <c r="U21" i="14"/>
  <c r="T29" i="14"/>
  <c r="V33" i="14"/>
  <c r="V18" i="14"/>
  <c r="T26" i="14"/>
  <c r="T69" i="14"/>
  <c r="V77" i="14"/>
  <c r="U81" i="14"/>
  <c r="V93" i="14"/>
  <c r="T101" i="14"/>
  <c r="T123" i="14"/>
  <c r="T27" i="14"/>
  <c r="U78" i="14"/>
  <c r="V90" i="14"/>
  <c r="U98" i="14"/>
  <c r="T120" i="14"/>
  <c r="T109" i="14"/>
  <c r="U68" i="14"/>
  <c r="T17" i="14"/>
  <c r="U30" i="14"/>
  <c r="V85" i="14"/>
  <c r="U111" i="14"/>
  <c r="U23" i="14"/>
  <c r="V82" i="14"/>
  <c r="V25" i="14"/>
  <c r="U76" i="14"/>
  <c r="U24" i="14"/>
  <c r="V63" i="14"/>
  <c r="T75" i="14"/>
  <c r="U83" i="14"/>
  <c r="V95" i="14"/>
  <c r="U99" i="14"/>
  <c r="T113" i="14"/>
  <c r="V117" i="14"/>
  <c r="U72" i="14"/>
  <c r="T80" i="14"/>
  <c r="V84" i="14"/>
  <c r="V96" i="14"/>
  <c r="U110" i="14"/>
  <c r="T114" i="14"/>
  <c r="U17" i="14"/>
  <c r="T21" i="14"/>
  <c r="V29" i="14"/>
  <c r="U18" i="14"/>
  <c r="V30" i="14"/>
  <c r="U77" i="14"/>
  <c r="T81" i="14"/>
  <c r="U93" i="14"/>
  <c r="T97" i="14"/>
  <c r="V111" i="14"/>
  <c r="V15" i="14"/>
  <c r="T23" i="14"/>
  <c r="U27" i="14"/>
  <c r="V66" i="14"/>
  <c r="U74" i="14"/>
  <c r="T78" i="14"/>
  <c r="V86" i="14"/>
  <c r="T90" i="14"/>
  <c r="T94" i="14"/>
  <c r="V102" i="14"/>
  <c r="T112" i="14"/>
  <c r="U25" i="14"/>
  <c r="T76" i="14"/>
  <c r="T28" i="14"/>
  <c r="U63" i="14"/>
  <c r="T71" i="14"/>
  <c r="U75" i="14"/>
  <c r="U95" i="14"/>
  <c r="U117" i="14"/>
  <c r="V80" i="14"/>
  <c r="T110" i="14"/>
  <c r="V21" i="14"/>
  <c r="T18" i="14"/>
  <c r="T77" i="14"/>
  <c r="T93" i="14"/>
  <c r="V123" i="14"/>
  <c r="T74" i="14"/>
  <c r="U90" i="14"/>
  <c r="U102" i="14"/>
  <c r="V120" i="14"/>
  <c r="U11" i="14"/>
  <c r="U8" i="14"/>
  <c r="T7" i="14"/>
  <c r="T8" i="14"/>
  <c r="V11" i="14"/>
  <c r="T11" i="14"/>
  <c r="V7" i="14"/>
  <c r="V8" i="14"/>
  <c r="U7" i="14"/>
  <c r="V6" i="14"/>
  <c r="U6" i="14"/>
  <c r="T6" i="14"/>
  <c r="I86" i="14" l="1"/>
  <c r="I27" i="14"/>
  <c r="I138" i="14"/>
  <c r="I36" i="14"/>
  <c r="I57" i="14"/>
  <c r="I275" i="14"/>
  <c r="I288" i="14"/>
  <c r="I294" i="14"/>
  <c r="I303" i="14"/>
  <c r="I240" i="14"/>
  <c r="I323" i="14"/>
  <c r="I327" i="14"/>
  <c r="I268" i="14"/>
  <c r="I351" i="14"/>
  <c r="I8" i="14"/>
  <c r="I30" i="14"/>
  <c r="I7" i="14"/>
  <c r="I81" i="14"/>
  <c r="I84" i="14"/>
  <c r="I111" i="14"/>
  <c r="I29" i="14"/>
  <c r="I42" i="14"/>
  <c r="I253" i="14"/>
  <c r="I170" i="14"/>
  <c r="I178" i="14"/>
  <c r="I181" i="14"/>
  <c r="I284" i="14"/>
  <c r="I285" i="14"/>
  <c r="I202" i="14"/>
  <c r="I293" i="14"/>
  <c r="I296" i="14"/>
  <c r="I315" i="14"/>
  <c r="I317" i="14"/>
  <c r="I345" i="14"/>
  <c r="I347" i="14"/>
  <c r="I344" i="14"/>
  <c r="I350" i="14"/>
  <c r="I87" i="14"/>
  <c r="I26" i="14"/>
  <c r="I77" i="14"/>
  <c r="W76" i="14"/>
  <c r="I114" i="14"/>
  <c r="I95" i="14"/>
  <c r="I175" i="14"/>
  <c r="I177" i="14"/>
  <c r="W176" i="14"/>
  <c r="I287" i="14"/>
  <c r="I208" i="14"/>
  <c r="I238" i="14"/>
  <c r="I302" i="14"/>
  <c r="I265" i="14"/>
  <c r="I324" i="14"/>
  <c r="I330" i="14"/>
  <c r="I269" i="14"/>
  <c r="I83" i="14"/>
  <c r="I69" i="14"/>
  <c r="W68" i="14"/>
  <c r="I75" i="14"/>
  <c r="I110" i="14"/>
  <c r="I135" i="14"/>
  <c r="I60" i="14"/>
  <c r="I157" i="14"/>
  <c r="I276" i="14"/>
  <c r="I279" i="14"/>
  <c r="I152" i="14"/>
  <c r="I180" i="14"/>
  <c r="I290" i="14"/>
  <c r="I186" i="14"/>
  <c r="I183" i="14"/>
  <c r="I297" i="14"/>
  <c r="I299" i="14"/>
  <c r="I300" i="14"/>
  <c r="I305" i="14"/>
  <c r="I308" i="14"/>
  <c r="I312" i="14"/>
  <c r="I314" i="14"/>
  <c r="I318" i="14"/>
  <c r="I105" i="14"/>
  <c r="I266" i="14"/>
  <c r="I326" i="14"/>
  <c r="I333" i="14"/>
  <c r="I336" i="14"/>
  <c r="I339" i="14"/>
  <c r="I341" i="14"/>
  <c r="I342" i="14"/>
  <c r="I132" i="14"/>
  <c r="I39" i="14"/>
  <c r="I282" i="14"/>
  <c r="I263" i="14"/>
  <c r="I241" i="14"/>
  <c r="I329" i="14"/>
  <c r="I96" i="14"/>
  <c r="I78" i="14"/>
  <c r="I99" i="14"/>
  <c r="I102" i="14"/>
  <c r="I113" i="14"/>
  <c r="I24" i="14"/>
  <c r="I98" i="14"/>
  <c r="I18" i="14"/>
  <c r="W17" i="14"/>
  <c r="I72" i="14"/>
  <c r="W71" i="14"/>
  <c r="I131" i="14"/>
  <c r="W130" i="14"/>
  <c r="I54" i="14"/>
  <c r="I254" i="14"/>
  <c r="I158" i="14"/>
  <c r="I278" i="14"/>
  <c r="I281" i="14"/>
  <c r="I256" i="14"/>
  <c r="I257" i="14"/>
  <c r="I291" i="14"/>
  <c r="I193" i="14"/>
  <c r="I199" i="14"/>
  <c r="I184" i="14"/>
  <c r="I187" i="14"/>
  <c r="I205" i="14"/>
  <c r="I260" i="14"/>
  <c r="I259" i="14"/>
  <c r="I235" i="14"/>
  <c r="I306" i="14"/>
  <c r="I309" i="14"/>
  <c r="I262" i="14"/>
  <c r="I311" i="14"/>
  <c r="I320" i="14"/>
  <c r="I321" i="14"/>
  <c r="I244" i="14"/>
  <c r="I332" i="14"/>
  <c r="I272" i="14"/>
  <c r="I271" i="14"/>
  <c r="I335" i="14"/>
  <c r="I338" i="14"/>
  <c r="I348" i="14"/>
  <c r="I195" i="14"/>
  <c r="I107" i="14"/>
  <c r="M196" i="14" l="1"/>
  <c r="O107" i="14"/>
  <c r="N108" i="14"/>
  <c r="M107" i="14"/>
  <c r="M108" i="14"/>
  <c r="N196" i="14"/>
  <c r="N194" i="14"/>
  <c r="M194" i="14"/>
  <c r="O196" i="14"/>
  <c r="M106" i="14"/>
  <c r="N106" i="14"/>
  <c r="N107" i="14"/>
  <c r="N195" i="14"/>
  <c r="O108" i="14"/>
  <c r="M195" i="14"/>
  <c r="O194" i="14"/>
  <c r="O195" i="14"/>
  <c r="O106" i="14"/>
  <c r="M350" i="14"/>
  <c r="N348" i="14"/>
  <c r="M336" i="14"/>
  <c r="M321" i="14"/>
  <c r="M324" i="14"/>
  <c r="O201" i="14"/>
  <c r="N330" i="14"/>
  <c r="M161" i="14"/>
  <c r="N28" i="14"/>
  <c r="M53" i="14"/>
  <c r="N186" i="14"/>
  <c r="N223" i="14"/>
  <c r="N305" i="14"/>
  <c r="O320" i="14"/>
  <c r="M345" i="14"/>
  <c r="O337" i="14"/>
  <c r="O324" i="14"/>
  <c r="O295" i="14"/>
  <c r="M241" i="14"/>
  <c r="N329" i="14"/>
  <c r="M155" i="14"/>
  <c r="N258" i="14"/>
  <c r="N75" i="14"/>
  <c r="M272" i="14"/>
  <c r="O275" i="14"/>
  <c r="M244" i="14"/>
  <c r="N298" i="14"/>
  <c r="O343" i="14"/>
  <c r="O326" i="14"/>
  <c r="O336" i="14"/>
  <c r="N322" i="14"/>
  <c r="O308" i="14"/>
  <c r="M329" i="14"/>
  <c r="O110" i="14"/>
  <c r="M340" i="14"/>
  <c r="M81" i="14"/>
  <c r="N299" i="14"/>
  <c r="M174" i="14"/>
  <c r="N312" i="14"/>
  <c r="N243" i="14"/>
  <c r="M304" i="14"/>
  <c r="O345" i="14"/>
  <c r="N239" i="14"/>
  <c r="N15" i="14"/>
  <c r="M342" i="14"/>
  <c r="N275" i="14"/>
  <c r="O332" i="14"/>
  <c r="M263" i="14"/>
  <c r="M256" i="14"/>
  <c r="O292" i="14"/>
  <c r="M69" i="14"/>
  <c r="N287" i="14"/>
  <c r="N332" i="14"/>
  <c r="N293" i="14"/>
  <c r="O312" i="14"/>
  <c r="N304" i="14"/>
  <c r="N39" i="14"/>
  <c r="N288" i="14"/>
  <c r="O180" i="14"/>
  <c r="O207" i="14"/>
  <c r="O313" i="14"/>
  <c r="O193" i="14"/>
  <c r="N349" i="14"/>
  <c r="M328" i="14"/>
  <c r="M281" i="14"/>
  <c r="M105" i="14"/>
  <c r="N252" i="14"/>
  <c r="O105" i="14"/>
  <c r="M307" i="14"/>
  <c r="M234" i="14"/>
  <c r="N54" i="14"/>
  <c r="N184" i="14"/>
  <c r="M94" i="14"/>
  <c r="O279" i="14"/>
  <c r="M172" i="14"/>
  <c r="O290" i="14"/>
  <c r="N182" i="14"/>
  <c r="M138" i="14"/>
  <c r="O261" i="14"/>
  <c r="M204" i="14"/>
  <c r="N334" i="14"/>
  <c r="O6" i="14"/>
  <c r="N11" i="14"/>
  <c r="O23" i="14"/>
  <c r="N53" i="14"/>
  <c r="O350" i="14"/>
  <c r="M347" i="14"/>
  <c r="N270" i="14"/>
  <c r="O48" i="14"/>
  <c r="M247" i="14"/>
  <c r="M201" i="14"/>
  <c r="O340" i="14"/>
  <c r="N104" i="14"/>
  <c r="N60" i="14"/>
  <c r="O328" i="14"/>
  <c r="O204" i="14"/>
  <c r="M26" i="14"/>
  <c r="N350" i="14"/>
  <c r="M344" i="14"/>
  <c r="N336" i="14"/>
  <c r="O184" i="14"/>
  <c r="N321" i="14"/>
  <c r="O172" i="14"/>
  <c r="O178" i="14"/>
  <c r="O339" i="14"/>
  <c r="O327" i="14"/>
  <c r="N84" i="14"/>
  <c r="M282" i="14"/>
  <c r="N244" i="14"/>
  <c r="M333" i="14"/>
  <c r="N286" i="14"/>
  <c r="O341" i="14"/>
  <c r="N77" i="14"/>
  <c r="M325" i="14"/>
  <c r="N328" i="14"/>
  <c r="O285" i="14"/>
  <c r="N327" i="14"/>
  <c r="M157" i="14"/>
  <c r="N149" i="14"/>
  <c r="N204" i="14"/>
  <c r="N201" i="14"/>
  <c r="M11" i="14"/>
  <c r="M266" i="14"/>
  <c r="N346" i="14"/>
  <c r="M303" i="14"/>
  <c r="M267" i="14"/>
  <c r="M205" i="14"/>
  <c r="O98" i="14"/>
  <c r="N105" i="14"/>
  <c r="O271" i="14"/>
  <c r="N274" i="14"/>
  <c r="M286" i="14"/>
  <c r="O78" i="14"/>
  <c r="O131" i="14"/>
  <c r="M169" i="14"/>
  <c r="N347" i="14"/>
  <c r="O348" i="14"/>
  <c r="O330" i="14"/>
  <c r="M288" i="14"/>
  <c r="M207" i="14"/>
  <c r="O258" i="14"/>
  <c r="M269" i="14"/>
  <c r="N193" i="14"/>
  <c r="N313" i="14"/>
  <c r="N241" i="14"/>
  <c r="M299" i="14"/>
  <c r="N342" i="14"/>
  <c r="O265" i="14"/>
  <c r="N325" i="14"/>
  <c r="M308" i="14"/>
  <c r="M349" i="14"/>
  <c r="M348" i="14"/>
  <c r="N268" i="14"/>
  <c r="N318" i="14"/>
  <c r="N161" i="14"/>
  <c r="M187" i="14"/>
  <c r="M271" i="14"/>
  <c r="N310" i="14"/>
  <c r="N265" i="14"/>
  <c r="M158" i="14"/>
  <c r="M305" i="14"/>
  <c r="N339" i="14"/>
  <c r="O247" i="14"/>
  <c r="O294" i="14"/>
  <c r="O138" i="14"/>
  <c r="N320" i="14"/>
  <c r="M331" i="14"/>
  <c r="M178" i="14"/>
  <c r="N23" i="14"/>
  <c r="O198" i="14"/>
  <c r="O351" i="14"/>
  <c r="N269" i="14"/>
  <c r="N205" i="14"/>
  <c r="M192" i="14"/>
  <c r="M338" i="14"/>
  <c r="M72" i="14"/>
  <c r="M78" i="14"/>
  <c r="O276" i="14"/>
  <c r="N315" i="14"/>
  <c r="M280" i="14"/>
  <c r="N271" i="14"/>
  <c r="O151" i="14"/>
  <c r="M316" i="14"/>
  <c r="O53" i="14"/>
  <c r="O158" i="14"/>
  <c r="N7" i="14"/>
  <c r="N351" i="14"/>
  <c r="M334" i="14"/>
  <c r="M265" i="14"/>
  <c r="M93" i="14"/>
  <c r="N291" i="14"/>
  <c r="M279" i="14"/>
  <c r="N296" i="14"/>
  <c r="N311" i="14"/>
  <c r="O83" i="14"/>
  <c r="O155" i="14"/>
  <c r="N41" i="14"/>
  <c r="O186" i="14"/>
  <c r="O274" i="14"/>
  <c r="M193" i="14"/>
  <c r="O26" i="14"/>
  <c r="N192" i="14"/>
  <c r="N132" i="14"/>
  <c r="O152" i="14"/>
  <c r="N94" i="14"/>
  <c r="N85" i="14"/>
  <c r="O342" i="14"/>
  <c r="O287" i="14"/>
  <c r="N18" i="14"/>
  <c r="O303" i="14"/>
  <c r="M323" i="14"/>
  <c r="N335" i="14"/>
  <c r="N212" i="14"/>
  <c r="M254" i="14"/>
  <c r="O269" i="14"/>
  <c r="M42" i="14"/>
  <c r="N333" i="14"/>
  <c r="N337" i="14"/>
  <c r="M66" i="14"/>
  <c r="O333" i="14"/>
  <c r="N340" i="14"/>
  <c r="O300" i="14"/>
  <c r="N120" i="14"/>
  <c r="O8" i="14"/>
  <c r="O315" i="14"/>
  <c r="N111" i="14"/>
  <c r="N199" i="14"/>
  <c r="N48" i="14"/>
  <c r="M253" i="14"/>
  <c r="O59" i="14"/>
  <c r="M235" i="14"/>
  <c r="M292" i="14"/>
  <c r="O77" i="14"/>
  <c r="N78" i="14"/>
  <c r="N285" i="14"/>
  <c r="M260" i="14"/>
  <c r="N256" i="14"/>
  <c r="M135" i="14"/>
  <c r="O306" i="14"/>
  <c r="N289" i="14"/>
  <c r="N142" i="14"/>
  <c r="O323" i="14"/>
  <c r="N190" i="14"/>
  <c r="M75" i="14"/>
  <c r="N255" i="14"/>
  <c r="N261" i="14"/>
  <c r="O97" i="14"/>
  <c r="O177" i="14"/>
  <c r="O185" i="14"/>
  <c r="O260" i="14"/>
  <c r="N69" i="14"/>
  <c r="M294" i="14"/>
  <c r="M285" i="14"/>
  <c r="M23" i="14"/>
  <c r="N90" i="14"/>
  <c r="O109" i="14"/>
  <c r="O252" i="14"/>
  <c r="M74" i="14"/>
  <c r="N138" i="14"/>
  <c r="N308" i="14"/>
  <c r="N331" i="14"/>
  <c r="N272" i="14"/>
  <c r="M313" i="14"/>
  <c r="O179" i="14"/>
  <c r="N343" i="14"/>
  <c r="M129" i="14"/>
  <c r="O123" i="14"/>
  <c r="O93" i="14"/>
  <c r="O243" i="14"/>
  <c r="M301" i="14"/>
  <c r="O277" i="14"/>
  <c r="M111" i="14"/>
  <c r="O51" i="14"/>
  <c r="M311" i="14"/>
  <c r="O111" i="14"/>
  <c r="N87" i="14"/>
  <c r="O7" i="14"/>
  <c r="M190" i="14"/>
  <c r="O346" i="14"/>
  <c r="O156" i="14"/>
  <c r="O205" i="14"/>
  <c r="M82" i="14"/>
  <c r="M186" i="14"/>
  <c r="M63" i="14"/>
  <c r="M315" i="14"/>
  <c r="O74" i="14"/>
  <c r="M146" i="14"/>
  <c r="M306" i="14"/>
  <c r="M240" i="14"/>
  <c r="M298" i="14"/>
  <c r="N81" i="14"/>
  <c r="M351" i="14"/>
  <c r="N319" i="14"/>
  <c r="N129" i="14"/>
  <c r="O174" i="14"/>
  <c r="M177" i="14"/>
  <c r="O41" i="14"/>
  <c r="M322" i="14"/>
  <c r="O239" i="14"/>
  <c r="O281" i="14"/>
  <c r="M185" i="14"/>
  <c r="M289" i="14"/>
  <c r="M142" i="14"/>
  <c r="M183" i="14"/>
  <c r="N157" i="14"/>
  <c r="O63" i="14"/>
  <c r="M330" i="14"/>
  <c r="M99" i="14"/>
  <c r="N6" i="14"/>
  <c r="N303" i="14"/>
  <c r="O99" i="14"/>
  <c r="O187" i="14"/>
  <c r="M86" i="14"/>
  <c r="M77" i="14"/>
  <c r="N25" i="14"/>
  <c r="M60" i="14"/>
  <c r="N151" i="14"/>
  <c r="M149" i="14"/>
  <c r="M167" i="14"/>
  <c r="N344" i="14"/>
  <c r="O240" i="14"/>
  <c r="O334" i="14"/>
  <c r="M239" i="14"/>
  <c r="M208" i="14"/>
  <c r="M312" i="14"/>
  <c r="M85" i="14"/>
  <c r="O215" i="14"/>
  <c r="N93" i="14"/>
  <c r="M90" i="14"/>
  <c r="O182" i="14"/>
  <c r="O199" i="14"/>
  <c r="M238" i="14"/>
  <c r="M28" i="14"/>
  <c r="N183" i="14"/>
  <c r="O18" i="14"/>
  <c r="O33" i="14"/>
  <c r="O30" i="14"/>
  <c r="N314" i="14"/>
  <c r="O291" i="14"/>
  <c r="O101" i="14"/>
  <c r="O84" i="14"/>
  <c r="N326" i="14"/>
  <c r="O15" i="14"/>
  <c r="M319" i="14"/>
  <c r="N267" i="14"/>
  <c r="N152" i="14"/>
  <c r="M255" i="14"/>
  <c r="N146" i="14"/>
  <c r="N80" i="14"/>
  <c r="N208" i="14"/>
  <c r="M327" i="14"/>
  <c r="N101" i="14"/>
  <c r="M314" i="14"/>
  <c r="O299" i="14"/>
  <c r="M335" i="14"/>
  <c r="M302" i="14"/>
  <c r="M215" i="14"/>
  <c r="O120" i="14"/>
  <c r="M56" i="14"/>
  <c r="M296" i="14"/>
  <c r="N114" i="14"/>
  <c r="M8" i="14"/>
  <c r="N257" i="14"/>
  <c r="M339" i="14"/>
  <c r="N307" i="14"/>
  <c r="O21" i="14"/>
  <c r="M137" i="14"/>
  <c r="N247" i="14"/>
  <c r="M80" i="14"/>
  <c r="M54" i="14"/>
  <c r="N278" i="14"/>
  <c r="O96" i="14"/>
  <c r="N180" i="14"/>
  <c r="O347" i="14"/>
  <c r="N29" i="14"/>
  <c r="M237" i="14"/>
  <c r="O329" i="14"/>
  <c r="O57" i="14"/>
  <c r="O255" i="14"/>
  <c r="M257" i="14"/>
  <c r="M274" i="14"/>
  <c r="M182" i="14"/>
  <c r="M132" i="14"/>
  <c r="N316" i="14"/>
  <c r="O302" i="14"/>
  <c r="M277" i="14"/>
  <c r="M181" i="14"/>
  <c r="O149" i="14"/>
  <c r="N283" i="14"/>
  <c r="M259" i="14"/>
  <c r="O270" i="14"/>
  <c r="O307" i="14"/>
  <c r="N280" i="14"/>
  <c r="O319" i="14"/>
  <c r="M287" i="14"/>
  <c r="O39" i="14"/>
  <c r="M164" i="14"/>
  <c r="N167" i="14"/>
  <c r="O296" i="14"/>
  <c r="N181" i="14"/>
  <c r="M97" i="14"/>
  <c r="O264" i="14"/>
  <c r="O272" i="14"/>
  <c r="N281" i="14"/>
  <c r="N38" i="14"/>
  <c r="N117" i="14"/>
  <c r="O117" i="14"/>
  <c r="O297" i="14"/>
  <c r="O137" i="14"/>
  <c r="M243" i="14"/>
  <c r="O208" i="14"/>
  <c r="O85" i="14"/>
  <c r="N235" i="14"/>
  <c r="M232" i="14"/>
  <c r="M29" i="14"/>
  <c r="N220" i="14"/>
  <c r="O268" i="14"/>
  <c r="N215" i="14"/>
  <c r="O244" i="14"/>
  <c r="O322" i="14"/>
  <c r="O301" i="14"/>
  <c r="O316" i="14"/>
  <c r="N276" i="14"/>
  <c r="M48" i="14"/>
  <c r="O129" i="14"/>
  <c r="O183" i="14"/>
  <c r="N253" i="14"/>
  <c r="O286" i="14"/>
  <c r="N169" i="14"/>
  <c r="N207" i="14"/>
  <c r="M343" i="14"/>
  <c r="N155" i="14"/>
  <c r="O263" i="14"/>
  <c r="O311" i="14"/>
  <c r="N74" i="14"/>
  <c r="M134" i="14"/>
  <c r="N264" i="14"/>
  <c r="N26" i="14"/>
  <c r="M51" i="14"/>
  <c r="N131" i="14"/>
  <c r="M223" i="14"/>
  <c r="N56" i="14"/>
  <c r="M297" i="14"/>
  <c r="M151" i="14"/>
  <c r="O102" i="14"/>
  <c r="O238" i="14"/>
  <c r="O142" i="14"/>
  <c r="O259" i="14"/>
  <c r="M41" i="14"/>
  <c r="N126" i="14"/>
  <c r="N277" i="14"/>
  <c r="M309" i="14"/>
  <c r="O66" i="14"/>
  <c r="N109" i="14"/>
  <c r="M212" i="14"/>
  <c r="M284" i="14"/>
  <c r="M318" i="14"/>
  <c r="N102" i="14"/>
  <c r="M202" i="14"/>
  <c r="N110" i="14"/>
  <c r="M39" i="14"/>
  <c r="N86" i="14"/>
  <c r="M179" i="14"/>
  <c r="M35" i="14"/>
  <c r="O29" i="14"/>
  <c r="O304" i="14"/>
  <c r="O284" i="14"/>
  <c r="N302" i="14"/>
  <c r="O293" i="14"/>
  <c r="N290" i="14"/>
  <c r="N97" i="14"/>
  <c r="M95" i="14"/>
  <c r="M98" i="14"/>
  <c r="M18" i="14"/>
  <c r="M102" i="14"/>
  <c r="O27" i="14"/>
  <c r="O257" i="14"/>
  <c r="M220" i="14"/>
  <c r="N309" i="14"/>
  <c r="N263" i="14"/>
  <c r="N174" i="14"/>
  <c r="O80" i="14"/>
  <c r="M184" i="14"/>
  <c r="N338" i="14"/>
  <c r="M117" i="14"/>
  <c r="N175" i="14"/>
  <c r="O223" i="14"/>
  <c r="M317" i="14"/>
  <c r="N135" i="14"/>
  <c r="N82" i="14"/>
  <c r="O228" i="14"/>
  <c r="N21" i="14"/>
  <c r="O114" i="14"/>
  <c r="M152" i="14"/>
  <c r="M30" i="14"/>
  <c r="M198" i="14"/>
  <c r="O94" i="14"/>
  <c r="M261" i="14"/>
  <c r="N99" i="14"/>
  <c r="O317" i="14"/>
  <c r="O280" i="14"/>
  <c r="O192" i="14"/>
  <c r="N36" i="14"/>
  <c r="O253" i="14"/>
  <c r="M332" i="14"/>
  <c r="O283" i="14"/>
  <c r="M114" i="14"/>
  <c r="O161" i="14"/>
  <c r="O278" i="14"/>
  <c r="N324" i="14"/>
  <c r="N158" i="14"/>
  <c r="O169" i="14"/>
  <c r="N294" i="14"/>
  <c r="O288" i="14"/>
  <c r="N232" i="14"/>
  <c r="M262" i="14"/>
  <c r="M120" i="14"/>
  <c r="O36" i="14"/>
  <c r="N292" i="14"/>
  <c r="N42" i="14"/>
  <c r="M123" i="14"/>
  <c r="N24" i="14"/>
  <c r="N295" i="14"/>
  <c r="N35" i="14"/>
  <c r="M293" i="14"/>
  <c r="O338" i="14"/>
  <c r="M300" i="14"/>
  <c r="M326" i="14"/>
  <c r="N178" i="14"/>
  <c r="O167" i="14"/>
  <c r="O318" i="14"/>
  <c r="M87" i="14"/>
  <c r="O321" i="14"/>
  <c r="M310" i="14"/>
  <c r="M57" i="14"/>
  <c r="N123" i="14"/>
  <c r="O234" i="14"/>
  <c r="M84" i="14"/>
  <c r="M15" i="14"/>
  <c r="N57" i="14"/>
  <c r="N59" i="14"/>
  <c r="M27" i="14"/>
  <c r="N30" i="14"/>
  <c r="O202" i="14"/>
  <c r="M258" i="14"/>
  <c r="O254" i="14"/>
  <c r="N234" i="14"/>
  <c r="O81" i="14"/>
  <c r="M276" i="14"/>
  <c r="O87" i="14"/>
  <c r="M59" i="14"/>
  <c r="O113" i="14"/>
  <c r="N301" i="14"/>
  <c r="N137" i="14"/>
  <c r="N317" i="14"/>
  <c r="M33" i="14"/>
  <c r="M228" i="14"/>
  <c r="N63" i="14"/>
  <c r="N202" i="14"/>
  <c r="N96" i="14"/>
  <c r="O82" i="14"/>
  <c r="O86" i="14"/>
  <c r="M252" i="14"/>
  <c r="N345" i="14"/>
  <c r="O344" i="14"/>
  <c r="O104" i="14"/>
  <c r="M6" i="14"/>
  <c r="N254" i="14"/>
  <c r="M96" i="14"/>
  <c r="M25" i="14"/>
  <c r="O35" i="14"/>
  <c r="O181" i="14"/>
  <c r="N282" i="14"/>
  <c r="O135" i="14"/>
  <c r="N83" i="14"/>
  <c r="O331" i="14"/>
  <c r="O190" i="14"/>
  <c r="O164" i="14"/>
  <c r="N198" i="14"/>
  <c r="M291" i="14"/>
  <c r="O95" i="14"/>
  <c r="M38" i="14"/>
  <c r="N185" i="14"/>
  <c r="M21" i="14"/>
  <c r="N238" i="14"/>
  <c r="N177" i="14"/>
  <c r="N300" i="14"/>
  <c r="M290" i="14"/>
  <c r="M341" i="14"/>
  <c r="O335" i="14"/>
  <c r="O146" i="14"/>
  <c r="N112" i="14"/>
  <c r="M126" i="14"/>
  <c r="N156" i="14"/>
  <c r="N228" i="14"/>
  <c r="N8" i="14"/>
  <c r="M109" i="14"/>
  <c r="N27" i="14"/>
  <c r="O90" i="14"/>
  <c r="O25" i="14"/>
  <c r="M337" i="14"/>
  <c r="M36" i="14"/>
  <c r="N240" i="14"/>
  <c r="N284" i="14"/>
  <c r="O266" i="14"/>
  <c r="M270" i="14"/>
  <c r="M156" i="14"/>
  <c r="N164" i="14"/>
  <c r="O305" i="14"/>
  <c r="M113" i="14"/>
  <c r="O232" i="14"/>
  <c r="M283" i="14"/>
  <c r="N341" i="14"/>
  <c r="M264" i="14"/>
  <c r="O349" i="14"/>
  <c r="N51" i="14"/>
  <c r="N306" i="14"/>
  <c r="M83" i="14"/>
  <c r="O212" i="14"/>
  <c r="N260" i="14"/>
  <c r="O126" i="14"/>
  <c r="N262" i="14"/>
  <c r="M24" i="14"/>
  <c r="O75" i="14"/>
  <c r="O72" i="14"/>
  <c r="N297" i="14"/>
  <c r="M278" i="14"/>
  <c r="M112" i="14"/>
  <c r="O11" i="14"/>
  <c r="M104" i="14"/>
  <c r="N259" i="14"/>
  <c r="O267" i="14"/>
  <c r="N266" i="14"/>
  <c r="M320" i="14"/>
  <c r="O237" i="14"/>
  <c r="O298" i="14"/>
  <c r="O60" i="14"/>
  <c r="N66" i="14"/>
  <c r="M295" i="14"/>
  <c r="O69" i="14"/>
  <c r="O325" i="14"/>
  <c r="M175" i="14"/>
  <c r="O256" i="14"/>
  <c r="O134" i="14"/>
  <c r="O175" i="14"/>
  <c r="O54" i="14"/>
  <c r="N279" i="14"/>
  <c r="M131" i="14"/>
  <c r="N187" i="14"/>
  <c r="N95" i="14"/>
  <c r="N172" i="14"/>
  <c r="N323" i="14"/>
  <c r="N113" i="14"/>
  <c r="O28" i="14"/>
  <c r="O309" i="14"/>
  <c r="O310" i="14"/>
  <c r="O42" i="14"/>
  <c r="O132" i="14"/>
  <c r="M346" i="14"/>
  <c r="O262" i="14"/>
  <c r="N72" i="14"/>
  <c r="M268" i="14"/>
  <c r="N33" i="14"/>
  <c r="O56" i="14"/>
  <c r="N134" i="14"/>
  <c r="O314" i="14"/>
  <c r="O235" i="14"/>
  <c r="O24" i="14"/>
  <c r="M275" i="14"/>
  <c r="M7" i="14"/>
  <c r="O157" i="14"/>
  <c r="O38" i="14"/>
  <c r="M110" i="14"/>
  <c r="O289" i="14"/>
  <c r="M180" i="14"/>
  <c r="N237" i="14"/>
  <c r="O282" i="14"/>
  <c r="M101" i="14"/>
  <c r="N98" i="14"/>
  <c r="O112" i="14"/>
  <c r="N179" i="14"/>
  <c r="O241" i="14"/>
  <c r="M199" i="14"/>
  <c r="O220" i="14"/>
  <c r="P101" i="14" l="1"/>
  <c r="W101" i="14"/>
  <c r="P7" i="14"/>
  <c r="W7" i="14"/>
  <c r="P268" i="14"/>
  <c r="W268" i="14"/>
  <c r="P175" i="14"/>
  <c r="W175" i="14"/>
  <c r="P320" i="14"/>
  <c r="W320" i="14"/>
  <c r="P104" i="14"/>
  <c r="W104" i="14"/>
  <c r="P83" i="14"/>
  <c r="W83" i="14"/>
  <c r="P264" i="14"/>
  <c r="W264" i="14"/>
  <c r="P113" i="14"/>
  <c r="W113" i="14"/>
  <c r="P270" i="14"/>
  <c r="W270" i="14"/>
  <c r="P36" i="14"/>
  <c r="W36" i="14"/>
  <c r="P38" i="14"/>
  <c r="W38" i="14"/>
  <c r="P25" i="14"/>
  <c r="W25" i="14"/>
  <c r="P27" i="14"/>
  <c r="W27" i="14"/>
  <c r="P84" i="14"/>
  <c r="W84" i="14"/>
  <c r="P310" i="14"/>
  <c r="W310" i="14"/>
  <c r="P261" i="14"/>
  <c r="W261" i="14"/>
  <c r="P152" i="14"/>
  <c r="W152" i="14"/>
  <c r="P220" i="14"/>
  <c r="W220" i="14"/>
  <c r="P18" i="14"/>
  <c r="W18" i="14"/>
  <c r="P232" i="14"/>
  <c r="W232" i="14"/>
  <c r="P243" i="14"/>
  <c r="W243" i="14"/>
  <c r="P259" i="14"/>
  <c r="W259" i="14"/>
  <c r="P277" i="14"/>
  <c r="W277" i="14"/>
  <c r="P182" i="14"/>
  <c r="W182" i="14"/>
  <c r="P54" i="14"/>
  <c r="W54" i="14"/>
  <c r="P8" i="14"/>
  <c r="W8" i="14"/>
  <c r="P85" i="14"/>
  <c r="W85" i="14"/>
  <c r="P149" i="14"/>
  <c r="W149" i="14"/>
  <c r="P77" i="14"/>
  <c r="W77" i="14"/>
  <c r="P289" i="14"/>
  <c r="W289" i="14"/>
  <c r="P322" i="14"/>
  <c r="W322" i="14"/>
  <c r="P298" i="14"/>
  <c r="W298" i="14"/>
  <c r="P82" i="14"/>
  <c r="W82" i="14"/>
  <c r="P190" i="14"/>
  <c r="W190" i="14"/>
  <c r="P311" i="14"/>
  <c r="W311" i="14"/>
  <c r="P301" i="14"/>
  <c r="W301" i="14"/>
  <c r="P129" i="14"/>
  <c r="W129" i="14"/>
  <c r="P74" i="14"/>
  <c r="W74" i="14"/>
  <c r="P23" i="14"/>
  <c r="W23" i="14"/>
  <c r="P135" i="14"/>
  <c r="W135" i="14"/>
  <c r="P254" i="14"/>
  <c r="W254" i="14"/>
  <c r="P93" i="14"/>
  <c r="W93" i="14"/>
  <c r="P192" i="14"/>
  <c r="W192" i="14"/>
  <c r="P308" i="14"/>
  <c r="W308" i="14"/>
  <c r="P299" i="14"/>
  <c r="W299" i="14"/>
  <c r="P269" i="14"/>
  <c r="W269" i="14"/>
  <c r="P267" i="14"/>
  <c r="W267" i="14"/>
  <c r="P11" i="14"/>
  <c r="W11" i="14"/>
  <c r="P157" i="14"/>
  <c r="W157" i="14"/>
  <c r="P325" i="14"/>
  <c r="W325" i="14"/>
  <c r="P333" i="14"/>
  <c r="W333" i="14"/>
  <c r="P247" i="14"/>
  <c r="W247" i="14"/>
  <c r="P138" i="14"/>
  <c r="W138" i="14"/>
  <c r="P234" i="14"/>
  <c r="W234" i="14"/>
  <c r="P105" i="14"/>
  <c r="W105" i="14"/>
  <c r="P174" i="14"/>
  <c r="W174" i="14"/>
  <c r="P244" i="14"/>
  <c r="W244" i="14"/>
  <c r="P53" i="14"/>
  <c r="W53" i="14"/>
  <c r="P194" i="14"/>
  <c r="W194" i="14"/>
  <c r="P107" i="14"/>
  <c r="W107" i="14"/>
  <c r="P110" i="14"/>
  <c r="W110" i="14"/>
  <c r="P275" i="14"/>
  <c r="W275" i="14"/>
  <c r="P337" i="14"/>
  <c r="W337" i="14"/>
  <c r="P109" i="14"/>
  <c r="W109" i="14"/>
  <c r="P126" i="14"/>
  <c r="W126" i="14"/>
  <c r="P341" i="14"/>
  <c r="W341" i="14"/>
  <c r="P96" i="14"/>
  <c r="W96" i="14"/>
  <c r="P228" i="14"/>
  <c r="W228" i="14"/>
  <c r="P276" i="14"/>
  <c r="W276" i="14"/>
  <c r="P258" i="14"/>
  <c r="W258" i="14"/>
  <c r="P293" i="14"/>
  <c r="W293" i="14"/>
  <c r="P123" i="14"/>
  <c r="W123" i="14"/>
  <c r="P120" i="14"/>
  <c r="W120" i="14"/>
  <c r="P332" i="14"/>
  <c r="W332" i="14"/>
  <c r="P117" i="14"/>
  <c r="W117" i="14"/>
  <c r="P98" i="14"/>
  <c r="W98" i="14"/>
  <c r="P39" i="14"/>
  <c r="W39" i="14"/>
  <c r="P318" i="14"/>
  <c r="W318" i="14"/>
  <c r="P41" i="14"/>
  <c r="W41" i="14"/>
  <c r="P223" i="14"/>
  <c r="W223" i="14"/>
  <c r="P97" i="14"/>
  <c r="W97" i="14"/>
  <c r="P164" i="14"/>
  <c r="W164" i="14"/>
  <c r="P274" i="14"/>
  <c r="W274" i="14"/>
  <c r="P80" i="14"/>
  <c r="W80" i="14"/>
  <c r="P215" i="14"/>
  <c r="W215" i="14"/>
  <c r="P314" i="14"/>
  <c r="W314" i="14"/>
  <c r="P28" i="14"/>
  <c r="W28" i="14"/>
  <c r="P90" i="14"/>
  <c r="W90" i="14"/>
  <c r="P312" i="14"/>
  <c r="W312" i="14"/>
  <c r="P86" i="14"/>
  <c r="W86" i="14"/>
  <c r="P185" i="14"/>
  <c r="W185" i="14"/>
  <c r="P240" i="14"/>
  <c r="W240" i="14"/>
  <c r="P315" i="14"/>
  <c r="W315" i="14"/>
  <c r="P285" i="14"/>
  <c r="W285" i="14"/>
  <c r="P253" i="14"/>
  <c r="W253" i="14"/>
  <c r="P265" i="14"/>
  <c r="W265" i="14"/>
  <c r="P78" i="14"/>
  <c r="W78" i="14"/>
  <c r="P305" i="14"/>
  <c r="W305" i="14"/>
  <c r="P271" i="14"/>
  <c r="W271" i="14"/>
  <c r="P303" i="14"/>
  <c r="W303" i="14"/>
  <c r="P26" i="14"/>
  <c r="W26" i="14"/>
  <c r="P94" i="14"/>
  <c r="W94" i="14"/>
  <c r="P307" i="14"/>
  <c r="W307" i="14"/>
  <c r="P281" i="14"/>
  <c r="W281" i="14"/>
  <c r="P256" i="14"/>
  <c r="W256" i="14"/>
  <c r="P342" i="14"/>
  <c r="W342" i="14"/>
  <c r="P304" i="14"/>
  <c r="W304" i="14"/>
  <c r="P329" i="14"/>
  <c r="W329" i="14"/>
  <c r="P155" i="14"/>
  <c r="W155" i="14"/>
  <c r="P324" i="14"/>
  <c r="W324" i="14"/>
  <c r="P350" i="14"/>
  <c r="W350" i="14"/>
  <c r="P195" i="14"/>
  <c r="W195" i="14"/>
  <c r="P131" i="14"/>
  <c r="W131" i="14"/>
  <c r="P112" i="14"/>
  <c r="W112" i="14"/>
  <c r="P283" i="14"/>
  <c r="W283" i="14"/>
  <c r="P290" i="14"/>
  <c r="W290" i="14"/>
  <c r="P21" i="14"/>
  <c r="W21" i="14"/>
  <c r="P291" i="14"/>
  <c r="W291" i="14"/>
  <c r="P33" i="14"/>
  <c r="W33" i="14"/>
  <c r="P87" i="14"/>
  <c r="W87" i="14"/>
  <c r="P326" i="14"/>
  <c r="W326" i="14"/>
  <c r="P262" i="14"/>
  <c r="W262" i="14"/>
  <c r="P198" i="14"/>
  <c r="W198" i="14"/>
  <c r="P317" i="14"/>
  <c r="W317" i="14"/>
  <c r="P95" i="14"/>
  <c r="W95" i="14"/>
  <c r="P35" i="14"/>
  <c r="W35" i="14"/>
  <c r="P284" i="14"/>
  <c r="W284" i="14"/>
  <c r="P309" i="14"/>
  <c r="W309" i="14"/>
  <c r="P151" i="14"/>
  <c r="W151" i="14"/>
  <c r="P134" i="14"/>
  <c r="W134" i="14"/>
  <c r="P48" i="14"/>
  <c r="W48" i="14"/>
  <c r="P257" i="14"/>
  <c r="W257" i="14"/>
  <c r="P237" i="14"/>
  <c r="W237" i="14"/>
  <c r="P339" i="14"/>
  <c r="W339" i="14"/>
  <c r="P296" i="14"/>
  <c r="W296" i="14"/>
  <c r="P302" i="14"/>
  <c r="W302" i="14"/>
  <c r="P319" i="14"/>
  <c r="W319" i="14"/>
  <c r="P238" i="14"/>
  <c r="W238" i="14"/>
  <c r="P208" i="14"/>
  <c r="W208" i="14"/>
  <c r="P60" i="14"/>
  <c r="W60" i="14"/>
  <c r="P99" i="14"/>
  <c r="W99" i="14"/>
  <c r="P183" i="14"/>
  <c r="W183" i="14"/>
  <c r="P177" i="14"/>
  <c r="W177" i="14"/>
  <c r="P351" i="14"/>
  <c r="W351" i="14"/>
  <c r="P306" i="14"/>
  <c r="W306" i="14"/>
  <c r="P63" i="14"/>
  <c r="W63" i="14"/>
  <c r="P111" i="14"/>
  <c r="W111" i="14"/>
  <c r="P294" i="14"/>
  <c r="W294" i="14"/>
  <c r="P75" i="14"/>
  <c r="W75" i="14"/>
  <c r="P260" i="14"/>
  <c r="W260" i="14"/>
  <c r="P292" i="14"/>
  <c r="W292" i="14"/>
  <c r="P42" i="14"/>
  <c r="W42" i="14"/>
  <c r="P193" i="14"/>
  <c r="W193" i="14"/>
  <c r="P279" i="14"/>
  <c r="W279" i="14"/>
  <c r="P334" i="14"/>
  <c r="W334" i="14"/>
  <c r="P280" i="14"/>
  <c r="W280" i="14"/>
  <c r="P72" i="14"/>
  <c r="W72" i="14"/>
  <c r="P178" i="14"/>
  <c r="W178" i="14"/>
  <c r="P158" i="14"/>
  <c r="W158" i="14"/>
  <c r="P187" i="14"/>
  <c r="W187" i="14"/>
  <c r="P348" i="14"/>
  <c r="W348" i="14"/>
  <c r="P207" i="14"/>
  <c r="W207" i="14"/>
  <c r="P286" i="14"/>
  <c r="W286" i="14"/>
  <c r="P282" i="14"/>
  <c r="W282" i="14"/>
  <c r="P204" i="14"/>
  <c r="W204" i="14"/>
  <c r="P328" i="14"/>
  <c r="W328" i="14"/>
  <c r="P263" i="14"/>
  <c r="W263" i="14"/>
  <c r="P81" i="14"/>
  <c r="W81" i="14"/>
  <c r="P272" i="14"/>
  <c r="W272" i="14"/>
  <c r="P161" i="14"/>
  <c r="W161" i="14"/>
  <c r="P321" i="14"/>
  <c r="W321" i="14"/>
  <c r="P106" i="14"/>
  <c r="W106" i="14"/>
  <c r="P199" i="14"/>
  <c r="W199" i="14"/>
  <c r="P180" i="14"/>
  <c r="W180" i="14"/>
  <c r="P346" i="14"/>
  <c r="W346" i="14"/>
  <c r="P295" i="14"/>
  <c r="W295" i="14"/>
  <c r="P278" i="14"/>
  <c r="W278" i="14"/>
  <c r="P24" i="14"/>
  <c r="W24" i="14"/>
  <c r="P156" i="14"/>
  <c r="W156" i="14"/>
  <c r="P6" i="14"/>
  <c r="W6" i="14"/>
  <c r="P252" i="14"/>
  <c r="W252" i="14"/>
  <c r="P59" i="14"/>
  <c r="W59" i="14"/>
  <c r="P15" i="14"/>
  <c r="W15" i="14"/>
  <c r="P57" i="14"/>
  <c r="W57" i="14"/>
  <c r="P300" i="14"/>
  <c r="W300" i="14"/>
  <c r="P114" i="14"/>
  <c r="W114" i="14"/>
  <c r="P30" i="14"/>
  <c r="W30" i="14"/>
  <c r="P184" i="14"/>
  <c r="W184" i="14"/>
  <c r="P102" i="14"/>
  <c r="W102" i="14"/>
  <c r="P179" i="14"/>
  <c r="W179" i="14"/>
  <c r="P202" i="14"/>
  <c r="W202" i="14"/>
  <c r="P212" i="14"/>
  <c r="W212" i="14"/>
  <c r="P297" i="14"/>
  <c r="W297" i="14"/>
  <c r="P51" i="14"/>
  <c r="W51" i="14"/>
  <c r="P343" i="14"/>
  <c r="W343" i="14"/>
  <c r="P29" i="14"/>
  <c r="W29" i="14"/>
  <c r="P287" i="14"/>
  <c r="W287" i="14"/>
  <c r="P181" i="14"/>
  <c r="W181" i="14"/>
  <c r="P132" i="14"/>
  <c r="W132" i="14"/>
  <c r="P137" i="14"/>
  <c r="W137" i="14"/>
  <c r="P56" i="14"/>
  <c r="W56" i="14"/>
  <c r="P335" i="14"/>
  <c r="W335" i="14"/>
  <c r="P327" i="14"/>
  <c r="W327" i="14"/>
  <c r="P255" i="14"/>
  <c r="W255" i="14"/>
  <c r="P239" i="14"/>
  <c r="W239" i="14"/>
  <c r="P167" i="14"/>
  <c r="W167" i="14"/>
  <c r="P330" i="14"/>
  <c r="W330" i="14"/>
  <c r="P142" i="14"/>
  <c r="W142" i="14"/>
  <c r="P146" i="14"/>
  <c r="W146" i="14"/>
  <c r="P186" i="14"/>
  <c r="W186" i="14"/>
  <c r="P313" i="14"/>
  <c r="W313" i="14"/>
  <c r="P235" i="14"/>
  <c r="W235" i="14"/>
  <c r="P66" i="14"/>
  <c r="W66" i="14"/>
  <c r="P323" i="14"/>
  <c r="W323" i="14"/>
  <c r="P316" i="14"/>
  <c r="W316" i="14"/>
  <c r="P338" i="14"/>
  <c r="W338" i="14"/>
  <c r="P331" i="14"/>
  <c r="W331" i="14"/>
  <c r="P349" i="14"/>
  <c r="W349" i="14"/>
  <c r="P288" i="14"/>
  <c r="W288" i="14"/>
  <c r="P169" i="14"/>
  <c r="W169" i="14"/>
  <c r="P205" i="14"/>
  <c r="W205" i="14"/>
  <c r="P266" i="14"/>
  <c r="W266" i="14"/>
  <c r="P344" i="14"/>
  <c r="W344" i="14"/>
  <c r="P201" i="14"/>
  <c r="W201" i="14"/>
  <c r="P347" i="14"/>
  <c r="W347" i="14"/>
  <c r="P172" i="14"/>
  <c r="W172" i="14"/>
  <c r="P69" i="14"/>
  <c r="W69" i="14"/>
  <c r="P340" i="14"/>
  <c r="W340" i="14"/>
  <c r="P241" i="14"/>
  <c r="W241" i="14"/>
  <c r="P345" i="14"/>
  <c r="W345" i="14"/>
  <c r="P336" i="14"/>
  <c r="W336" i="14"/>
  <c r="P108" i="14"/>
  <c r="W108" i="14"/>
  <c r="P196" i="14"/>
  <c r="W196" i="14"/>
</calcChain>
</file>

<file path=xl/sharedStrings.xml><?xml version="1.0" encoding="utf-8"?>
<sst xmlns="http://schemas.openxmlformats.org/spreadsheetml/2006/main" count="1459" uniqueCount="612">
  <si>
    <t>Rev</t>
  </si>
  <si>
    <t>Description</t>
  </si>
  <si>
    <t>Sr. No.</t>
  </si>
  <si>
    <t>Contract Quality Plan</t>
  </si>
  <si>
    <t>Contract Execution Plan</t>
  </si>
  <si>
    <t>Contract HSE Plan</t>
  </si>
  <si>
    <t>Project Organogram</t>
  </si>
  <si>
    <t>Contract Procurement Manual</t>
  </si>
  <si>
    <t>Material Management Procedure</t>
  </si>
  <si>
    <t>Project Monthly Progress Report</t>
  </si>
  <si>
    <t>Project Weekly Progress Report</t>
  </si>
  <si>
    <t>Inspection &amp; Test Plan</t>
  </si>
  <si>
    <t>General</t>
  </si>
  <si>
    <t>Civil</t>
  </si>
  <si>
    <t>Electrical</t>
  </si>
  <si>
    <t>Instrumentation</t>
  </si>
  <si>
    <t>Quality Control Procedures</t>
  </si>
  <si>
    <t>Mechanical</t>
  </si>
  <si>
    <t>Demolition &amp; Alterations</t>
  </si>
  <si>
    <t>Setting out &amp; Excavation</t>
  </si>
  <si>
    <t>Form Work</t>
  </si>
  <si>
    <t>Reinforcement Work</t>
  </si>
  <si>
    <t>Concrete Works</t>
  </si>
  <si>
    <t>Fencing and Gates</t>
  </si>
  <si>
    <t>Graded road Works</t>
  </si>
  <si>
    <t>Welder Qualification &amp; Renewal(Piping)</t>
  </si>
  <si>
    <t>Inspection of Welding, Weldments &amp; Fabricated components</t>
  </si>
  <si>
    <t>Weld Repair</t>
  </si>
  <si>
    <t>Pipe Bending</t>
  </si>
  <si>
    <t>Pipe Line Welding</t>
  </si>
  <si>
    <t>Validation of Welding Machine</t>
  </si>
  <si>
    <t>Line Flushing(on-plot)</t>
  </si>
  <si>
    <t>Handling, Transportation and Stringing of Pipe</t>
  </si>
  <si>
    <t>Qualification and control of WPS &amp; PQR</t>
  </si>
  <si>
    <t>Site Stores</t>
  </si>
  <si>
    <t>Welding of on-plot Piping</t>
  </si>
  <si>
    <t>UPS Installation</t>
  </si>
  <si>
    <t>Earthing</t>
  </si>
  <si>
    <t>Area Lighting</t>
  </si>
  <si>
    <t>Cable Tray Installation</t>
  </si>
  <si>
    <t>Documents, Data Register</t>
  </si>
  <si>
    <t>Receiving Inspection</t>
  </si>
  <si>
    <t>Trade Testing Scheme</t>
  </si>
  <si>
    <t>Project Execution Schedule</t>
  </si>
  <si>
    <t>Pre Mobilization plan</t>
  </si>
  <si>
    <t>Contract Management Plan</t>
  </si>
  <si>
    <t>Interface Management Plan</t>
  </si>
  <si>
    <t>Welding Specification</t>
  </si>
  <si>
    <t>Pressure Testing Procedure</t>
  </si>
  <si>
    <t>Technical Datasheet for Transformers</t>
  </si>
  <si>
    <t>Document, Data Control Procedure</t>
  </si>
  <si>
    <t>Mobilization Plan</t>
  </si>
  <si>
    <t>Demolition and Alterations</t>
  </si>
  <si>
    <t>Formwork, Reinforcement Concrete and Grouting Works</t>
  </si>
  <si>
    <t>Fill &amp; Back Fill</t>
  </si>
  <si>
    <t>Grouting</t>
  </si>
  <si>
    <t>Service Trench</t>
  </si>
  <si>
    <t>Project Specific Induction Programs</t>
  </si>
  <si>
    <t>Request for Inspection</t>
  </si>
  <si>
    <t>Structural Steel Fabrication</t>
  </si>
  <si>
    <t>Structural Steel Erection</t>
  </si>
  <si>
    <t>Handling of Welding Consumables</t>
  </si>
  <si>
    <t>C.S Pipe Line and Flow Line Construction</t>
  </si>
  <si>
    <t>Fabrication &amp; Erection of Structural Steel Works</t>
  </si>
  <si>
    <t>Welding of Hook-up Piping</t>
  </si>
  <si>
    <t>Painting Surface Preparation &amp; Paint</t>
  </si>
  <si>
    <t>Painting &amp; Coating External painting repair</t>
  </si>
  <si>
    <t>Painting &amp; Coating Inspection of Surface Preparation Coating &amp; Painting</t>
  </si>
  <si>
    <t>Painting &amp; Coating Mixing of Painting &amp; Coating Materials</t>
  </si>
  <si>
    <t>Painting &amp; Coating Pinhole &amp; Holiday Detection</t>
  </si>
  <si>
    <t>LV Panel &amp; Switchgear Installation</t>
  </si>
  <si>
    <t>HV Panel &amp; Switchgear Installation</t>
  </si>
  <si>
    <t>Transformer Installation</t>
  </si>
  <si>
    <t>HV Switchgear Installation &amp; Testing</t>
  </si>
  <si>
    <t>HV Cable Laying</t>
  </si>
  <si>
    <t>LV Switchgear Installation &amp; Testing</t>
  </si>
  <si>
    <t>LV Cable Glanding &amp; Termination</t>
  </si>
  <si>
    <t>LV Cable Laying</t>
  </si>
  <si>
    <t>HV Cable Glanding &amp; Termination</t>
  </si>
  <si>
    <t>Material Inspection Review Request</t>
  </si>
  <si>
    <t xml:space="preserve">Civil Block Masonary Works </t>
  </si>
  <si>
    <t>Variance Proposal Welding of metals</t>
  </si>
  <si>
    <t>Testing Plan (Welders)</t>
  </si>
  <si>
    <t xml:space="preserve">Risk Management Plan </t>
  </si>
  <si>
    <t>GRE Pipeline Construction</t>
  </si>
  <si>
    <t>Project Specific Organization Programme of BOGS</t>
  </si>
  <si>
    <t>HEMP Register</t>
  </si>
  <si>
    <t>Installation of Instrument Cables</t>
  </si>
  <si>
    <t>Installation of Instrument Cables / Cable Tray</t>
  </si>
  <si>
    <t>Instrument Cable glanding &amp; termination</t>
  </si>
  <si>
    <t>Installation of Local Panel, Junction Boxes &amp; Fire &amp; Gas instruments</t>
  </si>
  <si>
    <t>Installation &amp; testing of Impulse tubing</t>
  </si>
  <si>
    <t>Installation &amp; pressure test of Instrument Airline tubing</t>
  </si>
  <si>
    <t>Calibration of Instrument (Gauges &amp; Transmitters)</t>
  </si>
  <si>
    <t>Calibration of Control Valves &amp; On-off Valves</t>
  </si>
  <si>
    <t>Installation of cable tray &amp; support</t>
  </si>
  <si>
    <t>Installation of Local Panel, Junction Boxes</t>
  </si>
  <si>
    <t>Installation of field instruments &amp; Fire &amp; Gas instruments</t>
  </si>
  <si>
    <t>Installation &amp; pressure test of Instrument Airline</t>
  </si>
  <si>
    <t>Method Statements</t>
  </si>
  <si>
    <t>Construction Contract pre-Start-up Audit Closeout Report</t>
  </si>
  <si>
    <t>Calibration of Instruments, Control &amp; On-off Valves</t>
  </si>
  <si>
    <t>GRE Inspection checklist/formats - Field Coupling Joint</t>
  </si>
  <si>
    <t>GRE inspection checklist / formats - Production / Inspection Report of GRE Adhesive Joints</t>
  </si>
  <si>
    <t>Method Statement for extended hour work</t>
  </si>
  <si>
    <t>Quality Control Procedures / Method Statements</t>
  </si>
  <si>
    <t>Method Statement for GRE Pipeline Hydrotesting</t>
  </si>
  <si>
    <t>Hydro testing of Metallic Piping</t>
  </si>
  <si>
    <t>Method Statement for General Bolting &amp; Hot Bolting of Flange Connections</t>
  </si>
  <si>
    <t>Installation &amp; Alignment of Static Equipment</t>
  </si>
  <si>
    <t>Stopaq application on U/G Piping</t>
  </si>
  <si>
    <t>Method Statement for application of Stopaq Corrosion Preventive System on U/G Piping</t>
  </si>
  <si>
    <t>Welding Specification (AI-WPS-M-019)</t>
  </si>
  <si>
    <t>Welding Specification (AI-WPS-M-248FW)</t>
  </si>
  <si>
    <t>Monthly Progress Meeting #08 - MOM</t>
  </si>
  <si>
    <t>Procedure for Site Query</t>
  </si>
  <si>
    <t>Amal Office Electrical Single Line Diagram</t>
  </si>
  <si>
    <t>Welding of SS Piping</t>
  </si>
  <si>
    <t>Method Statement for Fabrication of Threaded Joints</t>
  </si>
  <si>
    <t>Flange Tightening Report - Format</t>
  </si>
  <si>
    <t>Setting out, Excavation Filing and Backfilling</t>
  </si>
  <si>
    <t>Project Execution Schedule for Amal East Cold Production Facilities</t>
  </si>
  <si>
    <t>Welding Specification (AI-WPS-M-263)</t>
  </si>
  <si>
    <t>Quality Control Procedure for Golden Joint Welding &amp; Inspection</t>
  </si>
  <si>
    <t>ANR-107-104265-JA-6611-10001-001</t>
  </si>
  <si>
    <t>ANR-107-104265-FA-5765-10002-001</t>
  </si>
  <si>
    <t>ANR-107-104265-AA-3352-10003-001</t>
  </si>
  <si>
    <t>ANR-107-104265-AA-5760-10004-001</t>
  </si>
  <si>
    <t>ANR-107-104265-QA-5798-10005-001</t>
  </si>
  <si>
    <t>ANR-107-104265-HX-5798-10006-001</t>
  </si>
  <si>
    <t>ANR-107-104265-VA-6047-10007-001</t>
  </si>
  <si>
    <t>ANR-107-104265-VA-6036-10008-001</t>
  </si>
  <si>
    <t>ANR-107-104265-AA-6944-10009-001</t>
  </si>
  <si>
    <t>ANR-107-104265-AA-6944-10010-001</t>
  </si>
  <si>
    <t>ANR-107-104265-QA-6950-10011-001</t>
  </si>
  <si>
    <t>ANR-107-104265-AA-5800-10012-001</t>
  </si>
  <si>
    <t>ANR-107-104265-MX-6046-10013-001</t>
  </si>
  <si>
    <t xml:space="preserve">ANR-107-104265-AA-5880-10014-001 </t>
  </si>
  <si>
    <t>ANR-107-104265-AA-5759-10015-001</t>
  </si>
  <si>
    <t>ANR-107-104265-BA-6065-10016-001</t>
  </si>
  <si>
    <t>ANR-107-104265-BA-6065-10016-002</t>
  </si>
  <si>
    <t>ANR-107-104265-BA-6065-10016-003</t>
  </si>
  <si>
    <t>ANR-107-104265-BA-6065-10016-004</t>
  </si>
  <si>
    <t>ANR-107-104265-EA-2180-10017-001</t>
  </si>
  <si>
    <t>ANR-107-104265-JA-6017-10018-001</t>
  </si>
  <si>
    <t>ANR-107-104265-AA-5880-10019-001</t>
  </si>
  <si>
    <t>ANR-107-104265-EA-2384-10020-001</t>
  </si>
  <si>
    <t>ANR-107-104265-HX-1927-10021-001</t>
  </si>
  <si>
    <t>ANR-107-104265-QA-7280-10022-001</t>
  </si>
  <si>
    <t>ANR-107-104265-VA-7280-10023-001</t>
  </si>
  <si>
    <t>ANR-107-104265-VA-4357-10024-001</t>
  </si>
  <si>
    <t>ANR-107-104265-VA-7205-10025-001</t>
  </si>
  <si>
    <t>ANR-107-104265-MX-5779-10026-001</t>
  </si>
  <si>
    <t>ANR-107-102465-AA-5768-10027-001</t>
  </si>
  <si>
    <t>ANR-107-104265-HX-6613-10028-001</t>
  </si>
  <si>
    <t>ANR-107-104265-QA-0880-10029-001</t>
  </si>
  <si>
    <t>ANR-107-104265-QA-7180-10030-001</t>
  </si>
  <si>
    <t>ANR-107-104265-JA-6180-10032-001</t>
  </si>
  <si>
    <t>ANR-107-104265-QA-7180-10031-001</t>
  </si>
  <si>
    <t>ANR-107-104265-BA-6070-10032-001</t>
  </si>
  <si>
    <t>ANR-107-104265-AA-3347-10033-008</t>
  </si>
  <si>
    <t>ANR-107-104265-QA-7180-10034-001</t>
  </si>
  <si>
    <t>ANR-107-104265-FA-5765-10003-001</t>
  </si>
  <si>
    <t>ANR-107-104265-QA-5733-21001-001</t>
  </si>
  <si>
    <t>ANR-107-104265-QA-5733-21002-001</t>
  </si>
  <si>
    <t>ANR-107-104265-QA-5733-21003-001</t>
  </si>
  <si>
    <t>ANR-107-104265-QA-5733-21004-001</t>
  </si>
  <si>
    <t>ANR-107-104265-QA-5733-21005-001</t>
  </si>
  <si>
    <t>ANR-107-104265-QA-5733-21006-001</t>
  </si>
  <si>
    <t>ANR-107-104265-QA-5733-21007-001</t>
  </si>
  <si>
    <t>ANR-107-104265-QA-5733-21008-001</t>
  </si>
  <si>
    <t>ANR-107-104265-QA-5733-21009-001</t>
  </si>
  <si>
    <t>ANR-107-104265-QA-5733-22001-001</t>
  </si>
  <si>
    <t>ANR-107-104265-QA-5733-22002-001</t>
  </si>
  <si>
    <t>ANR-107-104265-QA-5733-22003-001</t>
  </si>
  <si>
    <t>ANR-107-104265-QA-5733-22004-001</t>
  </si>
  <si>
    <t>ANR-107-104265-QA-5733-22005-001</t>
  </si>
  <si>
    <t>ANR-107-104265-QA-5733-22006-001</t>
  </si>
  <si>
    <t>ANR-107-104265-QA-5733-22007-001</t>
  </si>
  <si>
    <t>ANR-107-104265-QA-5733-22008-001</t>
  </si>
  <si>
    <t>ANR-107-104265-QA-5733-22009-001</t>
  </si>
  <si>
    <t>ANR-107-104265-QA-5733-22010-001</t>
  </si>
  <si>
    <t>ANR-107-104265-QA-5733-22018-001</t>
  </si>
  <si>
    <t>ANR-107-104265-QA-5733-23001-001</t>
  </si>
  <si>
    <t>ANR-107-104265-QA-5733-23002-001</t>
  </si>
  <si>
    <t>ANR-107-104265-QA-5733-23003-001</t>
  </si>
  <si>
    <t>ANR-107-104265-QA-5733-23004-001</t>
  </si>
  <si>
    <t>ANR-107-104265-QA-5733-23005-001</t>
  </si>
  <si>
    <t>ANR-107-104265-QA-5733-23006-001</t>
  </si>
  <si>
    <t>ANR-107-104265-QA-5733-23007-001</t>
  </si>
  <si>
    <t>ANR-107-104265-QA-5733-23008-001</t>
  </si>
  <si>
    <t>ANR-107-104265-QA-5733-23009-001</t>
  </si>
  <si>
    <t>ANR-107-104265-QA-5733-23010-001</t>
  </si>
  <si>
    <t>ANR-107-104265-QA-5733-24001-001</t>
  </si>
  <si>
    <t>ANR-107-104265-QA-5733-24002-001</t>
  </si>
  <si>
    <t>ANR-107-104265-QA-5733-24003-001</t>
  </si>
  <si>
    <t>ANR-107-104265-QA-5733-24004-001</t>
  </si>
  <si>
    <t>ANR-107-104265-QA-5733-24005-001</t>
  </si>
  <si>
    <t>ANR-107-104265-QA-5733-24006-001</t>
  </si>
  <si>
    <t>ANR-107-104265-QA-5733-24007-001</t>
  </si>
  <si>
    <t>ANR-107-104265-QA-6050-31001-001</t>
  </si>
  <si>
    <t>ANR-107-104265-QA-6050-31002-001</t>
  </si>
  <si>
    <t>ANR-107-104265-QA-6050-31003-001</t>
  </si>
  <si>
    <t>ANR-107-104265-QA-6050-31004-001</t>
  </si>
  <si>
    <t>ANR-107-104265-QA-6050-31005-001</t>
  </si>
  <si>
    <t>ANR-107-104265-QA-6050-31006-001</t>
  </si>
  <si>
    <t>ANR-107-104265-QA-6050-31007-001</t>
  </si>
  <si>
    <t>ANR-107-104265-QA-6050-31008-001</t>
  </si>
  <si>
    <t>ANR-107-104265-QA-6050-31009-001</t>
  </si>
  <si>
    <t>ANR-107-104265-QA-6050-31010-001</t>
  </si>
  <si>
    <t>ANR-107-104265-QA-6050-31011-001</t>
  </si>
  <si>
    <t>ANR-107-104265-QA-6050-31012-001</t>
  </si>
  <si>
    <t>ANR-107-104265-QA-6050-31013-001</t>
  </si>
  <si>
    <t>ANR-107-104265-QA-6050-31014-001</t>
  </si>
  <si>
    <t>ANR-107-104265-QA-6050-31015-001</t>
  </si>
  <si>
    <t>ANR-107-104265-QA-6050-31016-001</t>
  </si>
  <si>
    <t>ANR-107-104265-QA-6050-31017-001</t>
  </si>
  <si>
    <t>ANR-107-104265-QA-6050-31018-001</t>
  </si>
  <si>
    <t>ANR-107-104265-QA-6050-31019-001</t>
  </si>
  <si>
    <t>ANR-107-104265-QA-6050-31020-001</t>
  </si>
  <si>
    <t>ANR-107-104265-QA-6050-31021-001</t>
  </si>
  <si>
    <t>ANR-107-104265-QA-6050-31022-001</t>
  </si>
  <si>
    <t>ANR-107-104265-QA-6050-32001-001</t>
  </si>
  <si>
    <t>ANR-107-104265-QA-6050-32002-001</t>
  </si>
  <si>
    <t>ANR-107-104265-QA-6050-32003-001</t>
  </si>
  <si>
    <t>ANR-107-104265-QA-6050-33001-001</t>
  </si>
  <si>
    <t>ANR-107-104265-QA-6050-33002-001</t>
  </si>
  <si>
    <t>ANR-107-104265-QA-6050-33003-001</t>
  </si>
  <si>
    <t>ANR-107-104265-QA-6050-33004-001</t>
  </si>
  <si>
    <t>ANR-107-104265-QA-6050-33005-001</t>
  </si>
  <si>
    <t>ANR-107-104265-QA-6050-33006-001</t>
  </si>
  <si>
    <t>ANR-107-104265-QA-6050-33007-001</t>
  </si>
  <si>
    <t>ANR-107-104265-QA-6050-34001-001</t>
  </si>
  <si>
    <t>ANR-107-104265-QA-6050-34002-001</t>
  </si>
  <si>
    <t>ANR-107-104265-QA-6050-34003-001</t>
  </si>
  <si>
    <t>ANR-107-104265-QA-6050-34004-001</t>
  </si>
  <si>
    <t>ANR-107-104265-QA-6050-34005-001</t>
  </si>
  <si>
    <t>ANR-107-104265-QA-6050-34006-001</t>
  </si>
  <si>
    <t>ANR-107-104265-QA-6050-34007-001</t>
  </si>
  <si>
    <t>ANR-107-104265-QA-6050-34008-001</t>
  </si>
  <si>
    <t>ANR-107-104265-BA-6070-41001-001</t>
  </si>
  <si>
    <t>ANR-107-104265-BA-6070-41002-001</t>
  </si>
  <si>
    <t>ANR-107-104265-BA-6070-41003-001</t>
  </si>
  <si>
    <t>ANR-107-104265-BA-6070-41004-001</t>
  </si>
  <si>
    <t>ANR-107-104265-BA-6070-42001-001</t>
  </si>
  <si>
    <t>ANR-107-104265-BA-6070-42002-001</t>
  </si>
  <si>
    <t>ANR-107-104265-BA-6070-42003-001</t>
  </si>
  <si>
    <t>ANR-107-104265-BA-6070-42004-001</t>
  </si>
  <si>
    <t>Document Number</t>
  </si>
  <si>
    <t>Current Status</t>
  </si>
  <si>
    <t>Submission to PDO</t>
  </si>
  <si>
    <t>PDO Submission Trans. No.</t>
  </si>
  <si>
    <t>PDO Response Due date</t>
  </si>
  <si>
    <t>PDO App. or Comm. Receipt Date</t>
  </si>
  <si>
    <t>PDO Receipt Trans. No.</t>
  </si>
  <si>
    <t>PDO Approval Code</t>
  </si>
  <si>
    <t xml:space="preserve">Updated on </t>
  </si>
  <si>
    <t>A = Document Accepted</t>
  </si>
  <si>
    <t>B = Revise and Resubmit</t>
  </si>
  <si>
    <t>D = Document Rejected</t>
  </si>
  <si>
    <t>Reason of Issue</t>
  </si>
  <si>
    <t>Planned / Forecast submission Date</t>
  </si>
  <si>
    <t>Recd. From Vendor</t>
  </si>
  <si>
    <t>Vendor Trans. No.</t>
  </si>
  <si>
    <t>Returned to Vendor</t>
  </si>
  <si>
    <t>AIP transmittal no.</t>
  </si>
  <si>
    <t>"Combined-only for DCC"</t>
  </si>
  <si>
    <t>Latest Rev.</t>
  </si>
  <si>
    <t>Return Code</t>
  </si>
  <si>
    <t>KHF-00-104265-AA-4880-01301-0000</t>
  </si>
  <si>
    <t>Crane Load Chart and Manuals</t>
  </si>
  <si>
    <t>KHF-00-104265-QA-5733-01301-0000</t>
  </si>
  <si>
    <t>ITP for the Installation of HRSG System</t>
  </si>
  <si>
    <t>KHF-00-104265-QA-5733-01302-0000</t>
  </si>
  <si>
    <t>KHF-00-104265-QA-5733-01303-0000</t>
  </si>
  <si>
    <t>ITP for the Surface Preparation &amp; Painting of field welded Joints</t>
  </si>
  <si>
    <t>KHF-00-104265-QA-5733-01304-0000</t>
  </si>
  <si>
    <t>ITP for the Installation of Finfan Cooler</t>
  </si>
  <si>
    <t>KHF-00-104265-BA-6065-01301-0000</t>
  </si>
  <si>
    <t>KHF-00-104265-FA-5765-01301-0000</t>
  </si>
  <si>
    <t>Project Schedule follow with LOI dates</t>
  </si>
  <si>
    <t>KHF-00-104265-AA-5804-01301-0000</t>
  </si>
  <si>
    <t>Manpower Mobilization and Equipment Schedule</t>
  </si>
  <si>
    <t>KHF-00-104265-RA-6038-01301-0000</t>
  </si>
  <si>
    <t>KHF-00-104265-BA-6070-01301-0000</t>
  </si>
  <si>
    <t>Method Of Statement For Installation HRSG Module</t>
  </si>
  <si>
    <t>KHF-00-104265-BA-6070-01302-0000</t>
  </si>
  <si>
    <t>KHF-00-104265-BA-6070-01303-0000</t>
  </si>
  <si>
    <t>Method Of Statement For Erection Pressure Parts &amp; Drum.</t>
  </si>
  <si>
    <t>KHF-00-104265-BA-6070-01304-0000</t>
  </si>
  <si>
    <t>KHF-00-104265-BA-6070-01305-0000</t>
  </si>
  <si>
    <t>KHF-00-104265-BA-5736-01301-0000</t>
  </si>
  <si>
    <t>KHF-00-104265-BA-6070-01307-0000</t>
  </si>
  <si>
    <t>Method Of Statement For Pneumatic Test.</t>
  </si>
  <si>
    <t>KHF-00-104265-BA-6070-01308-0000</t>
  </si>
  <si>
    <t>KHF-00-104265-BA-6070-01309-0000</t>
  </si>
  <si>
    <t>KHF-00-104265-BA-6070-01310-0000</t>
  </si>
  <si>
    <t>KHF-00-104265-BA-6070-01311-0000</t>
  </si>
  <si>
    <t>KHF-00-104265-BA-6070-01312-0000</t>
  </si>
  <si>
    <t>KHF-00-104265-BA-6070-01313-0000</t>
  </si>
  <si>
    <t>KHF-00-104265-BA-5011-01301-0000</t>
  </si>
  <si>
    <t>Scaffolding Materials Requirement-Tube and Clamp Type</t>
  </si>
  <si>
    <t>KHF-00-104265-BA-5011-01302-0000</t>
  </si>
  <si>
    <t>Scaffolding Materials Requirement-Cup Lock Type</t>
  </si>
  <si>
    <t>KHF-00-104265-QA-5733-01305-0000</t>
  </si>
  <si>
    <t>ITP for the Installation of GAS TURBINE EXHAUST BYPASS SYSTEM</t>
  </si>
  <si>
    <t>KHF-00-104265-QA-5733-01306-0000</t>
  </si>
  <si>
    <t>ITP for the Installation of HRSG Main Stack System</t>
  </si>
  <si>
    <t>KHF-00-104265-QA-5733-01307-0000</t>
  </si>
  <si>
    <t>ITP for the Installation of Rotary Equipment’s</t>
  </si>
  <si>
    <t>Method Statement - Erection Of FFC</t>
  </si>
  <si>
    <t>ITP for the Installation of Static Equipment &amp; Skid Installation</t>
  </si>
  <si>
    <t>KHF-00-104265-QA-5733-01308-0000</t>
  </si>
  <si>
    <t>KHF-00-104265-QA-5733-01309-0000</t>
  </si>
  <si>
    <t>Method Of Statement For Erection Non Pressure Parts.</t>
  </si>
  <si>
    <t>Method Of Statement Structural Erection -HRSG &amp; HRSG Auxiliaries.</t>
  </si>
  <si>
    <t>Lifitng Plan - HRSG Modules, Main Stack, Gt, Gtg,Laod Gear, Bypass Stack,</t>
  </si>
  <si>
    <t>KHF-00-104265-BA-5736-01302-0000</t>
  </si>
  <si>
    <t>LIFTING PLAN FOR MECHANICAL INSTALLATION OF GAS TURBINE, GENERATOR AND LOAD GEAR</t>
  </si>
  <si>
    <t>WPS &amp; PQR - Register</t>
  </si>
  <si>
    <t>KHF-00-104265-BA-5736-01303-0000</t>
  </si>
  <si>
    <t xml:space="preserve">Lifting Plan for Mechanical Installation of HRSG Main Stack </t>
  </si>
  <si>
    <t>KHF-00-104265-BA-6065-01310-0000</t>
  </si>
  <si>
    <t>WPS AND PQR - JWPS-142 &amp; JPQR-142,143 &amp; 144</t>
  </si>
  <si>
    <t>KHF-00-104265-BA-6065-01311-0000</t>
  </si>
  <si>
    <t>WELDING PROCEDURE SPECIFICATION FOR STAINLESS STEEL WELDING WPS-513 &amp; PQR-513</t>
  </si>
  <si>
    <t>KHF-00-104265-QA-5733-01310-0000</t>
  </si>
  <si>
    <t>KHF-00-104265-RA-6038-01302-0000</t>
  </si>
  <si>
    <t>KHF-00-104265-RA-6038-01303-0000</t>
  </si>
  <si>
    <t>KHF-00-104265-RA-6038-01304-0000</t>
  </si>
  <si>
    <t>KHF-00-104265-RA-6038-01305-0000</t>
  </si>
  <si>
    <t>KHF-00-104265-RA-6038-01306-0000</t>
  </si>
  <si>
    <t>KHF-00-104265-RA-6038-01307-0000</t>
  </si>
  <si>
    <t>KHF-00-104265-RA-6038-01308-0000</t>
  </si>
  <si>
    <t>KHF-00-104265-RA-6038-01309-0000</t>
  </si>
  <si>
    <t>RT - Radiographic Examination Procedure for Piping Work</t>
  </si>
  <si>
    <t>MT-Magnetic Particle Examination Procedure for Piping Work</t>
  </si>
  <si>
    <t>PT-Liquid Penetrant Examination Procedure for Piping Work</t>
  </si>
  <si>
    <t>UTL-Ultrasonic Examination Procedure for Piping Work</t>
  </si>
  <si>
    <t>HT-Heat Treatment Procedure (Annealing) for Piping Work</t>
  </si>
  <si>
    <t>PWHT-Post Weld Heat Treatment Procedure for Piping Work</t>
  </si>
  <si>
    <t>RT - Radiographic Examination Procedure for Structure Work</t>
  </si>
  <si>
    <t>MT-Magnetic Particle Examination Procedure for Structure Work</t>
  </si>
  <si>
    <t>PT-Liquid Penetrant Examination Procedure for Structure Work</t>
  </si>
  <si>
    <t>KHF-00-104265-RA-6038-01310-0000</t>
  </si>
  <si>
    <t>Pre-Heating Procedure for Piping</t>
  </si>
  <si>
    <t>KHF-00-104265-AA-6944-01301-0000</t>
  </si>
  <si>
    <t>KHF-00-104265-BA-6065-01302-0000</t>
  </si>
  <si>
    <t>KHF-00-104265-BA-6065-01306-0000</t>
  </si>
  <si>
    <t>KHF-00-104265-BA-6065-01307-0000</t>
  </si>
  <si>
    <t>KHF-00-104265-BA-6065-01308-0000</t>
  </si>
  <si>
    <t>KHF-00-104265-BA-6065-01312-0000</t>
  </si>
  <si>
    <t>KHF-00-104265-BA-6065-01313-0000</t>
  </si>
  <si>
    <t xml:space="preserve">Welding Procedure specification-Disimilar welding(P1-P4) - JWPS-23A &amp; FPQ-30 </t>
  </si>
  <si>
    <t>Welding Procedure specification-Carbon Steel - JWPS-95 &amp; JPQR-95</t>
  </si>
  <si>
    <t>Welding Procedure specification-Carbon Steel - JWPS-96 &amp; JPQR-96</t>
  </si>
  <si>
    <t>WPS &amp; PQR Register for Non Boiler External &amp; general piping</t>
  </si>
  <si>
    <t>KHF-00-104265-BA-5736-01304-0000</t>
  </si>
  <si>
    <t>Lifting Plan for Mechanical Installation of Bypass Stack Diverter Damper Assembly</t>
  </si>
  <si>
    <t>Monthly Reports</t>
  </si>
  <si>
    <t>Weekly Reports</t>
  </si>
  <si>
    <t>KHF-00-104265-AA-6944-01321-0000</t>
  </si>
  <si>
    <t>Monthly Progress report No: 001 (February'2019)</t>
  </si>
  <si>
    <t>Weekly Progress report No: 001 (Period: 09-Mar-19 to 15-Mar-19)</t>
  </si>
  <si>
    <t>Method statement for erection of Gas Turbine Exhaust Bypass System</t>
  </si>
  <si>
    <t>Weekly Progress report No: 002 (Period: 16-Mar-19 to 22-Mar-19)</t>
  </si>
  <si>
    <t>KHF-00-104265-AA-6944-01322-0000</t>
  </si>
  <si>
    <t>ITP for the Installation of GT Package and its auxiliaries (Mechanical Works)</t>
  </si>
  <si>
    <t>ITP for the Installation of Non Boiler External &amp; General Piping - Carbon Steel</t>
  </si>
  <si>
    <t>KHF-00-104265-BA-5736-01305-0000</t>
  </si>
  <si>
    <t>Lifting plan for mechanical installation of HRSG, GTEBS &amp; GTG equipments below 25 Ton weight</t>
  </si>
  <si>
    <t>KHF-00-104265-QA-6050-01301-0000</t>
  </si>
  <si>
    <t xml:space="preserve">Welding consumable control procedure </t>
  </si>
  <si>
    <t>KHF-00-104265-AA-6944-01323-0000</t>
  </si>
  <si>
    <t>Weekly Progress report No: 003 (Period: 23-Mar-19 to 29-Mar-19)</t>
  </si>
  <si>
    <t>KHF-00-104265-BA-5736-01306-0000</t>
  </si>
  <si>
    <t>Lifting plan for mechanical installation of GTEBS lower and upper sections</t>
  </si>
  <si>
    <t>KHF-00-104265-AA-6944-01302-0000</t>
  </si>
  <si>
    <t>Monthly Progress report No: 002 (Period : 23-Feb-2019 to 22-Mar-2019)</t>
  </si>
  <si>
    <t>KHF-00-104265-AA-6944-01324-0000</t>
  </si>
  <si>
    <t>Weekly Progress report No: 004 (Period: 30-Mar-19 to 05-Apr-19)</t>
  </si>
  <si>
    <t>KHF-00-104265-HX-6180-01301-0000</t>
  </si>
  <si>
    <t>Radiation Safety Procedure by HITECH</t>
  </si>
  <si>
    <t>KHF-00-104265-AA-6944-01325-0000</t>
  </si>
  <si>
    <t>KHF-00-104265-AA-6944-01326-0000</t>
  </si>
  <si>
    <t>Weekly Progress report No: 005 (Period: 06-Apr-19 to 12-Apr-19)</t>
  </si>
  <si>
    <t>KHF-00-104265-QA-5733-01311-0000</t>
  </si>
  <si>
    <t>ITP for the Installation of Non Boiler External &amp; General Piping - Stainless Steel</t>
  </si>
  <si>
    <t>KHF-00-104265-AA-3341-01301-0000</t>
  </si>
  <si>
    <t>Weekly Progress report No: 006 (Period: 13-Apr-19 to 19-Apr-19)</t>
  </si>
  <si>
    <t>CV OF MR. KESAVAN - HSE SUPERVISOR</t>
  </si>
  <si>
    <t>Method Statement for HRSG Hydrostatic Pressure Test</t>
  </si>
  <si>
    <t>Waste management procedure by HITECH</t>
  </si>
  <si>
    <t>KHF-00-104265-RA-6038-01311-0000</t>
  </si>
  <si>
    <t>KHF-00-104265-AA-3341-01302-0000</t>
  </si>
  <si>
    <t>CV of Mr. Ananta Kumar - HSE Advisor</t>
  </si>
  <si>
    <t>KHF-00-104265-BA-5736-01307-0000</t>
  </si>
  <si>
    <t>Lifting plan for mechanical installation of Co2 equipment</t>
  </si>
  <si>
    <t>KHF-00-104265-BA-5736-01308-0000</t>
  </si>
  <si>
    <t>Lifting plan for mechanical installation of FFC bundle and Pump skid</t>
  </si>
  <si>
    <t>KHF-00-104265-BA-6065-01314-0000</t>
  </si>
  <si>
    <t>WPS - Pipe support welding JWPS - 544 &amp; JPQR-544</t>
  </si>
  <si>
    <t>KHF-00-104265-BA-6065-01315-0000</t>
  </si>
  <si>
    <t>WPS - Dissimilar (P4-P8) support welding JWPS-141 &amp; JPQR-141</t>
  </si>
  <si>
    <t>KHF-00-104265-AA-6944-01327-0000</t>
  </si>
  <si>
    <t>Weekly Progress report No: 007 (Period: 20-Apr-19 to 26-Apr-19)</t>
  </si>
  <si>
    <t>KHF-00-104265-QA-6050-01302-0000</t>
  </si>
  <si>
    <t>Weld repair procedure</t>
  </si>
  <si>
    <t>KHF-00-104265-AA-6944-01303-0000</t>
  </si>
  <si>
    <t>Monthly Progress report no : 003 (Period-23-Mar-19 to 19-Apr-19)</t>
  </si>
  <si>
    <t>KHF-00-104265-BA-6065-01316-0000</t>
  </si>
  <si>
    <t>Welding Procedure specification-Structural Welding - JWPS-410S &amp; JEL-PQR-SBRP1-SS409-01</t>
  </si>
  <si>
    <t>KHF-00-104265-AA-6944-01328-0000</t>
  </si>
  <si>
    <t>KHF-00-104265-RA-6038-01312-0000</t>
  </si>
  <si>
    <t>KHF-00-104265-RA-6038-01313-0000</t>
  </si>
  <si>
    <t>KHF-00-104265-RA-6038-01314-0000</t>
  </si>
  <si>
    <t>Visual Testing Procedure</t>
  </si>
  <si>
    <t>Positive Material Identification Procedure</t>
  </si>
  <si>
    <t>Ferrite Testing Procedure</t>
  </si>
  <si>
    <t>KHF-00-104265-AA-6944-01329-0000</t>
  </si>
  <si>
    <t>Weekly Progress report No: 009 (Period: 04-May-19 to 10-May-19)</t>
  </si>
  <si>
    <t>Weekly Progress report No: 008 (Period: 27-Apr-19 to 03-May-19)</t>
  </si>
  <si>
    <t>KHF-00-104265-BA-6065-01304-0000</t>
  </si>
  <si>
    <t>Welding Procedure specification-JWPS-06 &amp; JPQR-06 - P1-P4 Dissimilar welding</t>
  </si>
  <si>
    <t>KHF-00-104265-BA-6065-01317-0000</t>
  </si>
  <si>
    <t>WPS &amp; PQR register - Boiler and Boiler external piping</t>
  </si>
  <si>
    <t>KHF-00-104265-BA-6065-01318-0000</t>
  </si>
  <si>
    <t>Welding Procedure specification-Pipe Support Welding(SMAW)- JWPS-544A &amp; JPQR-544</t>
  </si>
  <si>
    <t>KHF-00-104265-AA-6944-01330-0000</t>
  </si>
  <si>
    <t>Weekly Progress report No: 010 (Period: 11-May-19 to 17-May-19)</t>
  </si>
  <si>
    <t>KHF-00-104265-AA-6944-01331-0000</t>
  </si>
  <si>
    <t>Weekly Progress report No: 011 (Period: 18-May-19 to 24-May-19)</t>
  </si>
  <si>
    <t>KHF-00-104265-AA-6944-01332-0000</t>
  </si>
  <si>
    <t>Weekly Progress report No: 012 (Period: 25-May-19 to 31-May-19)</t>
  </si>
  <si>
    <t>KHF-00-104265-AA-6944-01304-0000</t>
  </si>
  <si>
    <t>Monthly Progress report No: 004 (Period : 20-Apr-2019 to 24-May-2019)</t>
  </si>
  <si>
    <t>KHF-00-104265-AA-6944-01333-0000</t>
  </si>
  <si>
    <t>Weekly Progress report No: 013 (Period: 01-June-19 to 07-June-19)</t>
  </si>
  <si>
    <t>KHF-00-104265-AA-3341-01303-0000</t>
  </si>
  <si>
    <t>CV OF MR.VIJAY - APPOINTED PERSON - LIFTING</t>
  </si>
  <si>
    <t>KHF-00-104265-AA-6944-01334-0000</t>
  </si>
  <si>
    <t>KHF-00-104265-AA-6944-01335-0000</t>
  </si>
  <si>
    <t>Weekly Progress report No: 014 (Period: 08-June-19 to 14-June-19)</t>
  </si>
  <si>
    <t>Weekly Progress report No: 015 (Period: 15-June-19 to 21-June-19)</t>
  </si>
  <si>
    <t>KHF-00-104265-BA-6070-01314-0000</t>
  </si>
  <si>
    <t>Method Statement for GTG and its Auxiliaries piping hydrostatic pressure test</t>
  </si>
  <si>
    <t>KHF-00-104265-AA-6944-01336-0000</t>
  </si>
  <si>
    <t>Weekly Progress report No: 016 (Period: 22-June-19 to 28-June-19)</t>
  </si>
  <si>
    <t>KHF-00-104265-AA-6944-01305-0000</t>
  </si>
  <si>
    <t>Monthly Progress report No: 005 (Period : 25-May-2019 to 21-June-2019)</t>
  </si>
  <si>
    <t>KHF-00-104265-RA-6038-01315-0000</t>
  </si>
  <si>
    <t>Procedure for Radiography Film Digitalization</t>
  </si>
  <si>
    <t>KHF-00-104265-AA-6944-01337-0000</t>
  </si>
  <si>
    <t>Weekly Progress report No: 017 (Period: 29-June-19 to 05-July-19)</t>
  </si>
  <si>
    <t>Weekly Progress report No: 018 (Period: 06-July-19 to 12-July-19)</t>
  </si>
  <si>
    <t>KHF-00-104265-AA-6944-01338-0000</t>
  </si>
  <si>
    <t>KHF-00-104265-AA-3341-01304-0000</t>
  </si>
  <si>
    <t>CV OF MR. KIRUBAKARAN K - HYDROTEST ENGINEER</t>
  </si>
  <si>
    <t>KHF-00-104265-AA-6944-01339-0000</t>
  </si>
  <si>
    <t>KHF-00-104265-AA-6944-01340-0000</t>
  </si>
  <si>
    <t>Weekly Progress report No: 019 (Period: 13-July-19 to 19-July-19)</t>
  </si>
  <si>
    <t>PWPS - HDPE Pipe Butt Fusion Jointing</t>
  </si>
  <si>
    <t>Weekly Progress report No: 020 (Period: 20-July-19 to 26-July-19)</t>
  </si>
  <si>
    <t>KHF-00-104265-AA-6944-01306-0000</t>
  </si>
  <si>
    <t>KHF-00-104265-AA-6944-01307-0000</t>
  </si>
  <si>
    <t>Monthly Progress report No: 006 (Period : 22-June-2019 to 19-July-2019)</t>
  </si>
  <si>
    <t>Method Statement for GTG Lube Oil Flushing</t>
  </si>
  <si>
    <t>KHF-00-104265-AA-6944-01341-0000</t>
  </si>
  <si>
    <t>Weekly Progress report No: 021 (Period: 27-July-19 to 02-August-19)</t>
  </si>
  <si>
    <t>KHF-00-104265-AA-6944-01342-0000</t>
  </si>
  <si>
    <t>KHF-00-104265-AA-6944-01343-0000</t>
  </si>
  <si>
    <t>Weekly Progress report No: 022 (Period: 03-August-19 to 09-August-19)</t>
  </si>
  <si>
    <t>Weekly Progress report No: 023 (Period: 10-August-19 to 16-August-19)</t>
  </si>
  <si>
    <t>KHF-00-104265-AA-6944-01344-0000</t>
  </si>
  <si>
    <t>KHF-00-104265-AA-6944-01345-0000</t>
  </si>
  <si>
    <t>Weekly Progress report No: 024 (Period: 17-August-19 to 23-August-19)</t>
  </si>
  <si>
    <t>WEEKLY PROGRESS REPORT NO.025 PERIOD: 24-AUGUST-2019 TO 30-AUGUST-2019</t>
  </si>
  <si>
    <t>Monthly Progress report No: 007 (Period : 20-July-2019 to 23-Aug-2019)</t>
  </si>
  <si>
    <t>KHF-00-104265-AA-6944-01346-0000</t>
  </si>
  <si>
    <t>WEEKLY PROGRESS REPORT NO.026 PERIOD: 31-AUGUST-2019 TO 06-SEPTEMBER-2019</t>
  </si>
  <si>
    <t>KHF-00-104265-BA-6070-01315-0000</t>
  </si>
  <si>
    <t>KHF-00-104265-QA-5733-01312-0000</t>
  </si>
  <si>
    <t>Method ststement for insulation works of piping and equipments</t>
  </si>
  <si>
    <t>ITP for insulation works</t>
  </si>
  <si>
    <t>Method Of Statement For Erection - Static &amp; Rotory</t>
  </si>
  <si>
    <t>Method Of Statement For CCW-Flushing</t>
  </si>
  <si>
    <t>Method Of Statement Erection Gt, Gtg &amp; Auxiliaires</t>
  </si>
  <si>
    <t xml:space="preserve">ITP for the Installation of HRSG - Boiler External, Non Boiler External Piping </t>
  </si>
  <si>
    <t>Non Sour Service - Welding Procedure specification - JWPS-543 &amp; JPQR-543 - Grade P11</t>
  </si>
  <si>
    <t>KHF-00-104265-QA-7180-01301-0000</t>
  </si>
  <si>
    <t>HRSG ASME Manufacturers data report (P-Forms) documents submission</t>
  </si>
  <si>
    <t>Subcontractor</t>
  </si>
  <si>
    <t>Doc. Type / Discipline</t>
  </si>
  <si>
    <t>L</t>
  </si>
  <si>
    <t>IFA</t>
  </si>
  <si>
    <t>IFR</t>
  </si>
  <si>
    <t>AIP-PDO-P1701009-T-1036</t>
  </si>
  <si>
    <t>AIP-YKP-JEL-P1701009-T-0020</t>
  </si>
  <si>
    <t>AIP-YKP-JEL-T-0016</t>
  </si>
  <si>
    <t>AIP-YKP-JEL-P1701009-T-0009</t>
  </si>
  <si>
    <t>AIP-YKP-JEL-T-0022</t>
  </si>
  <si>
    <t>AIP-PDO-P1701009-T-1037</t>
  </si>
  <si>
    <t>AIP-YKP-JEL -T-0022R8</t>
  </si>
  <si>
    <t>AIP-PDO-P1701009-T-1313</t>
  </si>
  <si>
    <t>AIP-YKP-JEL-P1701009-T-0041</t>
  </si>
  <si>
    <t>AIP-YKP-JEL-P1701009-T-0022</t>
  </si>
  <si>
    <t>AIP-YKP-JEL-P1701009-T-0015</t>
  </si>
  <si>
    <t>AIP-YKP-JEL -T-0015R7</t>
  </si>
  <si>
    <t>AIP-PDO-P1701009-T-1195</t>
  </si>
  <si>
    <t>AIP-YKP-JEL-P1701009-T-0027</t>
  </si>
  <si>
    <t>AIP-YKP-JEL-P1701009-T-0023</t>
  </si>
  <si>
    <t>AIP-YKP-JEL -T-0015R8</t>
  </si>
  <si>
    <t>AIP-PDO-P1701009-T-1196</t>
  </si>
  <si>
    <t>KHF_AIP_D_EXT_01239</t>
  </si>
  <si>
    <t>AIP-YKP-JEL -T-0022R9</t>
  </si>
  <si>
    <t>AIP-PDO-P1701009-T-1340</t>
  </si>
  <si>
    <t>AIP-YKP-JEL-P1701009-T-0042</t>
  </si>
  <si>
    <t>AIP-YKP-JEL-P1701009-T-0048</t>
  </si>
  <si>
    <t>AIP-PDO-P1701009-T-1207</t>
  </si>
  <si>
    <t>KHF_AIP_D_EXT_01247</t>
  </si>
  <si>
    <t>AIP-YKP-JEL-P1701009-T-0029</t>
  </si>
  <si>
    <t>AIP-PDO-P1701009-T-0972</t>
  </si>
  <si>
    <t>KHF_AIP_D_EXT_01035</t>
  </si>
  <si>
    <t>Code B</t>
  </si>
  <si>
    <t>AIP-YKP-JEL-P1701009-T-0011</t>
  </si>
  <si>
    <t>COMMENTS FROM PDO</t>
  </si>
  <si>
    <t>AIP-YKP-JEL-T-0010R1</t>
  </si>
  <si>
    <t>AIP-PDO-P1701009-T-0975</t>
  </si>
  <si>
    <t>KHF_AIP_D_EXT_01036</t>
  </si>
  <si>
    <t>AIP-YKP-JEL-T-0008</t>
  </si>
  <si>
    <t>AIP-PDO-P1701009-T-0927</t>
  </si>
  <si>
    <t>KHF_AIP_D_EXT_00971</t>
  </si>
  <si>
    <t>AIP-YKP-JEL-P1701009-T-0007</t>
  </si>
  <si>
    <t>AIP-YKP-JEL-T-0003</t>
  </si>
  <si>
    <t>KHF_AIP_D_EXT_00968</t>
  </si>
  <si>
    <t>AIP-YKP-JEL-P1701009-T-0006</t>
  </si>
  <si>
    <t>AIP-YKP-JEL-T-0022R1</t>
  </si>
  <si>
    <t>KHF_AIP_D_EXT_01106</t>
  </si>
  <si>
    <t>KHF_AIP_D_EXT_01352</t>
  </si>
  <si>
    <t>AIP-YKP-JEL-P1701009-T-0040</t>
  </si>
  <si>
    <t>KHF_AIP_D_EXT_01393</t>
  </si>
  <si>
    <t>AIP-YKP-JEL-T-0004</t>
  </si>
  <si>
    <t>AIP-PDO-P1701009-T-0968</t>
  </si>
  <si>
    <t>KHF_AIP_D_EXT_01017</t>
  </si>
  <si>
    <t>AIP-YKP-JEL-T-0012</t>
  </si>
  <si>
    <t>AIP-PDO-P1701009-T-0930</t>
  </si>
  <si>
    <t>KHF_AIP_D_EXT_01013</t>
  </si>
  <si>
    <t>AIP-YKP-JEL-T-0007</t>
  </si>
  <si>
    <t>AIP-PDO-P1701009-T-1079</t>
  </si>
  <si>
    <t>KHF_AIP_D_EXT_01213</t>
  </si>
  <si>
    <t>AIP-YKP-JEL-P1701009-T-0024</t>
  </si>
  <si>
    <t>AIP-YKP-JEL-T-0006</t>
  </si>
  <si>
    <t>AIP-YKP-JEL-T-0014</t>
  </si>
  <si>
    <t>AIP-PDO-P1701009-T-0921</t>
  </si>
  <si>
    <t>KHF_AIP_D_EXT_01103</t>
  </si>
  <si>
    <t>KHF_AIP_D_EXT_01018</t>
  </si>
  <si>
    <t>AIP-YKP-JEL -T-0059</t>
  </si>
  <si>
    <t>AIP-PDO-P1701009-T-1357</t>
  </si>
  <si>
    <t>KHF_AIP_D_EXT_01472</t>
  </si>
  <si>
    <t>AIP-YKP-JEL-T-0009</t>
  </si>
  <si>
    <t>KHF_AIP_D_EXT_00962</t>
  </si>
  <si>
    <t>AIP-YKP-JEL-P1701009-T-0005</t>
  </si>
  <si>
    <t>AIP-YKP-JEL-T-0011</t>
  </si>
  <si>
    <t>AIP-PDO-P1701009-T-0991</t>
  </si>
  <si>
    <t>KHF_AIP_D_EXT_01037</t>
  </si>
  <si>
    <t>AIP-YKP-JEL-T-0018</t>
  </si>
  <si>
    <t>AIP-PDO-P1701009-T-1016</t>
  </si>
  <si>
    <t>KHF_AIP_D_EXT_01041</t>
  </si>
  <si>
    <t>AIP-YKP-JEL-T-0015R6</t>
  </si>
  <si>
    <t>AIP-PDO-P1701009-T-1148</t>
  </si>
  <si>
    <t>KHF_AIP_D_EXT_01201</t>
  </si>
  <si>
    <t>AIP-YKP-JEL-T-0021R1</t>
  </si>
  <si>
    <t>AIP-PDO-P1701009-T-1007</t>
  </si>
  <si>
    <t>KHF_AIP_D_EXT_01038</t>
  </si>
  <si>
    <t>AIP-YKP-JEL-T-0021R2</t>
  </si>
  <si>
    <t>KHF_AIP_D_EXT_01110</t>
  </si>
  <si>
    <t>AIP-YKP-JEL-P1701009-T-0017</t>
  </si>
  <si>
    <t>AIP-YKP-JEL-T-0015R5</t>
  </si>
  <si>
    <t>AIP-PDO-P1701009-T-1116</t>
  </si>
  <si>
    <t>KHF_AIP_D_EXT_01157</t>
  </si>
  <si>
    <t>AIP-PDO-P1701009-T-1149</t>
  </si>
  <si>
    <t>KHF_AIP_D_EXT_01202</t>
  </si>
  <si>
    <t>KHF_AIP_D_EXT_01238</t>
  </si>
  <si>
    <t>AIP-YKP-JEL-T-0029</t>
  </si>
  <si>
    <t>AIP-PDO-P1701009-T-1153</t>
  </si>
  <si>
    <t>KHF_AIP_D_EXT_01205</t>
  </si>
  <si>
    <t>AIP-YKP-JEL -T-0044R1</t>
  </si>
  <si>
    <t>AIP-PDO-P1701009-T-1236</t>
  </si>
  <si>
    <t>KHF_AIP_D_EXT_01274</t>
  </si>
  <si>
    <t>AIP-YKP-JEL-P1701009-T-0031</t>
  </si>
  <si>
    <t>AIP-YKP-JEL -T-0022R4</t>
  </si>
  <si>
    <t>AIP-PDO-P1701009-T-1218</t>
  </si>
  <si>
    <t>KHF_AIP_D_EXT_01262</t>
  </si>
  <si>
    <t>AIP-YKP-JEL-P1701009-T-0030</t>
  </si>
  <si>
    <t>AIP-YKP-JEL -T-0022R6</t>
  </si>
  <si>
    <t>AIP-PDO-P1701009-T-1272</t>
  </si>
  <si>
    <t>KHF_AIP_D_EXT_01318</t>
  </si>
  <si>
    <t>AIP-YKP-JEL-P1701009-T-0036</t>
  </si>
  <si>
    <t>KHF_AIP_D_EXT_01375</t>
  </si>
  <si>
    <t>AIP-YKP-JEL -T-0022R5</t>
  </si>
  <si>
    <t>AIP-PDO-P1701009-T-1211</t>
  </si>
  <si>
    <t>KHF_AIP_D_EXT_01353</t>
  </si>
  <si>
    <t>KHF_AIP_D_EXT_01299</t>
  </si>
  <si>
    <t>AIP-YKP-JEL-P1701009-T-0033</t>
  </si>
  <si>
    <t>KHF_AIP_D_EXT_01319</t>
  </si>
  <si>
    <t>KHF_AIP_D_EXT_01422</t>
  </si>
  <si>
    <t>AIP-YKP-JEL-P1701009-T-0044</t>
  </si>
  <si>
    <t>AIP-YKP-JEL -T-0015R9</t>
  </si>
  <si>
    <t>AIP-YKP-JEL -T-0022R7</t>
  </si>
  <si>
    <t>AIP-PDO-P1701009-T-1284</t>
  </si>
  <si>
    <t>KHF_AIP_D_EXT_01333</t>
  </si>
  <si>
    <t>AIP-YKP-JEL-P1701009-T-0039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</si>
</sst>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/mmm/yy;@"/>
    <numFmt numFmtId="165" formatCode="00"/>
  </numFmts>
  <fonts count="14" x14ac:knownFonts="1">
    <font>
      <sz val="10"/>
      <name val="Arial"/>
    </font>
    <font>
      <sz val="10"/>
      <name val="Verdana"/>
      <family val="2"/>
    </font>
    <font>
      <sz val="10"/>
      <name val="Arial"/>
      <family val="2"/>
    </font>
    <font>
      <b/>
      <sz val="11"/>
      <name val="Verdana"/>
      <family val="2"/>
    </font>
    <font>
      <sz val="8"/>
      <name val="Verdana"/>
      <family val="2"/>
    </font>
    <font>
      <b/>
      <sz val="8"/>
      <name val="Verdana"/>
      <family val="2"/>
    </font>
    <font>
      <b/>
      <sz val="10"/>
      <name val="Verdana"/>
      <family val="2"/>
    </font>
    <font>
      <b/>
      <sz val="14"/>
      <name val="Verdana"/>
      <family val="2"/>
    </font>
    <font>
      <b/>
      <sz val="13"/>
      <name val="Verdana"/>
      <family val="2"/>
    </font>
    <font>
      <b/>
      <sz val="8"/>
      <color indexed="10"/>
      <name val="Verdana"/>
      <family val="2"/>
    </font>
    <font>
      <b/>
      <sz val="9"/>
      <color indexed="60"/>
      <name val="Verdana"/>
      <family val="2"/>
    </font>
    <font>
      <sz val="8"/>
      <name val="Arial"/>
      <family val="2"/>
    </font>
    <font>
      <i/>
      <sz val="8"/>
      <name val="Verdana"/>
      <family val="2"/>
    </font>
    <font>
      <b/>
      <sz val="8"/>
      <color rgb="FFFF000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13">
    <xf numFmtId="0" fontId="0" fillId="0" borderId="0" xfId="0"/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164" fontId="9" fillId="0" borderId="3" xfId="0" applyNumberFormat="1" applyFont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64" fontId="5" fillId="3" borderId="1" xfId="0" applyNumberFormat="1" applyFont="1" applyFill="1" applyBorder="1" applyAlignment="1">
      <alignment horizontal="center" vertical="center" wrapText="1"/>
    </xf>
    <xf numFmtId="0" fontId="5" fillId="3" borderId="1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165" fontId="4" fillId="0" borderId="1" xfId="0" applyNumberFormat="1" applyFont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vertical="center" wrapText="1"/>
    </xf>
    <xf numFmtId="164" fontId="4" fillId="0" borderId="0" xfId="0" applyNumberFormat="1" applyFont="1" applyAlignment="1">
      <alignment horizontal="center" vertical="center" wrapText="1"/>
    </xf>
    <xf numFmtId="164" fontId="5" fillId="4" borderId="1" xfId="0" applyNumberFormat="1" applyFont="1" applyFill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0" fillId="5" borderId="0" xfId="0" applyFill="1"/>
    <xf numFmtId="0" fontId="0" fillId="0" borderId="16" xfId="0" applyBorder="1"/>
    <xf numFmtId="14" fontId="0" fillId="0" borderId="0" xfId="0" applyNumberFormat="1"/>
    <xf numFmtId="14" fontId="0" fillId="0" borderId="16" xfId="0" applyNumberFormat="1" applyBorder="1"/>
    <xf numFmtId="0" fontId="0" fillId="0" borderId="0" xfId="0" applyAlignment="1"/>
    <xf numFmtId="0" fontId="4" fillId="0" borderId="5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164" fontId="10" fillId="0" borderId="14" xfId="0" applyNumberFormat="1" applyFont="1" applyBorder="1" applyAlignment="1">
      <alignment horizontal="center" vertical="center" wrapText="1"/>
    </xf>
    <xf numFmtId="164" fontId="10" fillId="0" borderId="15" xfId="0" applyNumberFormat="1" applyFont="1" applyBorder="1" applyAlignment="1">
      <alignment horizontal="center" vertical="center" wrapText="1"/>
    </xf>
  </cellXfs>
  <cellStyles count="2">
    <cellStyle name="Normal" xfId="0" builtinId="0"/>
    <cellStyle name="Normal 3" xfId="1" xr:uid="{00000000-0005-0000-0000-000001000000}"/>
  </cellStyles>
  <dxfs count="4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66675</xdr:rowOff>
        </xdr:from>
        <xdr:to>
          <xdr:col>3</xdr:col>
          <xdr:colOff>2438400</xdr:colOff>
          <xdr:row>2</xdr:row>
          <xdr:rowOff>66675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2552700</xdr:colOff>
      <xdr:row>0</xdr:row>
      <xdr:rowOff>47625</xdr:rowOff>
    </xdr:from>
    <xdr:to>
      <xdr:col>3</xdr:col>
      <xdr:colOff>4019550</xdr:colOff>
      <xdr:row>2</xdr:row>
      <xdr:rowOff>85725</xdr:rowOff>
    </xdr:to>
    <xdr:sp macro="[0]!Dashboard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24425" y="47625"/>
          <a:ext cx="1466850" cy="3619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solidFill>
                <a:sysClr val="windowText" lastClr="000000"/>
              </a:solidFill>
            </a:rPr>
            <a:t>Search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01-Document%20Control\Subcontractors\013-JEL-GTG%20&amp;%20HRSG%20Installation\JEL-Log%20Register-YK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01-Document%20Control\Outgoing%20to%20PDO\Outgoing%20Transmittals\Yibal%20-%20Outgoing%20Log%20Registe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01-Document%20Control\Incoming%20from%20PDO\Incoming%20Transmittals\Yibal%20-%20Incoming%20Log%20Regist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ing from JEL"/>
      <sheetName val="Outgoing to JEL"/>
    </sheetNames>
    <sheetDataSet>
      <sheetData sheetId="0">
        <row r="6">
          <cell r="A6" t="str">
            <v>KHF-00-104265-AA-4880-01301-0000-1</v>
          </cell>
          <cell r="B6" t="str">
            <v>AIP-YKP-JEL-T-0001</v>
          </cell>
          <cell r="C6">
            <v>43453</v>
          </cell>
          <cell r="D6" t="str">
            <v>KHF-00-104265-AA-4880-01301-0000</v>
          </cell>
          <cell r="E6" t="str">
            <v>Crane Load Chart and Manuals</v>
          </cell>
          <cell r="F6">
            <v>1</v>
          </cell>
          <cell r="G6" t="str">
            <v>IFI</v>
          </cell>
        </row>
        <row r="7">
          <cell r="A7" t="str">
            <v>KHF-00-104265-BA-5011-01301-0000-1</v>
          </cell>
          <cell r="B7" t="str">
            <v>AIP-YKP-JEL-T-0002</v>
          </cell>
          <cell r="C7">
            <v>43458</v>
          </cell>
          <cell r="D7" t="str">
            <v>KHF-00-104265-BA-5011-01301-0000</v>
          </cell>
          <cell r="E7" t="str">
            <v>Scaffolding Materials Requirement-Tube and Clamp Type</v>
          </cell>
          <cell r="F7">
            <v>1</v>
          </cell>
          <cell r="G7" t="str">
            <v>IFI</v>
          </cell>
        </row>
        <row r="8">
          <cell r="A8" t="str">
            <v>KHF-00-104265-BA-5011-01302-0000-1</v>
          </cell>
          <cell r="B8" t="str">
            <v>AIP-YKP-JEL-T-0002</v>
          </cell>
          <cell r="C8">
            <v>43458</v>
          </cell>
          <cell r="D8" t="str">
            <v>KHF-00-104265-BA-5011-01302-0000</v>
          </cell>
          <cell r="E8" t="str">
            <v>Scaffolding Materials Requirement-Cup Lock Type</v>
          </cell>
          <cell r="F8">
            <v>1</v>
          </cell>
          <cell r="G8" t="str">
            <v>IFI</v>
          </cell>
        </row>
        <row r="9">
          <cell r="A9" t="str">
            <v>rejected</v>
          </cell>
          <cell r="B9" t="str">
            <v>AIP-YKP-JEL-T-0003</v>
          </cell>
          <cell r="C9">
            <v>43459</v>
          </cell>
          <cell r="D9" t="str">
            <v>KHF-00-104265-QA-5733-01301-0000</v>
          </cell>
          <cell r="E9" t="str">
            <v>ITP for the Installation of HRSG System</v>
          </cell>
          <cell r="F9">
            <v>1</v>
          </cell>
          <cell r="G9" t="str">
            <v>rejected by AIP</v>
          </cell>
        </row>
        <row r="10">
          <cell r="A10" t="str">
            <v>KHF-00-104265-QA-5733-01304-0000-1</v>
          </cell>
          <cell r="B10" t="str">
            <v>AIP-YKP-JEL-T-0003</v>
          </cell>
          <cell r="C10">
            <v>43459</v>
          </cell>
          <cell r="D10" t="str">
            <v>KHF-00-104265-QA-5733-01304-0000</v>
          </cell>
          <cell r="E10" t="str">
            <v>ITP for the Installation of Finfan Cooler</v>
          </cell>
          <cell r="F10">
            <v>1</v>
          </cell>
          <cell r="G10" t="str">
            <v>IFR</v>
          </cell>
        </row>
        <row r="11">
          <cell r="A11" t="str">
            <v>KHF-00-104265-BA-6070-01301-0000-1</v>
          </cell>
          <cell r="B11" t="str">
            <v>AIP-YKP-JEL-T-0004</v>
          </cell>
          <cell r="C11">
            <v>43459</v>
          </cell>
          <cell r="D11" t="str">
            <v>KHF-00-104265-BA-6070-01301-0000</v>
          </cell>
          <cell r="E11" t="str">
            <v>Method Of Statement For Installation HRSG Module</v>
          </cell>
          <cell r="F11">
            <v>1</v>
          </cell>
          <cell r="G11" t="str">
            <v>IFR</v>
          </cell>
        </row>
        <row r="12">
          <cell r="A12" t="str">
            <v>KHF-00-104265-FA-5765-01301-0000-1</v>
          </cell>
          <cell r="B12" t="str">
            <v>AIP-YKP-JEL-T-0005</v>
          </cell>
          <cell r="C12">
            <v>43459</v>
          </cell>
          <cell r="D12" t="str">
            <v>KHF-00-104265-FA-5765-01301-0000</v>
          </cell>
          <cell r="E12" t="str">
            <v>Project Schedule follow with LOI dates</v>
          </cell>
          <cell r="F12">
            <v>1</v>
          </cell>
          <cell r="G12" t="str">
            <v>IFR</v>
          </cell>
        </row>
        <row r="13">
          <cell r="A13" t="str">
            <v>KHF-00-104265-BA-6070-01304-0000-1</v>
          </cell>
          <cell r="B13" t="str">
            <v>AIP-YKP-JEL-T-0006</v>
          </cell>
          <cell r="C13">
            <v>43459</v>
          </cell>
          <cell r="D13" t="str">
            <v>KHF-00-104265-BA-6070-01304-0000</v>
          </cell>
          <cell r="E13" t="str">
            <v>Method Of Statement Structural Erection -HRSG &amp; HRSG Auxiliaries.</v>
          </cell>
          <cell r="F13">
            <v>1</v>
          </cell>
          <cell r="G13" t="str">
            <v>IFR</v>
          </cell>
        </row>
        <row r="14">
          <cell r="A14" t="str">
            <v>KHF-00-104265-BA-6070-01303-0000-1</v>
          </cell>
          <cell r="B14" t="str">
            <v>AIP-YKP-JEL-T-0007</v>
          </cell>
          <cell r="C14">
            <v>43459</v>
          </cell>
          <cell r="D14" t="str">
            <v>KHF-00-104265-BA-6070-01303-0000</v>
          </cell>
          <cell r="E14" t="str">
            <v>Method Of Statement For Erection Pressure Parts &amp; Drum</v>
          </cell>
          <cell r="F14">
            <v>1</v>
          </cell>
          <cell r="G14" t="str">
            <v>IFR</v>
          </cell>
        </row>
        <row r="15">
          <cell r="A15" t="str">
            <v>KHF-00-104265-QA-5733-01303-0000-1</v>
          </cell>
          <cell r="B15" t="str">
            <v>AIP-YKP-JEL-T-0008</v>
          </cell>
          <cell r="C15">
            <v>43459</v>
          </cell>
          <cell r="D15" t="str">
            <v>KHF-00-104265-QA-5733-01303-0000</v>
          </cell>
          <cell r="E15" t="str">
            <v>ITP for the Surface Preparation &amp; Painting of field welded Joints</v>
          </cell>
          <cell r="F15">
            <v>1</v>
          </cell>
          <cell r="G15" t="str">
            <v>IFR</v>
          </cell>
        </row>
        <row r="16">
          <cell r="A16" t="str">
            <v>KHF-00-104265-QA-5733-01305-0000-1</v>
          </cell>
          <cell r="B16" t="str">
            <v>AIP-YKP-JEL-T-0009</v>
          </cell>
          <cell r="C16">
            <v>43461</v>
          </cell>
          <cell r="D16" t="str">
            <v>KHF-00-104265-QA-5733-01305-0000</v>
          </cell>
          <cell r="E16" t="str">
            <v>ITP for the Installation of Gas Turbine Exhaust Bypass System</v>
          </cell>
          <cell r="F16">
            <v>1</v>
          </cell>
          <cell r="G16" t="str">
            <v>IFR</v>
          </cell>
        </row>
        <row r="17">
          <cell r="A17" t="str">
            <v>KHF-00-104265-QA-5733-01306-0000-1</v>
          </cell>
          <cell r="B17" t="str">
            <v>AIP-YKP-JEL-T-0009</v>
          </cell>
          <cell r="C17">
            <v>43461</v>
          </cell>
          <cell r="D17" t="str">
            <v>KHF-00-104265-QA-5733-01306-0000</v>
          </cell>
          <cell r="E17" t="str">
            <v>ITP for the Installation of HRSG Main Stack System</v>
          </cell>
          <cell r="F17">
            <v>1</v>
          </cell>
          <cell r="G17" t="str">
            <v>IFR</v>
          </cell>
        </row>
        <row r="18">
          <cell r="A18" t="str">
            <v>KHF-00-104265-QA-5733-01307-0000-1</v>
          </cell>
          <cell r="B18" t="str">
            <v>AIP-YKP-JEL-T-0009</v>
          </cell>
          <cell r="C18">
            <v>43461</v>
          </cell>
          <cell r="D18" t="str">
            <v>KHF-00-104265-QA-5733-01307-0000</v>
          </cell>
          <cell r="E18" t="str">
            <v>ITP for the Installation of Rotary Equipment’s</v>
          </cell>
          <cell r="F18">
            <v>1</v>
          </cell>
          <cell r="G18" t="str">
            <v>IFR</v>
          </cell>
        </row>
        <row r="19">
          <cell r="A19" t="str">
            <v>KHF-00-104265-QA-5733-01302-0000-1</v>
          </cell>
          <cell r="B19" t="str">
            <v>AIP-YKP-JEL-T-0010</v>
          </cell>
          <cell r="C19">
            <v>43464</v>
          </cell>
          <cell r="D19" t="str">
            <v>KHF-00-104265-QA-5733-01302-0000</v>
          </cell>
          <cell r="E19" t="str">
            <v>ITP for the Installation of GT Package and its auxiliaries</v>
          </cell>
          <cell r="F19">
            <v>1</v>
          </cell>
          <cell r="G19" t="str">
            <v>IFR</v>
          </cell>
        </row>
        <row r="20">
          <cell r="A20" t="str">
            <v>KHF-00-104265-QA-5733-01308-0000-1</v>
          </cell>
          <cell r="B20" t="str">
            <v>AIP-YKP-JEL-T-0011</v>
          </cell>
          <cell r="C20">
            <v>43465</v>
          </cell>
          <cell r="D20" t="str">
            <v>KHF-00-104265-QA-5733-01308-0000</v>
          </cell>
          <cell r="E20" t="str">
            <v>ITP for the Installation of Static Equipment &amp; Skid Installation</v>
          </cell>
          <cell r="F20">
            <v>1</v>
          </cell>
          <cell r="G20" t="str">
            <v>IFR</v>
          </cell>
        </row>
        <row r="21">
          <cell r="A21" t="str">
            <v>rejected</v>
          </cell>
          <cell r="B21" t="str">
            <v>AIP-YKP-JEL-T-0011</v>
          </cell>
          <cell r="C21">
            <v>43465</v>
          </cell>
          <cell r="D21" t="str">
            <v>KHF-00-104265-QA-5733-01309-0000</v>
          </cell>
          <cell r="E21" t="str">
            <v>ITP for the Installation of HRSG - Boiler External,  Non Boiler External Piping</v>
          </cell>
          <cell r="F21">
            <v>1</v>
          </cell>
          <cell r="G21" t="str">
            <v>rejected by AIP</v>
          </cell>
        </row>
        <row r="22">
          <cell r="A22" t="str">
            <v>KHF-00-104265-BA-6070-01302-0000-1</v>
          </cell>
          <cell r="B22" t="str">
            <v>AIP-YKP-JEL-T-0012</v>
          </cell>
          <cell r="C22">
            <v>43467</v>
          </cell>
          <cell r="D22" t="str">
            <v>KHF-00-104265-BA-6070-01302-0000</v>
          </cell>
          <cell r="E22" t="str">
            <v>Method Statement For Erection Non Pressure Parts</v>
          </cell>
          <cell r="F22">
            <v>1</v>
          </cell>
          <cell r="G22" t="str">
            <v>IFR</v>
          </cell>
        </row>
        <row r="23">
          <cell r="A23" t="str">
            <v>KHF-00-104265-BA-6070-01310-0000-1</v>
          </cell>
          <cell r="B23" t="str">
            <v>AIP-YKP-JEL-T-0012</v>
          </cell>
          <cell r="C23">
            <v>43467</v>
          </cell>
          <cell r="D23" t="str">
            <v>KHF-00-104265-BA-6070-01310-0000</v>
          </cell>
          <cell r="E23" t="str">
            <v>Method Statement for Erection GT, GTG &amp; Auxiliaries.</v>
          </cell>
          <cell r="F23">
            <v>1</v>
          </cell>
          <cell r="G23" t="str">
            <v>IFR</v>
          </cell>
        </row>
        <row r="24">
          <cell r="A24" t="str">
            <v>KHF-00-104265-FA-5765-01301-0000-2</v>
          </cell>
          <cell r="B24" t="str">
            <v>AIP-YKP-JEL-T-0013</v>
          </cell>
          <cell r="C24">
            <v>43473</v>
          </cell>
          <cell r="D24" t="str">
            <v>KHF-00-104265-FA-5765-01301-0000</v>
          </cell>
          <cell r="E24" t="str">
            <v>Project Schedule follow with LOI dates</v>
          </cell>
          <cell r="F24">
            <v>2</v>
          </cell>
          <cell r="G24" t="str">
            <v>IFA</v>
          </cell>
        </row>
        <row r="25">
          <cell r="A25" t="str">
            <v>KHF-00-104265-BA-6070-01309-0000-1</v>
          </cell>
          <cell r="B25" t="str">
            <v>AIP-YKP-JEL-T-0014</v>
          </cell>
          <cell r="C25">
            <v>43480</v>
          </cell>
          <cell r="D25" t="str">
            <v>KHF-00-104265-BA-6070-01309-0000</v>
          </cell>
          <cell r="E25" t="str">
            <v>Method Of Statement For Erection of GTEBS System</v>
          </cell>
          <cell r="F25">
            <v>1</v>
          </cell>
          <cell r="G25" t="str">
            <v>IFR</v>
          </cell>
        </row>
        <row r="26">
          <cell r="A26" t="str">
            <v>AIP Comments</v>
          </cell>
          <cell r="B26" t="str">
            <v>AIP-YKP-JEL-T-0015</v>
          </cell>
          <cell r="C26">
            <v>43482</v>
          </cell>
          <cell r="D26" t="str">
            <v>KHF-00-104265-BA-6065-01301-0000</v>
          </cell>
          <cell r="E26" t="str">
            <v>WPS &amp; PQR - Register</v>
          </cell>
          <cell r="F26">
            <v>1</v>
          </cell>
          <cell r="G26" t="str">
            <v>IFR</v>
          </cell>
        </row>
        <row r="27">
          <cell r="A27" t="str">
            <v>AIP Comments</v>
          </cell>
          <cell r="B27" t="str">
            <v>AIP-YKP-JEL-T-0015</v>
          </cell>
          <cell r="C27">
            <v>43482</v>
          </cell>
          <cell r="D27" t="str">
            <v>KHF-00-104265-BA-6065-01302-0000</v>
          </cell>
          <cell r="E27" t="str">
            <v>WPS AND PQR - JWPS-05 &amp; P-JM-4-4-GS</v>
          </cell>
          <cell r="F27">
            <v>1</v>
          </cell>
          <cell r="G27" t="str">
            <v>IFR</v>
          </cell>
        </row>
        <row r="28">
          <cell r="A28" t="str">
            <v>KHF-00-104265-BA-6065-01303-0000-1</v>
          </cell>
          <cell r="B28" t="str">
            <v>AIP-YKP-JEL-T-0015</v>
          </cell>
          <cell r="C28">
            <v>43482</v>
          </cell>
          <cell r="D28" t="str">
            <v>KHF-00-104265-BA-6065-01303-0000</v>
          </cell>
          <cell r="E28" t="str">
            <v>WPS AND PQR - JWPS-05A &amp; P-JM-4-4-GS</v>
          </cell>
          <cell r="F28">
            <v>1</v>
          </cell>
          <cell r="G28" t="str">
            <v>IFR</v>
          </cell>
        </row>
        <row r="29">
          <cell r="A29" t="str">
            <v>AIP Comments</v>
          </cell>
          <cell r="B29" t="str">
            <v>AIP-YKP-JEL-T-0015</v>
          </cell>
          <cell r="C29">
            <v>43482</v>
          </cell>
          <cell r="D29" t="str">
            <v>KHF-00-104265-BA-6065-01304-0000</v>
          </cell>
          <cell r="E29" t="str">
            <v>WPS AND PQR - JWPS-06 &amp; JPQR-06</v>
          </cell>
          <cell r="F29">
            <v>1</v>
          </cell>
          <cell r="G29" t="str">
            <v>IFR</v>
          </cell>
        </row>
        <row r="30">
          <cell r="A30" t="str">
            <v>KHF-00-104265-BA-6065-01305-0000-1</v>
          </cell>
          <cell r="B30" t="str">
            <v>AIP-YKP-JEL-T-0015</v>
          </cell>
          <cell r="C30">
            <v>43482</v>
          </cell>
          <cell r="D30" t="str">
            <v>KHF-00-104265-BA-6065-01305-0000</v>
          </cell>
          <cell r="E30" t="str">
            <v>WPS AND PQR - JWPS-13 &amp; JPQR-13</v>
          </cell>
          <cell r="F30">
            <v>1</v>
          </cell>
          <cell r="G30" t="str">
            <v>IFR</v>
          </cell>
        </row>
        <row r="31">
          <cell r="A31" t="str">
            <v>AIP Comments</v>
          </cell>
          <cell r="B31" t="str">
            <v>AIP-YKP-JEL-T-0015</v>
          </cell>
          <cell r="C31">
            <v>43482</v>
          </cell>
          <cell r="D31" t="str">
            <v>KHF-00-104265-BA-6065-01306-0000</v>
          </cell>
          <cell r="E31" t="str">
            <v>WPS AND PQR - JWPS-23A &amp; FPQ-30</v>
          </cell>
          <cell r="F31">
            <v>1</v>
          </cell>
          <cell r="G31" t="str">
            <v>IFR</v>
          </cell>
        </row>
        <row r="32">
          <cell r="A32" t="str">
            <v>AIP Comments</v>
          </cell>
          <cell r="B32" t="str">
            <v>AIP-YKP-JEL-T-0015</v>
          </cell>
          <cell r="C32">
            <v>43482</v>
          </cell>
          <cell r="D32" t="str">
            <v>KHF-00-104265-BA-6065-01307-0000</v>
          </cell>
          <cell r="E32" t="str">
            <v>WPS AND PQR - JWPS-95 &amp; JPQR-95</v>
          </cell>
          <cell r="F32">
            <v>1</v>
          </cell>
          <cell r="G32" t="str">
            <v>IFR</v>
          </cell>
        </row>
        <row r="33">
          <cell r="A33" t="str">
            <v>AIP Comments</v>
          </cell>
          <cell r="B33" t="str">
            <v>AIP-YKP-JEL-T-0015</v>
          </cell>
          <cell r="C33">
            <v>43482</v>
          </cell>
          <cell r="D33" t="str">
            <v>KHF-00-104265-BA-6065-01308-0000</v>
          </cell>
          <cell r="E33" t="str">
            <v>WPS AND PQR - JWPS-96 &amp; JPQR-96</v>
          </cell>
          <cell r="F33">
            <v>1</v>
          </cell>
          <cell r="G33" t="str">
            <v>IFR</v>
          </cell>
        </row>
        <row r="34">
          <cell r="A34" t="str">
            <v>KHF-00-104265-BA-6065-01309-0000-1</v>
          </cell>
          <cell r="B34" t="str">
            <v>AIP-YKP-JEL-T-0015</v>
          </cell>
          <cell r="C34">
            <v>43482</v>
          </cell>
          <cell r="D34" t="str">
            <v>KHF-00-104265-BA-6065-01309-0000</v>
          </cell>
          <cell r="E34" t="str">
            <v>WPS AND PQR - JWPS-100 &amp; JPQR-100</v>
          </cell>
          <cell r="F34">
            <v>1</v>
          </cell>
          <cell r="G34" t="str">
            <v>IFR</v>
          </cell>
        </row>
        <row r="35">
          <cell r="A35" t="str">
            <v>AIP Comments</v>
          </cell>
          <cell r="B35" t="str">
            <v>AIP-YKP-JEL-T-0015</v>
          </cell>
          <cell r="C35">
            <v>43482</v>
          </cell>
          <cell r="D35" t="str">
            <v>KHF-00-104265-BA-6065-01310-0000</v>
          </cell>
          <cell r="E35" t="str">
            <v>WPS AND PQR - JWPS-142 &amp; JPQR- 142,143 &amp; 144</v>
          </cell>
          <cell r="F35">
            <v>1</v>
          </cell>
          <cell r="G35" t="str">
            <v>IFR</v>
          </cell>
        </row>
        <row r="36">
          <cell r="A36" t="str">
            <v>AIP Comments</v>
          </cell>
          <cell r="B36" t="str">
            <v>AIP-YKP-JEL-T-0015</v>
          </cell>
          <cell r="C36">
            <v>43482</v>
          </cell>
          <cell r="D36" t="str">
            <v>KHF-00-104265-BA-6065-01311-0000</v>
          </cell>
          <cell r="E36" t="str">
            <v>WPS AND PQR - WPS-513 &amp; PQR-513</v>
          </cell>
          <cell r="F36">
            <v>1</v>
          </cell>
          <cell r="G36" t="str">
            <v>IFR</v>
          </cell>
        </row>
        <row r="37">
          <cell r="A37" t="str">
            <v>KHF-00-104265-BA-6070-01302-0000-2</v>
          </cell>
          <cell r="B37" t="str">
            <v>AIP-YKP-JEL-T-0012R1</v>
          </cell>
          <cell r="C37">
            <v>43485</v>
          </cell>
          <cell r="D37" t="str">
            <v>KHF-00-104265-BA-6070-01302-0000</v>
          </cell>
          <cell r="E37" t="str">
            <v>Method Statement For Erection Non Pressure Parts</v>
          </cell>
          <cell r="F37">
            <v>2</v>
          </cell>
          <cell r="G37" t="str">
            <v>IFA</v>
          </cell>
        </row>
        <row r="38">
          <cell r="A38" t="str">
            <v>-</v>
          </cell>
          <cell r="B38" t="str">
            <v>AIP-YKP-JEL-T-0004R1</v>
          </cell>
          <cell r="C38">
            <v>43494</v>
          </cell>
          <cell r="D38" t="str">
            <v>KHF-00-104265-BA-6070-01301-0000</v>
          </cell>
          <cell r="E38" t="str">
            <v>Method Of Statement For Installation HRSG Module</v>
          </cell>
          <cell r="F38">
            <v>2</v>
          </cell>
          <cell r="G38" t="str">
            <v>rejected by AIP</v>
          </cell>
        </row>
        <row r="39">
          <cell r="A39" t="str">
            <v>KHF-00-104265-BA-6070-01301-0000-2</v>
          </cell>
          <cell r="B39" t="str">
            <v>AIP-YKP-JEL-T-0004R2</v>
          </cell>
          <cell r="C39">
            <v>43496</v>
          </cell>
          <cell r="D39" t="str">
            <v>KHF-00-104265-BA-6070-01301-0000</v>
          </cell>
          <cell r="E39" t="str">
            <v>Method Statement For Mechanical Installation of HRSG Module.</v>
          </cell>
          <cell r="F39">
            <v>2</v>
          </cell>
          <cell r="G39" t="str">
            <v>IFR</v>
          </cell>
        </row>
        <row r="40">
          <cell r="A40" t="str">
            <v>KHF-00-104265-BA-5736-01301-0000-1</v>
          </cell>
          <cell r="B40" t="str">
            <v>AIP-YKP-JEL-T-0004R2</v>
          </cell>
          <cell r="C40">
            <v>43496</v>
          </cell>
          <cell r="D40" t="str">
            <v>KHF-00-104265-BA-5736-01301-0000</v>
          </cell>
          <cell r="E40" t="str">
            <v>Lifting Plan For Mechanical Installation of HRSG Module</v>
          </cell>
          <cell r="F40">
            <v>1</v>
          </cell>
          <cell r="G40" t="str">
            <v>IFR</v>
          </cell>
        </row>
        <row r="41">
          <cell r="A41" t="str">
            <v>KHF-00-104265-QA-5733-01301-0000-1</v>
          </cell>
          <cell r="B41" t="str">
            <v>AIP-YKP-JEL-T-0016</v>
          </cell>
          <cell r="C41">
            <v>43499</v>
          </cell>
          <cell r="D41" t="str">
            <v>KHF-00-104265-QA-5733-01301-0000</v>
          </cell>
          <cell r="E41" t="str">
            <v>ITP for the Mechanical Installation of HRSG System</v>
          </cell>
          <cell r="F41">
            <v>1</v>
          </cell>
          <cell r="G41" t="str">
            <v>IFR</v>
          </cell>
        </row>
        <row r="42">
          <cell r="A42" t="str">
            <v>KHF-00-104265-QA-5733-01304-0000-2</v>
          </cell>
          <cell r="B42" t="str">
            <v>AIP-YKP-JEL-T-0016</v>
          </cell>
          <cell r="C42">
            <v>43499</v>
          </cell>
          <cell r="D42" t="str">
            <v>KHF-00-104265-QA-5733-01304-0000</v>
          </cell>
          <cell r="E42" t="str">
            <v>ITP for the Mechanical Installation of Finfan Cooler</v>
          </cell>
          <cell r="F42">
            <v>2</v>
          </cell>
          <cell r="G42" t="str">
            <v>IFR</v>
          </cell>
        </row>
        <row r="43">
          <cell r="A43" t="str">
            <v>KHF-00-104265-QA-5733-01305-0000-2</v>
          </cell>
          <cell r="B43" t="str">
            <v>AIP-YKP-JEL-T-0016</v>
          </cell>
          <cell r="C43">
            <v>43499</v>
          </cell>
          <cell r="D43" t="str">
            <v>KHF-00-104265-QA-5733-01305-0000</v>
          </cell>
          <cell r="E43" t="str">
            <v>ITP for the Mechanical Installation of Gas Turbine Exhaust Bypass System</v>
          </cell>
          <cell r="F43">
            <v>2</v>
          </cell>
          <cell r="G43" t="str">
            <v>IFR</v>
          </cell>
        </row>
        <row r="44">
          <cell r="A44" t="str">
            <v>KHF-00-104265-QA-5733-01306-0000-2</v>
          </cell>
          <cell r="B44" t="str">
            <v>AIP-YKP-JEL-T-0016</v>
          </cell>
          <cell r="C44">
            <v>43499</v>
          </cell>
          <cell r="D44" t="str">
            <v>KHF-00-104265-QA-5733-01306-0000</v>
          </cell>
          <cell r="E44" t="str">
            <v>ITP for the Mechanical Installation of HRSG Main Stack System</v>
          </cell>
          <cell r="F44">
            <v>2</v>
          </cell>
          <cell r="G44" t="str">
            <v>IFR</v>
          </cell>
        </row>
        <row r="45">
          <cell r="A45" t="str">
            <v>KHF-00-104265-QA-5733-01307-0000-2</v>
          </cell>
          <cell r="B45" t="str">
            <v>AIP-YKP-JEL-T-0016</v>
          </cell>
          <cell r="C45">
            <v>43499</v>
          </cell>
          <cell r="D45" t="str">
            <v>KHF-00-104265-QA-5733-01307-0000</v>
          </cell>
          <cell r="E45" t="str">
            <v>ITP for the Mechanical Installation of Rotary Equipment’s (Pump)</v>
          </cell>
          <cell r="F45">
            <v>2</v>
          </cell>
          <cell r="G45" t="str">
            <v>IFR</v>
          </cell>
        </row>
        <row r="46">
          <cell r="A46" t="str">
            <v>KHF-00-104265-QA-5733-01308-0000-2</v>
          </cell>
          <cell r="B46" t="str">
            <v>AIP-YKP-JEL-T-0016</v>
          </cell>
          <cell r="C46">
            <v>43499</v>
          </cell>
          <cell r="D46" t="str">
            <v>KHF-00-104265-QA-5733-01308-0000</v>
          </cell>
          <cell r="E46" t="str">
            <v>ITP for the Mechanical Installation of Static Equipment &amp; Skid Installation</v>
          </cell>
          <cell r="F46">
            <v>2</v>
          </cell>
          <cell r="G46" t="str">
            <v>IFR</v>
          </cell>
        </row>
        <row r="47">
          <cell r="A47" t="str">
            <v>KHF-00-104265-QA-5733-01309-0000-1</v>
          </cell>
          <cell r="B47" t="str">
            <v>AIP-YKP-JEL-T-0016</v>
          </cell>
          <cell r="C47">
            <v>43499</v>
          </cell>
          <cell r="D47" t="str">
            <v>KHF-00-104265-QA-5733-01309-0000</v>
          </cell>
          <cell r="E47" t="str">
            <v>ITP for the Mechanical Installation of HRSG - Boiler Pressure Parts Piping &amp; Boiler External Piping</v>
          </cell>
          <cell r="F47">
            <v>1</v>
          </cell>
          <cell r="G47" t="str">
            <v>IFR</v>
          </cell>
        </row>
        <row r="48">
          <cell r="A48" t="str">
            <v>KHF-00-104265-QA-5733-01302-0000-2</v>
          </cell>
          <cell r="B48" t="str">
            <v>AIP-YKP-JEL-T-0010R1</v>
          </cell>
          <cell r="C48">
            <v>43501</v>
          </cell>
          <cell r="D48" t="str">
            <v>KHF-00-104265-QA-5733-01302-0000</v>
          </cell>
          <cell r="E48" t="str">
            <v>ITP for the Installation of GT Package and its auxiliaries</v>
          </cell>
          <cell r="F48">
            <v>2</v>
          </cell>
          <cell r="G48" t="str">
            <v>IFA</v>
          </cell>
        </row>
        <row r="49">
          <cell r="A49" t="str">
            <v>KHF-00-104265-BA-5736-01302-0000-1</v>
          </cell>
          <cell r="B49" t="str">
            <v>AIP-YKP-JEL-T-0017</v>
          </cell>
          <cell r="C49">
            <v>43506</v>
          </cell>
          <cell r="D49" t="str">
            <v>KHF-00-104265-BA-5736-01302-0000</v>
          </cell>
          <cell r="E49" t="str">
            <v>LIFTING PLAN FOR MECHANICAL INSTALLATION OF GAS TURBINE, GENERATOR AND LOAD GEAR</v>
          </cell>
          <cell r="F49">
            <v>1</v>
          </cell>
          <cell r="G49" t="str">
            <v>IFR</v>
          </cell>
        </row>
        <row r="50">
          <cell r="A50" t="str">
            <v>KHF-00-104265-BA-6065-01301-0000-1</v>
          </cell>
          <cell r="B50" t="str">
            <v>AIP-YKP-JEL-T-0015R1</v>
          </cell>
          <cell r="C50">
            <v>43502</v>
          </cell>
          <cell r="D50" t="str">
            <v>KHF-00-104265-BA-6065-01301-0000</v>
          </cell>
          <cell r="E50" t="str">
            <v>WPS &amp; PQR - Register</v>
          </cell>
          <cell r="F50">
            <v>1</v>
          </cell>
          <cell r="G50" t="str">
            <v>IFR</v>
          </cell>
        </row>
        <row r="51">
          <cell r="A51" t="str">
            <v>KHF-00-104265-BA-6065-01310-0000-1</v>
          </cell>
          <cell r="B51" t="str">
            <v>AIP-YKP-JEL-T-0015R1</v>
          </cell>
          <cell r="C51">
            <v>43502</v>
          </cell>
          <cell r="D51" t="str">
            <v>KHF-00-104265-BA-6065-01310-0000</v>
          </cell>
          <cell r="E51" t="str">
            <v>WPS &amp; PQR - JWPS-142 &amp; JPQR-142,143 &amp; 144</v>
          </cell>
          <cell r="F51">
            <v>1</v>
          </cell>
          <cell r="G51" t="str">
            <v>IFA</v>
          </cell>
        </row>
        <row r="52">
          <cell r="A52" t="str">
            <v>KHF-00-104265-BA-5736-01303-0000-1</v>
          </cell>
          <cell r="B52" t="str">
            <v>AIP-YKP-JEL-T-0018</v>
          </cell>
          <cell r="C52">
            <v>43503</v>
          </cell>
          <cell r="D52" t="str">
            <v>KHF-00-104265-BA-5736-01303-0000</v>
          </cell>
          <cell r="E52" t="str">
            <v>Lifting Plan for Mechanical Installation of HRSG Main Stack Assembly</v>
          </cell>
          <cell r="F52">
            <v>1</v>
          </cell>
          <cell r="G52" t="str">
            <v>IFR</v>
          </cell>
        </row>
        <row r="53">
          <cell r="A53" t="str">
            <v>AIP Comments</v>
          </cell>
          <cell r="B53" t="str">
            <v>AIP-YKP-JEL-T-0015R2</v>
          </cell>
          <cell r="C53">
            <v>43510</v>
          </cell>
          <cell r="D53" t="str">
            <v>KHF-00-104265-BA-6065-01311-0000</v>
          </cell>
          <cell r="E53" t="str">
            <v>WPS AND PQR - WPS-513 &amp; PQR-513</v>
          </cell>
          <cell r="F53">
            <v>1</v>
          </cell>
          <cell r="G53" t="str">
            <v>IFR</v>
          </cell>
        </row>
        <row r="54">
          <cell r="A54" t="str">
            <v>-</v>
          </cell>
          <cell r="B54" t="str">
            <v>AIP-YKP-JEL-T-0019</v>
          </cell>
          <cell r="G54" t="str">
            <v>not recd</v>
          </cell>
        </row>
        <row r="55">
          <cell r="A55" t="str">
            <v>-</v>
          </cell>
          <cell r="B55" t="str">
            <v>AIP-YKP-JEL-T-0020</v>
          </cell>
          <cell r="G55" t="str">
            <v>not recd</v>
          </cell>
        </row>
        <row r="56">
          <cell r="A56" t="str">
            <v>AIP Comments</v>
          </cell>
          <cell r="B56" t="str">
            <v>AIP-YKP-JEL-T-0021</v>
          </cell>
          <cell r="C56">
            <v>43512</v>
          </cell>
          <cell r="D56" t="str">
            <v>KHF-00-104265-QA-5733-01310-0000</v>
          </cell>
          <cell r="E56" t="str">
            <v>ITP for Non Boiler External &amp; General Piping</v>
          </cell>
          <cell r="F56">
            <v>1</v>
          </cell>
          <cell r="G56" t="str">
            <v>IFR</v>
          </cell>
        </row>
        <row r="57">
          <cell r="A57" t="str">
            <v>KHF-00-104265-QA-5733-01310-0000-1</v>
          </cell>
          <cell r="B57" t="str">
            <v>AIP-YKP-JEL-T-0021R1</v>
          </cell>
          <cell r="C57">
            <v>43512</v>
          </cell>
          <cell r="D57" t="str">
            <v>KHF-00-104265-QA-5733-01310-0000</v>
          </cell>
          <cell r="E57" t="str">
            <v>ITP for Non Boiler External &amp; General Piping</v>
          </cell>
          <cell r="F57">
            <v>1</v>
          </cell>
          <cell r="G57" t="str">
            <v>IFR</v>
          </cell>
        </row>
        <row r="58">
          <cell r="A58" t="str">
            <v>KHF-00-104265-BA-6065-01311-0000-1</v>
          </cell>
          <cell r="B58" t="str">
            <v>AIP-YKP-JEL-T-0015R3</v>
          </cell>
          <cell r="C58">
            <v>43510</v>
          </cell>
          <cell r="D58" t="str">
            <v>KHF-00-104265-BA-6065-01311-0000</v>
          </cell>
          <cell r="E58" t="str">
            <v>WELDING PROCEDURE SPECIFICATION FOR STAINLESS STEEL WELDING WPS-513 &amp; PQR-513</v>
          </cell>
          <cell r="F58">
            <v>1</v>
          </cell>
          <cell r="G58" t="str">
            <v>IFR</v>
          </cell>
        </row>
        <row r="59">
          <cell r="A59" t="str">
            <v>KHF-00-104265-RA-6038-01301-0000-1</v>
          </cell>
          <cell r="B59" t="str">
            <v>AIP-YKP-JEL-T-0022</v>
          </cell>
          <cell r="C59">
            <v>43517</v>
          </cell>
          <cell r="D59" t="str">
            <v>KHF-00-104265-RA-6038-01301-0000</v>
          </cell>
          <cell r="E59" t="str">
            <v>RT - Radiographic Examination Procedure for Piping Work</v>
          </cell>
          <cell r="F59">
            <v>1</v>
          </cell>
          <cell r="G59" t="str">
            <v>IFR</v>
          </cell>
        </row>
        <row r="60">
          <cell r="A60" t="str">
            <v>KHF-00-104265-RA-6038-01302-0000-1</v>
          </cell>
          <cell r="B60" t="str">
            <v>AIP-YKP-JEL-T-0022</v>
          </cell>
          <cell r="C60">
            <v>43517</v>
          </cell>
          <cell r="D60" t="str">
            <v>KHF-00-104265-RA-6038-01302-0000</v>
          </cell>
          <cell r="E60" t="str">
            <v>MT-Magnetic Particle Examination Procedure for Piping Work</v>
          </cell>
          <cell r="F60">
            <v>1</v>
          </cell>
          <cell r="G60" t="str">
            <v>IFR</v>
          </cell>
        </row>
        <row r="61">
          <cell r="A61" t="str">
            <v>KHF-00-104265-RA-6038-01303-0000-1</v>
          </cell>
          <cell r="B61" t="str">
            <v>AIP-YKP-JEL-T-0022</v>
          </cell>
          <cell r="C61">
            <v>43517</v>
          </cell>
          <cell r="D61" t="str">
            <v>KHF-00-104265-RA-6038-01303-0000</v>
          </cell>
          <cell r="E61" t="str">
            <v>PT-Liquid Penetrant Examination Procedure for Piping Work</v>
          </cell>
          <cell r="F61">
            <v>1</v>
          </cell>
          <cell r="G61" t="str">
            <v>IFR</v>
          </cell>
        </row>
        <row r="62">
          <cell r="A62" t="str">
            <v>KHF-00-104265-RA-6038-01304-0000-1</v>
          </cell>
          <cell r="B62" t="str">
            <v>AIP-YKP-JEL-T-0022</v>
          </cell>
          <cell r="C62">
            <v>43517</v>
          </cell>
          <cell r="D62" t="str">
            <v>KHF-00-104265-RA-6038-01304-0000</v>
          </cell>
          <cell r="E62" t="str">
            <v>UTL-Ultrasonic Examination Procedure for Piping Work</v>
          </cell>
          <cell r="F62">
            <v>1</v>
          </cell>
          <cell r="G62" t="str">
            <v>IFR</v>
          </cell>
        </row>
        <row r="63">
          <cell r="A63" t="str">
            <v>AIP Comments</v>
          </cell>
          <cell r="B63" t="str">
            <v>AIP-YKP-JEL-T-0022</v>
          </cell>
          <cell r="C63">
            <v>43517</v>
          </cell>
          <cell r="D63" t="str">
            <v>KHF-00-104265-RA-6038-01305-0000</v>
          </cell>
          <cell r="E63" t="str">
            <v>HT-Heat Treatment Procedure (Annealing) for Piping Work</v>
          </cell>
          <cell r="F63">
            <v>1</v>
          </cell>
          <cell r="G63" t="str">
            <v>IFR</v>
          </cell>
        </row>
        <row r="64">
          <cell r="A64" t="str">
            <v>KHF-00-104265-RA-6038-01306-0000-1</v>
          </cell>
          <cell r="B64" t="str">
            <v>AIP-YKP-JEL-T-0022</v>
          </cell>
          <cell r="C64">
            <v>43517</v>
          </cell>
          <cell r="D64" t="str">
            <v>KHF-00-104265-RA-6038-01306-0000</v>
          </cell>
          <cell r="E64" t="str">
            <v>PWHT-Post Weld Heat Treatment Procedure for Piping Work</v>
          </cell>
          <cell r="F64">
            <v>1</v>
          </cell>
          <cell r="G64" t="str">
            <v>IFR</v>
          </cell>
        </row>
        <row r="65">
          <cell r="A65" t="str">
            <v>KHF-00-104265-RA-6038-01307-0000-1</v>
          </cell>
          <cell r="B65" t="str">
            <v>AIP-YKP-JEL-T-0022</v>
          </cell>
          <cell r="C65">
            <v>43517</v>
          </cell>
          <cell r="D65" t="str">
            <v>KHF-00-104265-RA-6038-01307-0000</v>
          </cell>
          <cell r="E65" t="str">
            <v>RT - Radiographic Examination Procedure for Structure Work</v>
          </cell>
          <cell r="F65">
            <v>1</v>
          </cell>
          <cell r="G65" t="str">
            <v>IFR</v>
          </cell>
        </row>
        <row r="66">
          <cell r="A66" t="str">
            <v>KHF-00-104265-RA-6038-01308-0000-1</v>
          </cell>
          <cell r="B66" t="str">
            <v>AIP-YKP-JEL-T-0022</v>
          </cell>
          <cell r="C66">
            <v>43517</v>
          </cell>
          <cell r="D66" t="str">
            <v>KHF-00-104265-RA-6038-01308-0000</v>
          </cell>
          <cell r="E66" t="str">
            <v>MT-Magnetic Particle Examination Procedure for Structure Work</v>
          </cell>
          <cell r="F66">
            <v>1</v>
          </cell>
          <cell r="G66" t="str">
            <v>IFR</v>
          </cell>
        </row>
        <row r="67">
          <cell r="A67" t="str">
            <v>KHF-00-104265-RA-6038-01309-0000-1</v>
          </cell>
          <cell r="B67" t="str">
            <v>AIP-YKP-JEL-T-0022</v>
          </cell>
          <cell r="C67">
            <v>43517</v>
          </cell>
          <cell r="D67" t="str">
            <v>KHF-00-104265-RA-6038-01309-0000</v>
          </cell>
          <cell r="E67" t="str">
            <v>PT-Liquid Penetrant Examination Procedure for Structure Work</v>
          </cell>
          <cell r="F67">
            <v>1</v>
          </cell>
          <cell r="G67" t="str">
            <v>IFR</v>
          </cell>
        </row>
        <row r="68">
          <cell r="A68" t="str">
            <v>KHF-00-104265-QA-5733-01309-0000-2</v>
          </cell>
          <cell r="B68" t="str">
            <v>AIP-YKP-JEL-T-0016R1</v>
          </cell>
          <cell r="C68">
            <v>43523</v>
          </cell>
          <cell r="D68" t="str">
            <v>KHF-00-104265-QA-5733-01309-0000</v>
          </cell>
          <cell r="E68" t="str">
            <v>ITP for the Mechanical Installation of HRSG - Boiler Pressure Parts Piping &amp; Boiler External Piping</v>
          </cell>
          <cell r="F68">
            <v>2</v>
          </cell>
          <cell r="G68" t="str">
            <v>IFA</v>
          </cell>
        </row>
        <row r="69">
          <cell r="A69" t="str">
            <v>KHF-00-104265-RA-6038-01305-0000-1</v>
          </cell>
          <cell r="B69" t="str">
            <v>AIP-YKP-JEL-T-0022R1</v>
          </cell>
          <cell r="C69">
            <v>43526</v>
          </cell>
          <cell r="D69" t="str">
            <v>KHF-00-104265-RA-6038-01305-0000</v>
          </cell>
          <cell r="E69" t="str">
            <v>Procedure for Hardness Testing</v>
          </cell>
          <cell r="F69">
            <v>1</v>
          </cell>
          <cell r="G69" t="str">
            <v>IFR</v>
          </cell>
        </row>
        <row r="70">
          <cell r="A70" t="str">
            <v>KHF-00-104265-RA-6038-01310-0000-1</v>
          </cell>
          <cell r="B70" t="str">
            <v>AIP-YKP-JEL-T-0022R1</v>
          </cell>
          <cell r="C70">
            <v>43526</v>
          </cell>
          <cell r="D70" t="str">
            <v>KHF-00-104265-RA-6038-01310-0000</v>
          </cell>
          <cell r="E70" t="str">
            <v>Pre-Heating Procedure for Piping</v>
          </cell>
          <cell r="F70">
            <v>1</v>
          </cell>
          <cell r="G70" t="str">
            <v>IFR</v>
          </cell>
        </row>
        <row r="71">
          <cell r="A71" t="str">
            <v>KHF-00-104265-QA-5733-01310-0000-2</v>
          </cell>
          <cell r="B71" t="str">
            <v>AIP-YKP-JEL-T-0021R2</v>
          </cell>
          <cell r="C71">
            <v>43526</v>
          </cell>
          <cell r="D71" t="str">
            <v>KHF-00-104265-QA-5733-01310-0000</v>
          </cell>
          <cell r="E71" t="str">
            <v>ITP for the Installation of Non Boiler External &amp; General Piping - Carbon Steel</v>
          </cell>
          <cell r="F71">
            <v>2</v>
          </cell>
          <cell r="G71" t="str">
            <v>IFA</v>
          </cell>
        </row>
        <row r="72">
          <cell r="A72" t="str">
            <v>KHF-00-104265-QA-5733-01301-0000-2</v>
          </cell>
          <cell r="B72" t="str">
            <v>AIP-YKP-JEL-T-0016R2</v>
          </cell>
          <cell r="C72">
            <v>43526</v>
          </cell>
          <cell r="D72" t="str">
            <v>KHF-00-104265-QA-5733-01301-0000</v>
          </cell>
          <cell r="E72" t="str">
            <v>ITP for the Mechanical Installation of HRSG System</v>
          </cell>
          <cell r="F72">
            <v>2</v>
          </cell>
          <cell r="G72" t="str">
            <v>IFA</v>
          </cell>
        </row>
        <row r="73">
          <cell r="A73" t="str">
            <v>AIP Comments</v>
          </cell>
          <cell r="B73" t="str">
            <v>AIP-YKP-JEL-T-0015R4</v>
          </cell>
          <cell r="C73">
            <v>43535</v>
          </cell>
          <cell r="D73" t="str">
            <v>KHF-00-104265-BA-6065-01302-0000</v>
          </cell>
          <cell r="E73" t="str">
            <v>Welding Procedure specification-Grade P11 Material - JWPS-05 &amp; P-JM-4-4-GS</v>
          </cell>
          <cell r="F73">
            <v>1</v>
          </cell>
          <cell r="G73" t="str">
            <v>IFR</v>
          </cell>
        </row>
        <row r="74">
          <cell r="A74" t="str">
            <v>KHF-00-104265-BA-6065-01306-0000-1</v>
          </cell>
          <cell r="B74" t="str">
            <v>AIP-YKP-JEL-T-0015R4</v>
          </cell>
          <cell r="C74">
            <v>43535</v>
          </cell>
          <cell r="D74" t="str">
            <v>KHF-00-104265-BA-6065-01306-0000</v>
          </cell>
          <cell r="E74" t="str">
            <v xml:space="preserve">Welding Procedure specification-Disimilar welding(P1-P4) - JWPS-23A &amp; FPQ-30 </v>
          </cell>
          <cell r="F74">
            <v>1</v>
          </cell>
          <cell r="G74" t="str">
            <v>IFR</v>
          </cell>
        </row>
        <row r="75">
          <cell r="A75" t="str">
            <v>AIP Comments</v>
          </cell>
          <cell r="B75" t="str">
            <v>AIP-YKP-JEL-T-0015R4</v>
          </cell>
          <cell r="C75">
            <v>43535</v>
          </cell>
          <cell r="D75" t="str">
            <v>KHF-00-104265-BA-6065-01307-0000</v>
          </cell>
          <cell r="E75" t="str">
            <v>Welding Procedure specification-Carbon Steel - JWPS-95 &amp; JPQR-95</v>
          </cell>
          <cell r="F75">
            <v>1</v>
          </cell>
          <cell r="G75" t="str">
            <v>IFR</v>
          </cell>
        </row>
        <row r="76">
          <cell r="A76" t="str">
            <v>AIP Comments</v>
          </cell>
          <cell r="B76" t="str">
            <v>AIP-YKP-JEL-T-0015R4</v>
          </cell>
          <cell r="C76">
            <v>43535</v>
          </cell>
          <cell r="D76" t="str">
            <v>KHF-00-104265-BA-6065-01308-0000</v>
          </cell>
          <cell r="E76" t="str">
            <v>Welding Procedure specification-Carbon Steel - JWPS-96 &amp; JPQR-96</v>
          </cell>
          <cell r="F76">
            <v>1</v>
          </cell>
          <cell r="G76" t="str">
            <v>IFR</v>
          </cell>
        </row>
        <row r="77">
          <cell r="A77" t="str">
            <v>KHF-00-104265-BA-6065-01312-0000-1</v>
          </cell>
          <cell r="B77" t="str">
            <v>AIP-YKP-JEL-T-0015R4</v>
          </cell>
          <cell r="C77">
            <v>43535</v>
          </cell>
          <cell r="D77" t="str">
            <v>KHF-00-104265-BA-6065-01312-0000</v>
          </cell>
          <cell r="E77" t="str">
            <v>HRSG WPS &amp; PQR Register</v>
          </cell>
          <cell r="F77">
            <v>1</v>
          </cell>
          <cell r="G77" t="str">
            <v>IFR</v>
          </cell>
        </row>
        <row r="78">
          <cell r="A78" t="str">
            <v>KHF-00-104265-BA-6065-01307-0000-1</v>
          </cell>
          <cell r="B78" t="str">
            <v>AIP-YKP-JEL-T-0015R5</v>
          </cell>
          <cell r="C78">
            <v>43537</v>
          </cell>
          <cell r="D78" t="str">
            <v>KHF-00-104265-BA-6065-01307-0000</v>
          </cell>
          <cell r="E78" t="str">
            <v>Welding Procedure specification-Carbon Steel - JWPS-95 &amp; JPQR-95</v>
          </cell>
          <cell r="F78">
            <v>1</v>
          </cell>
          <cell r="G78" t="str">
            <v>IFR</v>
          </cell>
        </row>
        <row r="79">
          <cell r="A79" t="str">
            <v>KHF-00-104265-BA-6065-01308-0000-1</v>
          </cell>
          <cell r="B79" t="str">
            <v>AIP-YKP-JEL-T-0015R5</v>
          </cell>
          <cell r="C79">
            <v>43537</v>
          </cell>
          <cell r="D79" t="str">
            <v>KHF-00-104265-BA-6065-01308-0000</v>
          </cell>
          <cell r="E79" t="str">
            <v>Welding Procedure specification-Carbon Steel - JWPS-96 &amp; JPQR-96</v>
          </cell>
          <cell r="F79">
            <v>1</v>
          </cell>
          <cell r="G79" t="str">
            <v>IFR</v>
          </cell>
        </row>
        <row r="80">
          <cell r="A80" t="str">
            <v>withdrawn</v>
          </cell>
          <cell r="B80" t="str">
            <v>AIP-YKP-JEL-T-0015R5</v>
          </cell>
          <cell r="C80">
            <v>43537</v>
          </cell>
          <cell r="D80" t="str">
            <v>KHF-00-104265-BA-6065-01313-0000</v>
          </cell>
          <cell r="E80" t="str">
            <v>WPS &amp; PQR Register for Non Boiler External &amp; general piping</v>
          </cell>
          <cell r="F80">
            <v>1</v>
          </cell>
          <cell r="G80" t="str">
            <v>withdrawn</v>
          </cell>
        </row>
        <row r="81">
          <cell r="A81" t="str">
            <v>KHF-00-104265-AA-6944-01301-0000-1</v>
          </cell>
          <cell r="B81" t="str">
            <v>AIP-YKP-JEL-T-0023</v>
          </cell>
          <cell r="C81">
            <v>43540</v>
          </cell>
          <cell r="D81" t="str">
            <v>KHF-00-104265-AA-6944-01301-0000</v>
          </cell>
          <cell r="E81" t="str">
            <v>Monthly Progress report No: 001 (February'2019)</v>
          </cell>
          <cell r="F81">
            <v>1</v>
          </cell>
          <cell r="G81" t="str">
            <v>IFI</v>
          </cell>
        </row>
        <row r="82">
          <cell r="A82" t="str">
            <v>KHF-00-104265-AA-6944-01321-0000-1</v>
          </cell>
          <cell r="B82" t="str">
            <v>AIP-YKP-JEL-T-0024</v>
          </cell>
          <cell r="C82">
            <v>43541</v>
          </cell>
          <cell r="D82" t="str">
            <v>KHF-00-104265-AA-6944-01321-0000</v>
          </cell>
          <cell r="E82" t="str">
            <v>Weekly Progress report No: 001 (Period: 09-Mar-19 to 15-Mar-19)</v>
          </cell>
          <cell r="F82">
            <v>1</v>
          </cell>
          <cell r="G82" t="str">
            <v>IFI</v>
          </cell>
        </row>
        <row r="83">
          <cell r="A83" t="str">
            <v>KHF-00-104265-BA-6070-01309-0000-2</v>
          </cell>
          <cell r="B83" t="str">
            <v>AIP-YKP-JEL-T-0014R2</v>
          </cell>
          <cell r="C83">
            <v>43542</v>
          </cell>
          <cell r="D83" t="str">
            <v>KHF-00-104265-BA-6070-01309-0000</v>
          </cell>
          <cell r="E83" t="str">
            <v>Method statement for erection of Gas Turbine Exhaust Bypass System</v>
          </cell>
          <cell r="F83">
            <v>2</v>
          </cell>
          <cell r="G83" t="str">
            <v>IFA</v>
          </cell>
        </row>
        <row r="84">
          <cell r="A84" t="str">
            <v>KHF-00-104265-BA-5736-01304-0000-1</v>
          </cell>
          <cell r="B84" t="str">
            <v>AIP-YKP-JEL-T-0025</v>
          </cell>
          <cell r="C84">
            <v>43542</v>
          </cell>
          <cell r="D84" t="str">
            <v>KHF-00-104265-BA-5736-01304-0000</v>
          </cell>
          <cell r="E84" t="str">
            <v xml:space="preserve">Lifting Plan for mechanical installation of Bypass stack damper </v>
          </cell>
          <cell r="F84">
            <v>1</v>
          </cell>
          <cell r="G84" t="str">
            <v>IFR</v>
          </cell>
        </row>
        <row r="85">
          <cell r="A85" t="str">
            <v>KHF-00-104265-AA-6944-01322-0000-1</v>
          </cell>
          <cell r="B85" t="str">
            <v>AIP-YKP-JEL-T-0026</v>
          </cell>
          <cell r="C85">
            <v>43548</v>
          </cell>
          <cell r="D85" t="str">
            <v>KHF-00-104265-AA-6944-01322-0000</v>
          </cell>
          <cell r="E85" t="str">
            <v>Weekly Progress report No: 002 (Period: 16-Mar-19 to 22-Mar-19)</v>
          </cell>
          <cell r="F85">
            <v>1</v>
          </cell>
          <cell r="G85" t="str">
            <v>IFI</v>
          </cell>
        </row>
        <row r="86">
          <cell r="A86" t="str">
            <v>KHF-00-104265-QA-5733-01302-0000-3</v>
          </cell>
          <cell r="B86" t="str">
            <v>AIP-YKP-JEL-T-0010R2</v>
          </cell>
          <cell r="C86">
            <v>43551</v>
          </cell>
          <cell r="D86" t="str">
            <v>KHF-00-104265-QA-5733-01302-0000</v>
          </cell>
          <cell r="E86" t="str">
            <v>ITP for the Installation of GT Package and its auxiliaries (Mechanical Works)</v>
          </cell>
          <cell r="F86">
            <v>3</v>
          </cell>
          <cell r="G86" t="str">
            <v>IFA</v>
          </cell>
        </row>
        <row r="87">
          <cell r="A87" t="str">
            <v>KHF-00-104265-QA-5733-01310-0000-3</v>
          </cell>
          <cell r="B87" t="str">
            <v>AIP-YKP-JEL-T-0021R3</v>
          </cell>
          <cell r="C87">
            <v>43551</v>
          </cell>
          <cell r="D87" t="str">
            <v>KHF-00-104265-QA-5733-01310-0000</v>
          </cell>
          <cell r="E87" t="str">
            <v>ITP for the Installation of Non Boiler External &amp; General Piping - Carbon Steel</v>
          </cell>
          <cell r="F87">
            <v>3</v>
          </cell>
          <cell r="G87" t="str">
            <v>IFA</v>
          </cell>
        </row>
        <row r="88">
          <cell r="A88" t="str">
            <v>rejected by AIP</v>
          </cell>
          <cell r="B88" t="str">
            <v>AIP-YKP-JEL-T-0027</v>
          </cell>
          <cell r="C88">
            <v>43551</v>
          </cell>
          <cell r="D88" t="str">
            <v>KHF-00-104265-BA-5736-01305-0000</v>
          </cell>
          <cell r="E88" t="str">
            <v>Lifting plan for mechanical installation of HRSG, GTEBS &amp; GTG equipments below 25 Ton weight</v>
          </cell>
          <cell r="F88">
            <v>1</v>
          </cell>
          <cell r="G88" t="str">
            <v>IFR</v>
          </cell>
        </row>
        <row r="89">
          <cell r="A89" t="str">
            <v>rejected by AIP</v>
          </cell>
          <cell r="B89" t="str">
            <v>AIP-YKP-JEL-T-0028</v>
          </cell>
          <cell r="C89">
            <v>43552</v>
          </cell>
          <cell r="D89" t="str">
            <v>KHF-00-104265-BA-6070-01306-0000</v>
          </cell>
          <cell r="E89" t="str">
            <v>Method Statement for Radiographic Examination</v>
          </cell>
          <cell r="F89">
            <v>1</v>
          </cell>
          <cell r="G89" t="str">
            <v>IFR</v>
          </cell>
        </row>
        <row r="90">
          <cell r="A90" t="str">
            <v>KHF-00-104265-QA-6050-01301-0000-1</v>
          </cell>
          <cell r="B90" t="str">
            <v>AIP-YKP-JEL-T-0029</v>
          </cell>
          <cell r="C90">
            <v>43552</v>
          </cell>
          <cell r="D90" t="str">
            <v>KHF-00-104265-QA-6050-01301-0000</v>
          </cell>
          <cell r="E90" t="str">
            <v>Welding consumable control procedure</v>
          </cell>
          <cell r="F90">
            <v>1</v>
          </cell>
          <cell r="G90" t="str">
            <v>IFR</v>
          </cell>
        </row>
        <row r="91">
          <cell r="A91" t="str">
            <v>KHF-00-104265-BA-6065-01311-0000-2</v>
          </cell>
          <cell r="B91" t="str">
            <v>AIP-YKP-JEL-T-0015R6</v>
          </cell>
          <cell r="C91">
            <v>43554</v>
          </cell>
          <cell r="D91" t="str">
            <v>KHF-00-104265-BA-6065-01311-0000</v>
          </cell>
          <cell r="E91" t="str">
            <v>Welding procedure specification for stainless steel welding WPS-513 &amp; PQR-513</v>
          </cell>
          <cell r="F91">
            <v>2</v>
          </cell>
          <cell r="G91" t="str">
            <v>IFA</v>
          </cell>
        </row>
        <row r="92">
          <cell r="A92" t="str">
            <v>KHF-00-104265-BA-6065-01313-0000-1</v>
          </cell>
          <cell r="B92" t="str">
            <v>AIP-YKP-JEL-T-0015R6</v>
          </cell>
          <cell r="C92">
            <v>43554</v>
          </cell>
          <cell r="D92" t="str">
            <v>KHF-00-104265-BA-6065-01313-0000</v>
          </cell>
          <cell r="E92" t="str">
            <v>WPS &amp; PQR Register for Non Boiler External &amp; general piping</v>
          </cell>
          <cell r="F92">
            <v>1</v>
          </cell>
          <cell r="G92" t="str">
            <v>IFR</v>
          </cell>
        </row>
        <row r="93">
          <cell r="A93" t="str">
            <v>KHF-00-104265-AA-6944-01323-0000-1</v>
          </cell>
          <cell r="B93" t="str">
            <v>AIP-YKP-JEL-T-0030</v>
          </cell>
          <cell r="C93">
            <v>43555</v>
          </cell>
          <cell r="D93" t="str">
            <v>KHF-00-104265-AA-6944-01323-0000</v>
          </cell>
          <cell r="E93" t="str">
            <v>Weekly Progress report No: 003 (Period: 23-Mar-19 to 29-Mar-19)</v>
          </cell>
          <cell r="F93">
            <v>1</v>
          </cell>
          <cell r="G93" t="str">
            <v>IFI</v>
          </cell>
        </row>
        <row r="94">
          <cell r="A94" t="str">
            <v>KHF-00-104265-HX-6180-01301-0000-1</v>
          </cell>
          <cell r="B94" t="str">
            <v>AIP-YKP-JEL-T-0028R1</v>
          </cell>
          <cell r="C94">
            <v>43555</v>
          </cell>
          <cell r="D94" t="str">
            <v>KHF-00-104265-HX-6180-01301-0000</v>
          </cell>
          <cell r="E94" t="str">
            <v>Method Statement for Radiation safety procedure</v>
          </cell>
          <cell r="F94">
            <v>1</v>
          </cell>
          <cell r="G94" t="str">
            <v>IFR</v>
          </cell>
        </row>
        <row r="95">
          <cell r="A95" t="str">
            <v>KHF-00-104265-RA-6038-01311-0000-1</v>
          </cell>
          <cell r="B95" t="str">
            <v>AIP-YKP-JEL-T-0022R2</v>
          </cell>
          <cell r="C95">
            <v>43555</v>
          </cell>
          <cell r="D95" t="str">
            <v>KHF-00-104265-RA-6038-01311-0000</v>
          </cell>
          <cell r="E95" t="str">
            <v>Waste management procedure by HITECH</v>
          </cell>
          <cell r="F95">
            <v>1</v>
          </cell>
          <cell r="G95" t="str">
            <v>IFR</v>
          </cell>
        </row>
        <row r="96">
          <cell r="A96" t="str">
            <v>KHF-00-104265-BA-5736-01306-0000-1</v>
          </cell>
          <cell r="B96" t="str">
            <v>AIP-YKP-JEL-T-0031</v>
          </cell>
          <cell r="C96">
            <v>43556</v>
          </cell>
          <cell r="D96" t="str">
            <v>KHF-00-104265-BA-5736-01306-0000</v>
          </cell>
          <cell r="E96" t="str">
            <v>Lifting plan for mechanical installation of GTEBS lower and upper sections</v>
          </cell>
          <cell r="F96">
            <v>1</v>
          </cell>
          <cell r="G96" t="str">
            <v>IFR</v>
          </cell>
        </row>
        <row r="97">
          <cell r="A97" t="str">
            <v>rejected by AIP</v>
          </cell>
          <cell r="B97" t="str">
            <v>AIP-YKP-JEL-T-0027R1</v>
          </cell>
          <cell r="C97">
            <v>43556</v>
          </cell>
          <cell r="D97" t="str">
            <v>KHF-00-104265-BA-5736-01305-0000</v>
          </cell>
          <cell r="E97" t="str">
            <v xml:space="preserve">Lifting plan for mechanical installation of HRSG, GTEBS &amp; GTG equipment’s below 20 Ton weight </v>
          </cell>
          <cell r="F97">
            <v>1</v>
          </cell>
          <cell r="G97" t="str">
            <v>IFA</v>
          </cell>
        </row>
        <row r="98">
          <cell r="A98" t="str">
            <v>KHF-00-104265-BA-5736-01305-0000-1</v>
          </cell>
          <cell r="B98" t="str">
            <v>AIP-YKP-JEL-T-0027R2</v>
          </cell>
          <cell r="C98">
            <v>43557</v>
          </cell>
          <cell r="D98" t="str">
            <v>KHF-00-104265-BA-5736-01305-0000</v>
          </cell>
          <cell r="E98" t="str">
            <v>Lifting plan for mechanical installation of HRSG, GTEBS &amp; GTG equipment’s below 20 Ton weight</v>
          </cell>
          <cell r="F98">
            <v>1</v>
          </cell>
          <cell r="G98" t="str">
            <v>IFA</v>
          </cell>
        </row>
        <row r="99">
          <cell r="A99" t="str">
            <v>rejected by AIP</v>
          </cell>
          <cell r="B99" t="str">
            <v>AIP-YKP-JEL-T-0012R2</v>
          </cell>
          <cell r="C99">
            <v>43557</v>
          </cell>
          <cell r="D99" t="str">
            <v>KHF-00-104265-BA-6070-01310-0000</v>
          </cell>
          <cell r="E99" t="str">
            <v>Method statement for erection of Gas turbine, Generator, load gear &amp; its auxiliaries.</v>
          </cell>
          <cell r="F99">
            <v>2</v>
          </cell>
          <cell r="G99" t="str">
            <v>IFA</v>
          </cell>
        </row>
        <row r="100">
          <cell r="A100" t="str">
            <v>KHF-00-104265-AA-6944-01302-0000-1</v>
          </cell>
          <cell r="B100" t="str">
            <v>AIP-YKP-JEL-T-0032</v>
          </cell>
          <cell r="C100">
            <v>43557</v>
          </cell>
          <cell r="D100" t="str">
            <v>KHF-00-104265-AA-6944-01302-0000</v>
          </cell>
          <cell r="E100" t="str">
            <v>Monthly Progress report No: 002 (Period : 23-Feb-2019 to 22-Mar-2019)</v>
          </cell>
          <cell r="F100">
            <v>1</v>
          </cell>
          <cell r="G100" t="str">
            <v>IFI</v>
          </cell>
        </row>
        <row r="101">
          <cell r="A101" t="str">
            <v>INVOICE NO: 1819039--</v>
          </cell>
          <cell r="B101" t="str">
            <v>AIP-YKP-JEL-T-0033</v>
          </cell>
          <cell r="C101">
            <v>43563</v>
          </cell>
          <cell r="D101" t="str">
            <v>INVOICE NO: 1819039</v>
          </cell>
          <cell r="E101" t="str">
            <v>Towards progress claim for the period from 26th Jan 2019 to 25th Mar 2019 as per the Order no.40-2018-12-0176 dated 20-December-2018</v>
          </cell>
          <cell r="F101" t="str">
            <v>-</v>
          </cell>
          <cell r="G101" t="str">
            <v>-</v>
          </cell>
        </row>
        <row r="102">
          <cell r="A102" t="str">
            <v>KHF-00-104265-AA-6944-01324-0000-1</v>
          </cell>
          <cell r="B102" t="str">
            <v>AIP-YKP-JEL-T-0034</v>
          </cell>
          <cell r="C102">
            <v>43562</v>
          </cell>
          <cell r="D102" t="str">
            <v>KHF-00-104265-AA-6944-01324-0000</v>
          </cell>
          <cell r="E102" t="str">
            <v>Weekly Progress report No: 004 (Period: 30-Mar-19 to 05-Apr-19)</v>
          </cell>
          <cell r="F102">
            <v>1</v>
          </cell>
          <cell r="G102" t="str">
            <v>IFI</v>
          </cell>
        </row>
        <row r="103">
          <cell r="A103" t="str">
            <v>KHF-00-104265-BA-6070-01310-0000-2</v>
          </cell>
          <cell r="B103" t="str">
            <v>AIP-YKP-JEL-T-0012R2</v>
          </cell>
          <cell r="C103">
            <v>43566</v>
          </cell>
          <cell r="D103" t="str">
            <v>KHF-00-104265-BA-6070-01310-0000</v>
          </cell>
          <cell r="E103" t="str">
            <v>Method Statement for Mechanical Installation of Gas Turbine, Generator, Load Gear and its auxiliaries</v>
          </cell>
          <cell r="F103">
            <v>2</v>
          </cell>
          <cell r="G103" t="str">
            <v>IFA</v>
          </cell>
        </row>
        <row r="104">
          <cell r="A104" t="str">
            <v>KHF-00-104265-RA-6038-01305-0000-2</v>
          </cell>
          <cell r="B104" t="str">
            <v>AIP-YKP-JEL-T-0022R3</v>
          </cell>
          <cell r="C104">
            <v>43566</v>
          </cell>
          <cell r="D104" t="str">
            <v>KHF-00-104265-RA-6038-01305-0000</v>
          </cell>
          <cell r="E104" t="str">
            <v>Procedure for Hardness Testing</v>
          </cell>
          <cell r="F104">
            <v>2</v>
          </cell>
          <cell r="G104" t="str">
            <v>IFA</v>
          </cell>
        </row>
        <row r="105">
          <cell r="A105" t="str">
            <v>KHF-00-104265-RA-6038-01310-0000-2</v>
          </cell>
          <cell r="B105" t="str">
            <v>AIP-YKP-JEL-T-0022R3</v>
          </cell>
          <cell r="C105">
            <v>43566</v>
          </cell>
          <cell r="D105" t="str">
            <v>KHF-00-104265-RA-6038-01310-0000</v>
          </cell>
          <cell r="E105" t="str">
            <v>Pre-Heating Procedure for Piping</v>
          </cell>
          <cell r="F105">
            <v>2</v>
          </cell>
          <cell r="G105" t="str">
            <v>IFA</v>
          </cell>
        </row>
        <row r="106">
          <cell r="A106" t="str">
            <v>KHF-00-104265-AA-6944-01325-0000-1</v>
          </cell>
          <cell r="B106" t="str">
            <v>AIP-YKP-JEL-T-0035</v>
          </cell>
          <cell r="C106">
            <v>43569</v>
          </cell>
          <cell r="D106" t="str">
            <v>KHF-00-104265-AA-6944-01325-0000</v>
          </cell>
          <cell r="E106" t="str">
            <v>Weekly Progress report No: 005 (Period: 06-Apr-19 to 12-Apr-19)</v>
          </cell>
          <cell r="F106">
            <v>1</v>
          </cell>
          <cell r="G106" t="str">
            <v>IFI</v>
          </cell>
        </row>
        <row r="107">
          <cell r="A107" t="str">
            <v>KHF-00-104265-QA-5733-01311-0000-1</v>
          </cell>
          <cell r="B107" t="str">
            <v>AIP-YKP-JEL-T-0036</v>
          </cell>
          <cell r="C107">
            <v>43571</v>
          </cell>
          <cell r="D107" t="str">
            <v>KHF-00-104265-QA-5733-01311-0000</v>
          </cell>
          <cell r="E107" t="str">
            <v>ITP for the Installation of Non Boiler External &amp; General Piping - Stainless Steel</v>
          </cell>
          <cell r="F107">
            <v>1</v>
          </cell>
          <cell r="G107" t="str">
            <v>IFR</v>
          </cell>
        </row>
        <row r="108">
          <cell r="A108" t="str">
            <v>KHF-00-104265-AA-3341-01301-0000-1</v>
          </cell>
          <cell r="B108" t="str">
            <v>AIP-YKP-JEL-T-0037</v>
          </cell>
          <cell r="C108">
            <v>43573</v>
          </cell>
          <cell r="D108" t="str">
            <v>KHF-00-104265-AA-3341-01301-0000</v>
          </cell>
          <cell r="E108" t="str">
            <v>CV OF MR. KESAVAN - HSE SUPERVISOR</v>
          </cell>
          <cell r="F108">
            <v>1</v>
          </cell>
          <cell r="G108" t="str">
            <v>IFA</v>
          </cell>
        </row>
        <row r="109">
          <cell r="A109" t="str">
            <v>KHF-00-104265-AA-6944-01326-0000-1</v>
          </cell>
          <cell r="B109" t="str">
            <v>AIP-YKP-JEL-T-0038</v>
          </cell>
          <cell r="C109">
            <v>43576</v>
          </cell>
          <cell r="D109" t="str">
            <v>KHF-00-104265-AA-6944-01326-0000</v>
          </cell>
          <cell r="E109" t="str">
            <v>Weekly Progress report No: 006 (Period: 13-Apr-19 to 19-Apr-19)</v>
          </cell>
          <cell r="F109">
            <v>1</v>
          </cell>
          <cell r="G109" t="str">
            <v>IFI</v>
          </cell>
        </row>
        <row r="110">
          <cell r="A110" t="str">
            <v>rejected by AIP</v>
          </cell>
          <cell r="B110" t="str">
            <v>AIP-YKP-JEL-T-0039</v>
          </cell>
          <cell r="C110">
            <v>43577</v>
          </cell>
          <cell r="D110" t="str">
            <v>KHF-00-104265-BA-6070-01305-0000</v>
          </cell>
          <cell r="E110" t="str">
            <v>Method Statement for HRSG Hydrostatic Pressure Test</v>
          </cell>
          <cell r="F110">
            <v>1</v>
          </cell>
          <cell r="G110" t="str">
            <v>IFA</v>
          </cell>
        </row>
        <row r="111">
          <cell r="A111" t="str">
            <v>KHF-00-104265-AA-3341-01302-0000-1</v>
          </cell>
          <cell r="B111" t="str">
            <v>AIP-YKP-JEL-T-0040</v>
          </cell>
          <cell r="C111">
            <v>43580</v>
          </cell>
          <cell r="D111" t="str">
            <v>KHF-00-104265-AA-3341-01302-0000</v>
          </cell>
          <cell r="E111" t="str">
            <v>CV of Mr. Ananta Kumar - HSE Advisor</v>
          </cell>
          <cell r="F111">
            <v>1</v>
          </cell>
          <cell r="G111" t="str">
            <v>IFA</v>
          </cell>
        </row>
        <row r="112">
          <cell r="A112" t="str">
            <v>KHF-00-104265-BA-5736-01307-0000-1</v>
          </cell>
          <cell r="B112" t="str">
            <v>AIP-YKP-JEL-T-0041</v>
          </cell>
          <cell r="C112">
            <v>43581</v>
          </cell>
          <cell r="D112" t="str">
            <v>KHF-00-104265-BA-5736-01307-0000</v>
          </cell>
          <cell r="E112" t="str">
            <v>Lifting plan for mechanical installation of Co2 equipment</v>
          </cell>
          <cell r="F112">
            <v>1</v>
          </cell>
          <cell r="G112" t="str">
            <v>IFA</v>
          </cell>
        </row>
        <row r="113">
          <cell r="A113" t="str">
            <v>KHF-00-104265-BA-5736-01308-0000-1</v>
          </cell>
          <cell r="B113" t="str">
            <v>AIP-YKP-JEL-T-0042</v>
          </cell>
          <cell r="C113">
            <v>43581</v>
          </cell>
          <cell r="D113" t="str">
            <v>KHF-00-104265-BA-5736-01308-0000</v>
          </cell>
          <cell r="E113" t="str">
            <v>Lifting plan for mechanical installation of FFC bundle and Pump skid</v>
          </cell>
          <cell r="F113">
            <v>1</v>
          </cell>
          <cell r="G113" t="str">
            <v>IFA</v>
          </cell>
        </row>
        <row r="114">
          <cell r="A114" t="str">
            <v>KHF-00-104265-QA-6050-01301-0000-2</v>
          </cell>
          <cell r="B114" t="str">
            <v>AIP-YKP-JEL-T-0029R1</v>
          </cell>
          <cell r="C114">
            <v>43583</v>
          </cell>
          <cell r="D114" t="str">
            <v>KHF-00-104265-QA-6050-01301-0000</v>
          </cell>
          <cell r="E114" t="str">
            <v>Welding consumable control procedure</v>
          </cell>
          <cell r="F114">
            <v>2</v>
          </cell>
          <cell r="G114" t="str">
            <v>IFA</v>
          </cell>
        </row>
        <row r="115">
          <cell r="A115" t="str">
            <v>KHF-00-104265-BA-6065-01311-0000-3</v>
          </cell>
          <cell r="B115" t="str">
            <v>AIP-YKP-JEL -T-0015R7</v>
          </cell>
          <cell r="C115">
            <v>43583</v>
          </cell>
          <cell r="D115" t="str">
            <v>KHF-00-104265-BA-6065-01311-0000</v>
          </cell>
          <cell r="E115" t="str">
            <v>Welding procedure specification for stainless steel welding WPS-513 &amp; PQR-513</v>
          </cell>
          <cell r="F115">
            <v>3</v>
          </cell>
          <cell r="G115" t="str">
            <v>IFA</v>
          </cell>
        </row>
        <row r="116">
          <cell r="A116" t="str">
            <v>KHF-00-104265-BA-6065-01313-0000-3</v>
          </cell>
          <cell r="B116" t="str">
            <v>AIP-YKP-JEL -T-0015R7</v>
          </cell>
          <cell r="C116">
            <v>43583</v>
          </cell>
          <cell r="D116" t="str">
            <v>KHF-00-104265-BA-6065-01313-0000</v>
          </cell>
          <cell r="E116" t="str">
            <v>WPS &amp; PQR Register for Non Boiler External &amp; general piping</v>
          </cell>
          <cell r="F116">
            <v>3</v>
          </cell>
          <cell r="G116" t="str">
            <v>IFA</v>
          </cell>
        </row>
        <row r="117">
          <cell r="A117" t="str">
            <v>KHF-00-104265-BA-6065-01314-0000-1</v>
          </cell>
          <cell r="B117" t="str">
            <v>AIP-YKP-JEL -T-0015R7</v>
          </cell>
          <cell r="C117">
            <v>43583</v>
          </cell>
          <cell r="D117" t="str">
            <v>KHF-00-104265-BA-6065-01314-0000</v>
          </cell>
          <cell r="E117" t="str">
            <v>WPS - Pipe support welding JWPS - 544 &amp; JPQR-544</v>
          </cell>
          <cell r="F117">
            <v>1</v>
          </cell>
          <cell r="G117" t="str">
            <v>IFA</v>
          </cell>
        </row>
        <row r="118">
          <cell r="A118" t="str">
            <v>KHF-00-104265-BA-6065-01315-0000-1</v>
          </cell>
          <cell r="B118" t="str">
            <v>AIP-YKP-JEL -T-0015R7</v>
          </cell>
          <cell r="C118">
            <v>43583</v>
          </cell>
          <cell r="D118" t="str">
            <v>KHF-00-104265-BA-6065-01315-0000</v>
          </cell>
          <cell r="E118" t="str">
            <v>WPS - Dissimilar (P4-P8) support welding JWPS-141 &amp; JPQR-141</v>
          </cell>
          <cell r="F118">
            <v>1</v>
          </cell>
          <cell r="G118" t="str">
            <v>IFA</v>
          </cell>
        </row>
        <row r="119">
          <cell r="A119" t="str">
            <v>KHF-00-104265-AA-6944-01327-0000-1</v>
          </cell>
          <cell r="B119" t="str">
            <v>AIP-YKP-JEL -T-0043</v>
          </cell>
          <cell r="C119">
            <v>43583</v>
          </cell>
          <cell r="D119" t="str">
            <v>KHF-00-104265-AA-6944-01327-0000</v>
          </cell>
          <cell r="E119" t="str">
            <v>Weekly Progress report No: 007 (Period: 20-Apr-19 to 26-Apr-19)</v>
          </cell>
          <cell r="F119">
            <v>1</v>
          </cell>
          <cell r="G119" t="str">
            <v>IFI</v>
          </cell>
        </row>
        <row r="120">
          <cell r="A120" t="str">
            <v>KHF-00-104265-QA-6050-01302-0000-1</v>
          </cell>
          <cell r="B120" t="str">
            <v>AIP-YKP-JEL -T-0044</v>
          </cell>
          <cell r="C120">
            <v>43585</v>
          </cell>
          <cell r="D120" t="str">
            <v>KHF-00-104265-QA-6050-01302-0000</v>
          </cell>
          <cell r="E120" t="str">
            <v>Weld repair procedure</v>
          </cell>
          <cell r="F120">
            <v>1</v>
          </cell>
          <cell r="G120" t="str">
            <v>IFR</v>
          </cell>
        </row>
        <row r="121">
          <cell r="A121" t="str">
            <v>KHF-00-104265-AA-6944-01303-0000-1</v>
          </cell>
          <cell r="B121" t="str">
            <v>AIP-YKP-JEL -T-0045</v>
          </cell>
          <cell r="C121">
            <v>43585</v>
          </cell>
          <cell r="D121" t="str">
            <v>KHF-00-104265-AA-6944-01303-0000</v>
          </cell>
          <cell r="E121" t="str">
            <v xml:space="preserve">Monthly progress report no : 003 (Period-23-Mar-19 to 19-Apr-19) </v>
          </cell>
          <cell r="F121">
            <v>1</v>
          </cell>
          <cell r="G121" t="str">
            <v>IFI</v>
          </cell>
        </row>
        <row r="122">
          <cell r="A122" t="str">
            <v>KHF-00-104265-BA-6065-01307-0000-2</v>
          </cell>
          <cell r="B122" t="str">
            <v>AIP-YKP-JEL -T-0015R8</v>
          </cell>
          <cell r="C122">
            <v>43585</v>
          </cell>
          <cell r="D122" t="str">
            <v>KHF-00-104265-BA-6065-01307-0000</v>
          </cell>
          <cell r="E122" t="str">
            <v>Welding Procedure specification-Carbon Steel - JWPS-95 &amp; JPQR-95</v>
          </cell>
          <cell r="F122">
            <v>2</v>
          </cell>
          <cell r="G122" t="str">
            <v>IFR</v>
          </cell>
        </row>
        <row r="123">
          <cell r="A123" t="str">
            <v>KHF-00-104265-BA-6065-01308-0000-2</v>
          </cell>
          <cell r="B123" t="str">
            <v>AIP-YKP-JEL -T-0015R8</v>
          </cell>
          <cell r="C123">
            <v>43585</v>
          </cell>
          <cell r="D123" t="str">
            <v>KHF-00-104265-BA-6065-01308-0000</v>
          </cell>
          <cell r="E123" t="str">
            <v>Welding Procedure specification-Carbon Steel - JWPS-96 &amp; JPQR-96</v>
          </cell>
          <cell r="F123">
            <v>2</v>
          </cell>
          <cell r="G123" t="str">
            <v>IFR</v>
          </cell>
        </row>
        <row r="124">
          <cell r="A124" t="str">
            <v>KHF-00-104265-BA-6065-01316-0000-1</v>
          </cell>
          <cell r="B124" t="str">
            <v>AIP-YKP-JEL -T-0015R8</v>
          </cell>
          <cell r="C124">
            <v>43585</v>
          </cell>
          <cell r="D124" t="str">
            <v>KHF-00-104265-BA-6065-01316-0000</v>
          </cell>
          <cell r="E124" t="str">
            <v>Welding Procedure specification-Structural Welding - JWPS-410S &amp; JEL-PQR-SBRP1-SS409-01</v>
          </cell>
          <cell r="F124">
            <v>1</v>
          </cell>
          <cell r="G124" t="str">
            <v>IFR</v>
          </cell>
        </row>
        <row r="125">
          <cell r="A125" t="str">
            <v>KHF-00-104265-AA-6944-01328-0000-1</v>
          </cell>
          <cell r="B125" t="str">
            <v>AIP-YKP-JEL -T-0046</v>
          </cell>
          <cell r="C125">
            <v>43590</v>
          </cell>
          <cell r="D125" t="str">
            <v>KHF-00-104265-AA-6944-01328-0000</v>
          </cell>
          <cell r="E125" t="str">
            <v>Weekly Progress report No: 008 (Period: 27-Apr-19 to 03-May-19)</v>
          </cell>
          <cell r="F125">
            <v>1</v>
          </cell>
          <cell r="G125" t="str">
            <v>IFI</v>
          </cell>
        </row>
        <row r="126">
          <cell r="A126" t="str">
            <v>KHF-00-104265-RA-6038-01312-0000-1</v>
          </cell>
          <cell r="B126" t="str">
            <v>AIP-YKP-JEL -T-0022R4</v>
          </cell>
          <cell r="C126">
            <v>43593</v>
          </cell>
          <cell r="D126" t="str">
            <v>KHF-00-104265-RA-6038-01312-0000</v>
          </cell>
          <cell r="E126" t="str">
            <v>Visual Testing Procedure</v>
          </cell>
          <cell r="F126">
            <v>1</v>
          </cell>
          <cell r="G126" t="str">
            <v>IFR</v>
          </cell>
        </row>
        <row r="127">
          <cell r="A127" t="str">
            <v>KHF-00-104265-RA-6038-01313-0000-1</v>
          </cell>
          <cell r="B127" t="str">
            <v>AIP-YKP-JEL -T-0022R5</v>
          </cell>
          <cell r="C127">
            <v>43593</v>
          </cell>
          <cell r="D127" t="str">
            <v>KHF-00-104265-RA-6038-01313-0000</v>
          </cell>
          <cell r="E127" t="str">
            <v>Positive Material Identification Procedure</v>
          </cell>
          <cell r="F127">
            <v>1</v>
          </cell>
          <cell r="G127" t="str">
            <v>IFR</v>
          </cell>
        </row>
        <row r="128">
          <cell r="A128" t="str">
            <v>KHF-00-104265-RA-6038-01314-0000-1</v>
          </cell>
          <cell r="B128" t="str">
            <v>AIP-YKP-JEL -T-0022R5</v>
          </cell>
          <cell r="C128">
            <v>43593</v>
          </cell>
          <cell r="D128" t="str">
            <v>KHF-00-104265-RA-6038-01314-0000</v>
          </cell>
          <cell r="E128" t="str">
            <v>Ferrite Testing Procedure</v>
          </cell>
          <cell r="F128">
            <v>1</v>
          </cell>
          <cell r="G128" t="str">
            <v>IFR</v>
          </cell>
        </row>
        <row r="129">
          <cell r="A129" t="str">
            <v>KHF-00-104265-AA-6944-01329-0000-1</v>
          </cell>
          <cell r="B129" t="str">
            <v>AIP-YKP-JEL -T-0047</v>
          </cell>
          <cell r="C129">
            <v>43597</v>
          </cell>
          <cell r="D129" t="str">
            <v>KHF-00-104265-AA-6944-01329-0000</v>
          </cell>
          <cell r="E129" t="str">
            <v>Weekly Progress report No: 009 (Period: 04-May-19 to 10-May-19)</v>
          </cell>
          <cell r="F129">
            <v>1</v>
          </cell>
          <cell r="G129" t="str">
            <v>IFI</v>
          </cell>
        </row>
        <row r="130">
          <cell r="A130" t="str">
            <v>KHF-00-104265-BA-6065-01302-0000-1</v>
          </cell>
          <cell r="B130" t="str">
            <v>AIP-YKP-JEL -T-0015R9</v>
          </cell>
          <cell r="C130">
            <v>43599</v>
          </cell>
          <cell r="D130" t="str">
            <v>KHF-00-104265-BA-6065-01302-0000</v>
          </cell>
          <cell r="E130" t="str">
            <v>Welding Procedure specification- JWPS-543 &amp; JPQR-543 - Grade P11</v>
          </cell>
          <cell r="F130">
            <v>1</v>
          </cell>
          <cell r="G130" t="str">
            <v>IFR</v>
          </cell>
        </row>
        <row r="131">
          <cell r="A131" t="str">
            <v>KHF-00-104265-BA-6065-01304-0000-1</v>
          </cell>
          <cell r="B131" t="str">
            <v>AIP-YKP-JEL -T-0015R9</v>
          </cell>
          <cell r="C131">
            <v>43599</v>
          </cell>
          <cell r="D131" t="str">
            <v>KHF-00-104265-BA-6065-01304-0000</v>
          </cell>
          <cell r="E131" t="str">
            <v>Welding Procedure specification-JWPS-06 &amp; JPQR-06 - P1-P4 Dissimilar welding</v>
          </cell>
          <cell r="F131">
            <v>1</v>
          </cell>
          <cell r="G131" t="str">
            <v>IFR</v>
          </cell>
        </row>
        <row r="132">
          <cell r="A132" t="str">
            <v>KHF-00-104265-BA-6065-01317-0000-1</v>
          </cell>
          <cell r="B132" t="str">
            <v>AIP-YKP-JEL -T-0015R9</v>
          </cell>
          <cell r="C132">
            <v>43599</v>
          </cell>
          <cell r="D132" t="str">
            <v>KHF-00-104265-BA-6065-01317-0000</v>
          </cell>
          <cell r="E132" t="str">
            <v>WPS &amp; PQR register - Boiler and Boiler external piping</v>
          </cell>
          <cell r="F132">
            <v>1</v>
          </cell>
          <cell r="G132" t="str">
            <v>IFR</v>
          </cell>
        </row>
        <row r="133">
          <cell r="A133" t="str">
            <v>KHF-00-104265-BA-6065-01318-0000-1</v>
          </cell>
          <cell r="B133" t="str">
            <v>AIP-YKP-JEL -T-0015R10</v>
          </cell>
          <cell r="C133">
            <v>43603</v>
          </cell>
          <cell r="D133" t="str">
            <v>KHF-00-104265-BA-6065-01318-0000</v>
          </cell>
          <cell r="E133" t="str">
            <v>Welding Procedure specification-Pipe Support Welding(SMAW)- JWPS-544A &amp; JPQR-544</v>
          </cell>
          <cell r="F133">
            <v>1</v>
          </cell>
          <cell r="G133" t="str">
            <v>IFR</v>
          </cell>
        </row>
        <row r="134">
          <cell r="A134" t="str">
            <v>KHF-00-104265-AA-6944-01330-0000-1</v>
          </cell>
          <cell r="B134" t="str">
            <v>AIP-YKP-JEL -T-0049</v>
          </cell>
          <cell r="C134">
            <v>43604</v>
          </cell>
          <cell r="D134" t="str">
            <v>KHF-00-104265-AA-6944-01330-0000</v>
          </cell>
          <cell r="E134" t="str">
            <v>Weekly Progress report No: 010 (Period: 11-May-19 to 17-May-19)</v>
          </cell>
          <cell r="F134">
            <v>1</v>
          </cell>
          <cell r="G134" t="str">
            <v>IFI</v>
          </cell>
        </row>
        <row r="135">
          <cell r="A135" t="str">
            <v>KHF-00-104265-AA-6944-01331-0000-1</v>
          </cell>
          <cell r="B135" t="str">
            <v>AIP-YKP-JEL -T-0050</v>
          </cell>
          <cell r="C135">
            <v>43611</v>
          </cell>
          <cell r="D135" t="str">
            <v>KHF-00-104265-AA-6944-01331-0000</v>
          </cell>
          <cell r="E135" t="str">
            <v>Weekly Progress report No: 011 (Period: 18-May-19 to 24-May-19)</v>
          </cell>
          <cell r="F135">
            <v>1</v>
          </cell>
          <cell r="G135" t="str">
            <v>IFI</v>
          </cell>
        </row>
        <row r="136">
          <cell r="A136" t="str">
            <v>KHF-00-104265-QA-6050-01302-0000-2</v>
          </cell>
          <cell r="B136" t="str">
            <v>AIP-YKP-JEL -T-0044R1</v>
          </cell>
          <cell r="C136">
            <v>43618</v>
          </cell>
          <cell r="D136" t="str">
            <v>KHF-00-104265-QA-6050-01302-0000</v>
          </cell>
          <cell r="E136" t="str">
            <v>Weld repair procedure</v>
          </cell>
          <cell r="F136">
            <v>2</v>
          </cell>
          <cell r="G136" t="str">
            <v>IFA</v>
          </cell>
        </row>
        <row r="137">
          <cell r="A137" t="str">
            <v>rejected by AIP</v>
          </cell>
          <cell r="B137" t="str">
            <v>AIP-YKP-JEL -T-008R1</v>
          </cell>
          <cell r="C137">
            <v>43618</v>
          </cell>
          <cell r="D137" t="str">
            <v>KHF-00-104265-QA-5733-01303-0000</v>
          </cell>
          <cell r="E137" t="str">
            <v xml:space="preserve">ITP for the Surface Preparation &amp; Painting of field welded Joints  </v>
          </cell>
          <cell r="F137">
            <v>2</v>
          </cell>
          <cell r="G137" t="str">
            <v>rejected by AIP</v>
          </cell>
        </row>
        <row r="138">
          <cell r="A138" t="str">
            <v>KHF-00-104265-AA-6944-01332-0000-1</v>
          </cell>
          <cell r="B138" t="str">
            <v>AIP-YKP-JEL -T-0051</v>
          </cell>
          <cell r="C138">
            <v>43618</v>
          </cell>
          <cell r="D138" t="str">
            <v>KHF-00-104265-AA-6944-01332-0000</v>
          </cell>
          <cell r="E138" t="str">
            <v>Weekly Progress report No: 012 (Period: 25-May-19 to 31-May-19)</v>
          </cell>
          <cell r="F138">
            <v>1</v>
          </cell>
          <cell r="G138" t="str">
            <v>IFI</v>
          </cell>
        </row>
        <row r="139">
          <cell r="A139" t="str">
            <v>KHF-00-104265-BA-6065-01302-0000-2</v>
          </cell>
          <cell r="B139" t="str">
            <v>AIP-YKP-JEL -T-0015R11</v>
          </cell>
          <cell r="C139">
            <v>43619</v>
          </cell>
          <cell r="D139" t="str">
            <v>KHF-00-104265-BA-6065-01302-0000</v>
          </cell>
          <cell r="E139" t="str">
            <v>Welding Procedure specification- JWPS-543 &amp; JPQR-543 – Grade P11</v>
          </cell>
          <cell r="F139">
            <v>2</v>
          </cell>
          <cell r="G139" t="str">
            <v>IFA</v>
          </cell>
        </row>
        <row r="140">
          <cell r="A140" t="str">
            <v>KHF-00-104265-AA-6944-01304-0000-1</v>
          </cell>
          <cell r="B140" t="str">
            <v>AIP-YKP-JEL -T-0052</v>
          </cell>
          <cell r="C140">
            <v>43620</v>
          </cell>
          <cell r="D140" t="str">
            <v>KHF-00-104265-AA-6944-01304-0000</v>
          </cell>
          <cell r="E140" t="str">
            <v>Monthly Progress report No: 004 (Period : 20-Apr-2019 to 24-May-2019)</v>
          </cell>
          <cell r="F140">
            <v>1</v>
          </cell>
          <cell r="G140" t="str">
            <v>IFI</v>
          </cell>
        </row>
        <row r="141">
          <cell r="A141" t="str">
            <v>KHF-00-104265-AA-6944-01333-0000-1</v>
          </cell>
          <cell r="B141" t="str">
            <v>AIP-YKP-JEL -T-0053</v>
          </cell>
          <cell r="C141">
            <v>43620</v>
          </cell>
          <cell r="D141" t="str">
            <v>KHF-00-104265-AA-6944-01333-0000</v>
          </cell>
          <cell r="E141" t="str">
            <v>Weekly Progress report No: 013 (Period: 01-June-19 to 07-June-19)</v>
          </cell>
          <cell r="F141">
            <v>1</v>
          </cell>
          <cell r="G141" t="str">
            <v>IFI</v>
          </cell>
        </row>
        <row r="142">
          <cell r="A142" t="str">
            <v>KHF-00-104265-BA-6065-01304-0000-2</v>
          </cell>
          <cell r="B142" t="str">
            <v>AIP-YKP-JEL -T-0015R12</v>
          </cell>
          <cell r="C142">
            <v>43627</v>
          </cell>
          <cell r="D142" t="str">
            <v>KHF-00-104265-BA-6065-01304-0000</v>
          </cell>
          <cell r="E142" t="str">
            <v>Welding Procedure specification-JWPS-06 &amp; JPQR-06 - P1-P4 Dissimilar welding</v>
          </cell>
          <cell r="F142">
            <v>2</v>
          </cell>
          <cell r="G142" t="str">
            <v>IFA</v>
          </cell>
        </row>
        <row r="143">
          <cell r="A143" t="str">
            <v>KHF-00-104265-BA-6065-01316-0000-2</v>
          </cell>
          <cell r="B143" t="str">
            <v>AIP-YKP-JEL -T-0015R12</v>
          </cell>
          <cell r="C143">
            <v>43627</v>
          </cell>
          <cell r="D143" t="str">
            <v>KHF-00-104265-BA-6065-01316-0000</v>
          </cell>
          <cell r="E143" t="str">
            <v>Welding Procedure specification-Structural Welding - JWPS-410S &amp; JEL-PQR-SBRP1-SS409-01</v>
          </cell>
          <cell r="F143">
            <v>2</v>
          </cell>
          <cell r="G143" t="str">
            <v>IFA</v>
          </cell>
        </row>
        <row r="144">
          <cell r="A144" t="str">
            <v>KHF-00-104265-AA-3341-01303-0000-1</v>
          </cell>
          <cell r="B144" t="str">
            <v>AIP-YKP-JEL-T-0054</v>
          </cell>
          <cell r="C144">
            <v>43627</v>
          </cell>
          <cell r="D144" t="str">
            <v>KHF-00-104265-AA-3341-01303-0000</v>
          </cell>
          <cell r="E144" t="str">
            <v>CV OF MR.VIJAY - APPOINTED PERSON - LIFTING</v>
          </cell>
          <cell r="F144">
            <v>1</v>
          </cell>
          <cell r="G144" t="str">
            <v>IFA</v>
          </cell>
        </row>
        <row r="145">
          <cell r="A145" t="str">
            <v>-</v>
          </cell>
          <cell r="B145" t="str">
            <v>AIP-YKP-JEL-T-0055</v>
          </cell>
          <cell r="G145" t="str">
            <v>not recd</v>
          </cell>
        </row>
        <row r="146">
          <cell r="A146" t="str">
            <v>KHF-00-104265-AA-6944-01334-0000-1</v>
          </cell>
          <cell r="B146" t="str">
            <v>AIP-YKP-JEL-T-0056</v>
          </cell>
          <cell r="C146">
            <v>43632</v>
          </cell>
          <cell r="D146" t="str">
            <v>KHF-00-104265-AA-6944-01334-0000</v>
          </cell>
          <cell r="E146" t="str">
            <v>Weekly Progress report No: 014 (Period: 08-June-19 to 14-June-19)</v>
          </cell>
          <cell r="F146">
            <v>1</v>
          </cell>
          <cell r="G146" t="str">
            <v>IFI</v>
          </cell>
        </row>
        <row r="147">
          <cell r="A147" t="str">
            <v>KHF-00-104265-AA-3341-01304-0000-1</v>
          </cell>
          <cell r="B147" t="str">
            <v>AIP-YKP-JEL-T-0057</v>
          </cell>
          <cell r="C147">
            <v>43638</v>
          </cell>
          <cell r="D147" t="str">
            <v>KHF-00-104265-AA-3341-01304-0000</v>
          </cell>
          <cell r="E147" t="str">
            <v>CV OF MR.KIRUBAKARAN - HYDRO TEST ENGINEER</v>
          </cell>
          <cell r="F147">
            <v>1</v>
          </cell>
          <cell r="G147" t="str">
            <v>IFA</v>
          </cell>
        </row>
        <row r="148">
          <cell r="A148" t="str">
            <v>KHF-00-104265-AA-6944-01335-0000-1</v>
          </cell>
          <cell r="B148" t="str">
            <v>AIP-YKP-JEL-T-0058</v>
          </cell>
          <cell r="C148">
            <v>43639</v>
          </cell>
          <cell r="D148" t="str">
            <v>KHF-00-104265-AA-6944-01335-0000</v>
          </cell>
          <cell r="E148" t="str">
            <v>Weekly Progress report No: 015 (Period: 15-June-19 to 21-June-19)</v>
          </cell>
          <cell r="F148">
            <v>1</v>
          </cell>
          <cell r="G148" t="str">
            <v>IFI</v>
          </cell>
        </row>
        <row r="149">
          <cell r="A149" t="str">
            <v>KHF-00-104265-BA-6065-01304-0000-3</v>
          </cell>
          <cell r="B149" t="str">
            <v>AIP-YKP-JEL -T-0015R13</v>
          </cell>
          <cell r="C149">
            <v>43641</v>
          </cell>
          <cell r="D149" t="str">
            <v>KHF-00-104265-BA-6065-01304-0000</v>
          </cell>
          <cell r="E149" t="str">
            <v>Non Sour Service - Welding Procedure specification for P1-P4 Dissimilar Welding JWPS - 06 &amp; JPQR - 06</v>
          </cell>
          <cell r="F149">
            <v>3</v>
          </cell>
          <cell r="G149" t="str">
            <v>IFA</v>
          </cell>
        </row>
        <row r="150">
          <cell r="A150" t="str">
            <v>KHF-00-104265-RA-6038-01312-0000-2</v>
          </cell>
          <cell r="B150" t="str">
            <v>AIP-YKP-JEL -T-0022R6</v>
          </cell>
          <cell r="C150">
            <v>43645</v>
          </cell>
          <cell r="D150" t="str">
            <v>KHF-00-104265-RA-6038-01312-0000</v>
          </cell>
          <cell r="E150" t="str">
            <v>Visual Testing Procedure</v>
          </cell>
          <cell r="F150">
            <v>2</v>
          </cell>
          <cell r="G150" t="str">
            <v>IFA</v>
          </cell>
        </row>
        <row r="151">
          <cell r="A151" t="str">
            <v>KHF-00-104265-RA-6038-01314-0000-2</v>
          </cell>
          <cell r="B151" t="str">
            <v>AIP-YKP-JEL -T-0022R6</v>
          </cell>
          <cell r="C151">
            <v>43645</v>
          </cell>
          <cell r="D151" t="str">
            <v>KHF-00-104265-RA-6038-01314-0000</v>
          </cell>
          <cell r="E151" t="str">
            <v>Ferrite Testing Procedure</v>
          </cell>
          <cell r="F151">
            <v>2</v>
          </cell>
          <cell r="G151" t="str">
            <v>IFA</v>
          </cell>
        </row>
        <row r="152">
          <cell r="A152" t="str">
            <v>KHF-00-104265-QA-6050-01302-0000-3</v>
          </cell>
          <cell r="B152" t="str">
            <v>AIP-YKP-JEL -T-0044R2</v>
          </cell>
          <cell r="C152">
            <v>43645</v>
          </cell>
          <cell r="D152" t="str">
            <v>KHF-00-104265-QA-6050-01302-0000</v>
          </cell>
          <cell r="E152" t="str">
            <v>Weld repair procedure</v>
          </cell>
          <cell r="F152">
            <v>3</v>
          </cell>
          <cell r="G152" t="str">
            <v>IFA</v>
          </cell>
        </row>
        <row r="153">
          <cell r="A153" t="str">
            <v>KHF-00-104265-BA-6070-01314-0000-1</v>
          </cell>
          <cell r="B153" t="str">
            <v>AIP-YKP-JEL -T-0059</v>
          </cell>
          <cell r="C153">
            <v>43642</v>
          </cell>
          <cell r="D153" t="str">
            <v>KHF-00-104265-BA-6070-01314-0000</v>
          </cell>
          <cell r="E153" t="str">
            <v>Method Statement for GTG and its Auxiliaries piping hydrostatic pressure test</v>
          </cell>
          <cell r="F153">
            <v>1</v>
          </cell>
          <cell r="G153" t="str">
            <v>IFR</v>
          </cell>
        </row>
        <row r="154">
          <cell r="A154" t="str">
            <v>KHF-00-104265-AA-6944-01336-0000-1</v>
          </cell>
          <cell r="B154" t="str">
            <v>AIP-YKP-JEL -T-0060</v>
          </cell>
          <cell r="C154">
            <v>43646</v>
          </cell>
          <cell r="D154" t="str">
            <v>KHF-00-104265-AA-6944-01336-0000</v>
          </cell>
          <cell r="E154" t="str">
            <v>Weekly Progress report No: 016 (Period: 22-June-19 to 28-June-19)</v>
          </cell>
          <cell r="F154">
            <v>1</v>
          </cell>
          <cell r="G154" t="str">
            <v>IFI</v>
          </cell>
        </row>
        <row r="155">
          <cell r="A155" t="str">
            <v>KHF-00-104265-AA-6944-01305-0000-1</v>
          </cell>
          <cell r="B155" t="str">
            <v>AIP-YKP-JEL -T-0061</v>
          </cell>
          <cell r="C155">
            <v>43648</v>
          </cell>
          <cell r="D155" t="str">
            <v>KHF-00-104265-AA-6944-01305-0000</v>
          </cell>
          <cell r="E155" t="str">
            <v>Monthly Progress report No: 005 (Period : 25-May-2019 to 21-June-2019)</v>
          </cell>
          <cell r="F155">
            <v>1</v>
          </cell>
          <cell r="G155" t="str">
            <v>IFI</v>
          </cell>
        </row>
        <row r="156">
          <cell r="A156" t="str">
            <v>KHF-00-104265-RA-6038-01315-0000-1</v>
          </cell>
          <cell r="B156" t="str">
            <v>AIP-YKP-JEL -T-0022R7</v>
          </cell>
          <cell r="C156">
            <v>43649</v>
          </cell>
          <cell r="D156" t="str">
            <v>KHF-00-104265-RA-6038-01315-0000</v>
          </cell>
          <cell r="E156" t="str">
            <v>Procedure for Radiography Film Digitalization</v>
          </cell>
          <cell r="F156">
            <v>1</v>
          </cell>
          <cell r="G156" t="str">
            <v>IFR</v>
          </cell>
        </row>
        <row r="157">
          <cell r="A157" t="str">
            <v>KHF-00-104265-AA-6944-01337-0000-1</v>
          </cell>
          <cell r="B157" t="str">
            <v>AIP-YKP-JEL -T-0062</v>
          </cell>
          <cell r="C157">
            <v>43653</v>
          </cell>
          <cell r="D157" t="str">
            <v>KHF-00-104265-AA-6944-01337-0000</v>
          </cell>
          <cell r="E157" t="str">
            <v>Weekly Progress report No: 017 (Period: 29-June-19 to 05-July-19)</v>
          </cell>
          <cell r="F157">
            <v>1</v>
          </cell>
          <cell r="G157" t="str">
            <v>IFI</v>
          </cell>
        </row>
        <row r="158">
          <cell r="A158" t="str">
            <v>-</v>
          </cell>
          <cell r="B158" t="str">
            <v>AIP-YKP-JEL -T-0063</v>
          </cell>
          <cell r="C158">
            <v>43659</v>
          </cell>
          <cell r="E158" t="str">
            <v>Invoice 1920013</v>
          </cell>
        </row>
        <row r="159">
          <cell r="A159" t="str">
            <v>KHF-00-104265-AA-6944-01338-0000-1</v>
          </cell>
          <cell r="B159" t="str">
            <v>AIP-YKP-JEL -T-0064</v>
          </cell>
          <cell r="C159">
            <v>43660</v>
          </cell>
          <cell r="D159" t="str">
            <v>KHF-00-104265-AA-6944-01338-0000</v>
          </cell>
          <cell r="E159" t="str">
            <v>Weekly Progress report No: 018 (Period: 06-July-19 to 12-July-19)</v>
          </cell>
          <cell r="F159">
            <v>1</v>
          </cell>
          <cell r="G159" t="str">
            <v>IFI</v>
          </cell>
        </row>
        <row r="160">
          <cell r="A160" t="str">
            <v>KHF-00-104265-RA-6038-01301-0000-2</v>
          </cell>
          <cell r="B160" t="str">
            <v>AIP-YKP-JEL -T-0022R8</v>
          </cell>
          <cell r="C160">
            <v>43664</v>
          </cell>
          <cell r="D160" t="str">
            <v>KHF-00-104265-RA-6038-01301-0000</v>
          </cell>
          <cell r="E160" t="str">
            <v>RT - Radiographic Examination Procedure for Piping Work</v>
          </cell>
          <cell r="F160">
            <v>2</v>
          </cell>
          <cell r="G160" t="str">
            <v>IFA</v>
          </cell>
        </row>
        <row r="161">
          <cell r="A161" t="str">
            <v>KHF-00-104265-RA-6038-01305-0000-3</v>
          </cell>
          <cell r="B161" t="str">
            <v>AIP-YKP-JEL -T-0022R8</v>
          </cell>
          <cell r="C161">
            <v>43664</v>
          </cell>
          <cell r="D161" t="str">
            <v>KHF-00-104265-RA-6038-01305-0000</v>
          </cell>
          <cell r="E161" t="str">
            <v>Procedure for Hardness Testing</v>
          </cell>
          <cell r="F161">
            <v>3</v>
          </cell>
          <cell r="G161" t="str">
            <v>IFA</v>
          </cell>
        </row>
        <row r="162">
          <cell r="A162" t="str">
            <v>KHF-00-104265-RA-6038-01314-0000-3</v>
          </cell>
          <cell r="B162" t="str">
            <v>AIP-YKP-JEL -T-0022R8</v>
          </cell>
          <cell r="C162">
            <v>43664</v>
          </cell>
          <cell r="D162" t="str">
            <v>KHF-00-104265-RA-6038-01314-0000</v>
          </cell>
          <cell r="E162" t="str">
            <v>Ferrite Testing Procedure</v>
          </cell>
          <cell r="F162">
            <v>3</v>
          </cell>
          <cell r="G162" t="str">
            <v>IFA</v>
          </cell>
        </row>
        <row r="163">
          <cell r="A163" t="str">
            <v>KHF-00-104265-RA-6038-01312-0000-3</v>
          </cell>
          <cell r="B163" t="str">
            <v>AIP-YKP-JEL -T-0022R8</v>
          </cell>
          <cell r="C163">
            <v>43664</v>
          </cell>
          <cell r="D163" t="str">
            <v>KHF-00-104265-RA-6038-01312-0000</v>
          </cell>
          <cell r="E163" t="str">
            <v>Visual Testing Procedure</v>
          </cell>
          <cell r="F163">
            <v>3</v>
          </cell>
          <cell r="G163" t="str">
            <v>IFA</v>
          </cell>
        </row>
        <row r="164">
          <cell r="A164" t="str">
            <v>KHF-00-104265-AA-6944-01339-0000-1</v>
          </cell>
          <cell r="B164" t="str">
            <v>AIP-YKP-JEL -T-0065</v>
          </cell>
          <cell r="C164">
            <v>43667</v>
          </cell>
          <cell r="D164" t="str">
            <v>KHF-00-104265-AA-6944-01339-0000</v>
          </cell>
          <cell r="E164" t="str">
            <v>Weekly Progress report No: 019 (Period: 13-July-19 to 19-July-19)</v>
          </cell>
          <cell r="F164">
            <v>1</v>
          </cell>
          <cell r="G164" t="str">
            <v>IFI</v>
          </cell>
        </row>
        <row r="165">
          <cell r="A165" t="str">
            <v>KHF-00-104265-AA-6944-01340-0000-1</v>
          </cell>
          <cell r="B165" t="str">
            <v>AIP-YKP-JEL -T-0066</v>
          </cell>
          <cell r="C165">
            <v>43674</v>
          </cell>
          <cell r="D165" t="str">
            <v>KHF-00-104265-AA-6944-01340-0000</v>
          </cell>
          <cell r="E165" t="str">
            <v>Weekly Progress report No: 020 (Period: 20-July-19 to 26-July-19)</v>
          </cell>
          <cell r="F165">
            <v>1</v>
          </cell>
          <cell r="G165" t="str">
            <v>IFI</v>
          </cell>
        </row>
        <row r="166">
          <cell r="A166" t="str">
            <v>KHF-00-104265-BA-6070-01313-0000-1</v>
          </cell>
          <cell r="B166" t="str">
            <v>AIP-YKP-JEL -T-0067</v>
          </cell>
          <cell r="C166">
            <v>43677</v>
          </cell>
          <cell r="D166" t="str">
            <v>KHF-00-104265-BA-6070-01313-0000</v>
          </cell>
          <cell r="E166" t="str">
            <v>Method Statement for GTG Lube Oil Flushing</v>
          </cell>
          <cell r="F166">
            <v>1</v>
          </cell>
          <cell r="G166" t="str">
            <v>IFR</v>
          </cell>
        </row>
        <row r="167">
          <cell r="A167" t="str">
            <v>KHF-00-104265-AA-6944-01306-0000-1</v>
          </cell>
          <cell r="B167" t="str">
            <v>AIP-YKP-JEL -T-0068</v>
          </cell>
          <cell r="C167">
            <v>43677</v>
          </cell>
          <cell r="D167" t="str">
            <v>KHF-00-104265-AA-6944-01306-0000</v>
          </cell>
          <cell r="E167" t="str">
            <v>Monthly Progress report No: 006 (Period : 22-June-2019 to 19-July-2019)</v>
          </cell>
          <cell r="F167">
            <v>1</v>
          </cell>
          <cell r="G167" t="str">
            <v>IFI</v>
          </cell>
        </row>
        <row r="168">
          <cell r="A168" t="str">
            <v>KHF-00-104265-BA-6065-01319-0000-1</v>
          </cell>
          <cell r="B168" t="str">
            <v>AIP-YKP-JEL -T-0015R14</v>
          </cell>
          <cell r="C168">
            <v>43680</v>
          </cell>
          <cell r="D168" t="str">
            <v>KHF-00-104265-BA-6065-01319-0000</v>
          </cell>
          <cell r="E168" t="str">
            <v>Welding procedure specification for dissimilar welding (P1-P8) JWPS-100 &amp; JPQR-100</v>
          </cell>
          <cell r="F168">
            <v>1</v>
          </cell>
          <cell r="G168" t="str">
            <v>IFR</v>
          </cell>
        </row>
        <row r="169">
          <cell r="A169" t="str">
            <v>KHF-00-104265-RA-6038-01313-0000-2</v>
          </cell>
          <cell r="B169" t="str">
            <v>AIP-YKP-JEL -T-0022R9</v>
          </cell>
          <cell r="C169">
            <v>43680</v>
          </cell>
          <cell r="D169" t="str">
            <v>KHF-00-104265-RA-6038-01313-0000</v>
          </cell>
          <cell r="E169" t="str">
            <v>Positive Material Identification Procedure</v>
          </cell>
          <cell r="F169">
            <v>2</v>
          </cell>
          <cell r="G169" t="str">
            <v>IFA</v>
          </cell>
        </row>
        <row r="170">
          <cell r="A170" t="str">
            <v>KHF-00-104265-RA-6038-01305-0000-4</v>
          </cell>
          <cell r="B170" t="str">
            <v>AIP-YKP-JEL -T-0022R9</v>
          </cell>
          <cell r="C170">
            <v>43680</v>
          </cell>
          <cell r="D170" t="str">
            <v>KHF-00-104265-RA-6038-01305-0000</v>
          </cell>
          <cell r="E170" t="str">
            <v>Procedure for Hardness Testing</v>
          </cell>
          <cell r="F170">
            <v>4</v>
          </cell>
          <cell r="G170" t="str">
            <v>IFA</v>
          </cell>
        </row>
        <row r="171">
          <cell r="A171" t="str">
            <v>KHF-00-104265-AA-6944-01341-0000-1</v>
          </cell>
          <cell r="B171" t="str">
            <v>AIP-YKP-JEL -T-0069</v>
          </cell>
          <cell r="C171">
            <v>43681</v>
          </cell>
          <cell r="D171" t="str">
            <v>KHF-00-104265-AA-6944-01341-0000</v>
          </cell>
          <cell r="E171" t="str">
            <v>Weekly Progress report No: 021 (Period: 27-July-19 to 02-August-19)</v>
          </cell>
          <cell r="F171">
            <v>1</v>
          </cell>
          <cell r="G171" t="str">
            <v>IFI</v>
          </cell>
        </row>
        <row r="172">
          <cell r="A172" t="str">
            <v>-</v>
          </cell>
          <cell r="B172" t="str">
            <v>AIP-YKP-JEL -T-0070</v>
          </cell>
          <cell r="G172" t="str">
            <v>not recd</v>
          </cell>
        </row>
        <row r="173">
          <cell r="A173" t="str">
            <v>KHF-00-104265-AA-6944-01342-0000-1</v>
          </cell>
          <cell r="B173" t="str">
            <v>AIP-YKP-JEL -T-0071</v>
          </cell>
          <cell r="C173">
            <v>43688</v>
          </cell>
          <cell r="D173" t="str">
            <v>KHF-00-104265-AA-6944-01342-0000</v>
          </cell>
          <cell r="E173" t="str">
            <v>Weekly Progress report No: 022 (Period: 03-August-19 to 09-August-19)</v>
          </cell>
          <cell r="F173">
            <v>1</v>
          </cell>
          <cell r="G173" t="str">
            <v>IFI</v>
          </cell>
        </row>
        <row r="174">
          <cell r="A174" t="str">
            <v>KHF-00-104265-AA-6944-01343-0000-1</v>
          </cell>
          <cell r="B174" t="str">
            <v>AIP-YKP-JEL -T-0072</v>
          </cell>
          <cell r="C174">
            <v>43695</v>
          </cell>
          <cell r="D174" t="str">
            <v>KHF-00-104265-AA-6944-01343-0000</v>
          </cell>
          <cell r="E174" t="str">
            <v>Weekly Progress report No: 023 (Period: 10-August-19 to 16-August-19)</v>
          </cell>
          <cell r="F174">
            <v>1</v>
          </cell>
          <cell r="G174" t="str">
            <v>IFI</v>
          </cell>
        </row>
        <row r="175">
          <cell r="A175" t="str">
            <v>KHF-00-104265-AA-6944-01344-0000-1</v>
          </cell>
          <cell r="B175" t="str">
            <v>AIP-YKP-JEL -T-0073</v>
          </cell>
          <cell r="C175">
            <v>43702</v>
          </cell>
          <cell r="D175" t="str">
            <v>KHF-00-104265-AA-6944-01344-0000</v>
          </cell>
          <cell r="E175" t="str">
            <v>Weekly Progress report No: 024 (Period: 17-August-19 to 23-August-19)</v>
          </cell>
          <cell r="F175">
            <v>1</v>
          </cell>
          <cell r="G175" t="str">
            <v>IFI</v>
          </cell>
        </row>
        <row r="176">
          <cell r="A176" t="str">
            <v>KHF-00-104265-RA-6038-01312-0000-4</v>
          </cell>
          <cell r="B176" t="str">
            <v>AIP-YKP-JEL -T-0074</v>
          </cell>
          <cell r="C176">
            <v>43708</v>
          </cell>
          <cell r="D176" t="str">
            <v>KHF-00-104265-RA-6038-01312-0000</v>
          </cell>
          <cell r="E176" t="str">
            <v>Visual testing Procedure</v>
          </cell>
          <cell r="F176">
            <v>4</v>
          </cell>
          <cell r="G176" t="str">
            <v>IFA</v>
          </cell>
        </row>
        <row r="177">
          <cell r="A177" t="str">
            <v>KHF-00-104265-AA-6944-01345-0000-1</v>
          </cell>
          <cell r="B177" t="str">
            <v>AIP-YKP-JEL -T-0075</v>
          </cell>
          <cell r="C177">
            <v>43709</v>
          </cell>
          <cell r="D177" t="str">
            <v>KHF-00-104265-AA-6944-01345-0000</v>
          </cell>
          <cell r="E177" t="str">
            <v>WEEKLY PROGRESS REPORT NO.025 PERIOD: 24-AUGUST-2019 TO 30-AUGUST-2019</v>
          </cell>
          <cell r="F177">
            <v>1</v>
          </cell>
          <cell r="G177" t="str">
            <v>IFI</v>
          </cell>
        </row>
        <row r="178">
          <cell r="A178" t="str">
            <v>KHF-00-104265-AA-6944-01307-0000-1</v>
          </cell>
          <cell r="B178" t="str">
            <v>AIP-YKP-JEL -T-0076</v>
          </cell>
          <cell r="C178">
            <v>43712</v>
          </cell>
          <cell r="D178" t="str">
            <v>KHF-00-104265-AA-6944-01307-0000</v>
          </cell>
          <cell r="E178" t="str">
            <v>Monthly Progress report No: 007 (Period : 20-July-2019 to 23-Aug-2019)</v>
          </cell>
          <cell r="F178">
            <v>1</v>
          </cell>
          <cell r="G178" t="str">
            <v>IFI</v>
          </cell>
        </row>
        <row r="179">
          <cell r="A179" t="str">
            <v>KHF-00-104265-AA-6944-01346-0000-1</v>
          </cell>
          <cell r="B179" t="str">
            <v>AIP-YKP-JEL -T-0077</v>
          </cell>
          <cell r="C179">
            <v>43716</v>
          </cell>
          <cell r="D179" t="str">
            <v>KHF-00-104265-AA-6944-01346-0000</v>
          </cell>
          <cell r="E179" t="str">
            <v>WEEKLY PROGRESS REPORT NO.026 PERIOD: 31-AUGUST-2019 TO 06-SEPTEMBER-2019</v>
          </cell>
          <cell r="F179">
            <v>1</v>
          </cell>
          <cell r="G179" t="str">
            <v>IFI</v>
          </cell>
        </row>
        <row r="180">
          <cell r="A180" t="str">
            <v>KHF-00-104265-RA-6038-01305-0000-5</v>
          </cell>
          <cell r="B180" t="str">
            <v>AIP-YKP-JEL -T-0078</v>
          </cell>
          <cell r="C180">
            <v>43719</v>
          </cell>
          <cell r="D180" t="str">
            <v>KHF-00-104265-RA-6038-01305-0000</v>
          </cell>
          <cell r="E180" t="str">
            <v>Procedure for Hardness Testing</v>
          </cell>
          <cell r="F180">
            <v>5</v>
          </cell>
          <cell r="G180" t="str">
            <v>IFA</v>
          </cell>
        </row>
        <row r="181">
          <cell r="A181" t="str">
            <v>KHF-00-104265-RA-6038-01306-0000-2</v>
          </cell>
          <cell r="B181" t="str">
            <v>AIP-YKP-JEL -T-0078</v>
          </cell>
          <cell r="C181">
            <v>43719</v>
          </cell>
          <cell r="D181" t="str">
            <v>KHF-00-104265-RA-6038-01306-0000</v>
          </cell>
          <cell r="E181" t="str">
            <v>Procedure for Post Weld Heat Treatment for Piping</v>
          </cell>
          <cell r="F181">
            <v>2</v>
          </cell>
          <cell r="G181" t="str">
            <v>IFA</v>
          </cell>
        </row>
        <row r="182">
          <cell r="A182" t="str">
            <v>KHF-00-104265-RA-6038-01314-0000-4</v>
          </cell>
          <cell r="B182" t="str">
            <v>AIP-YKP-JEL -T-0079</v>
          </cell>
          <cell r="C182">
            <v>43725</v>
          </cell>
          <cell r="D182" t="str">
            <v>KHF-00-104265-RA-6038-01314-0000</v>
          </cell>
          <cell r="E182" t="str">
            <v>FERRITE TESTING PROCEDURE</v>
          </cell>
          <cell r="F182">
            <v>4</v>
          </cell>
          <cell r="G182" t="str">
            <v>IFA</v>
          </cell>
        </row>
        <row r="183">
          <cell r="A183" t="str">
            <v>KHF-00-104265-BA-6070-01303-0000-2</v>
          </cell>
          <cell r="B183" t="str">
            <v>AIP-YKP-JEL -T-0080</v>
          </cell>
          <cell r="C183">
            <v>43737</v>
          </cell>
          <cell r="D183" t="str">
            <v>KHF-00-104265-BA-6070-01303-0000</v>
          </cell>
          <cell r="E183" t="str">
            <v>Method Statement for Mechanical Installation of HRSG pressure parts, piping, steam drum and HRSG auxiliaries</v>
          </cell>
          <cell r="F183">
            <v>2</v>
          </cell>
          <cell r="G183" t="str">
            <v>IFA</v>
          </cell>
        </row>
        <row r="184">
          <cell r="A184" t="str">
            <v>KHF-00-104265-BA-6070-01304-0000-2</v>
          </cell>
          <cell r="B184" t="str">
            <v>AIP-YKP-JEL -T-0080</v>
          </cell>
          <cell r="C184">
            <v>43737</v>
          </cell>
          <cell r="D184" t="str">
            <v>KHF-00-104265-BA-6070-01304-0000</v>
          </cell>
          <cell r="E184" t="str">
            <v>Method Statement for Mechanical installation of GTG and HRSG Steel Structure Installation Works</v>
          </cell>
          <cell r="F184">
            <v>2</v>
          </cell>
          <cell r="G184" t="str">
            <v>IFA</v>
          </cell>
        </row>
        <row r="185">
          <cell r="A185" t="str">
            <v>KHF-00-104265-BA-6065-01313-0000-4</v>
          </cell>
          <cell r="B185" t="str">
            <v>AIP-YKP-JEL -T-0080</v>
          </cell>
          <cell r="C185">
            <v>43737</v>
          </cell>
          <cell r="D185" t="str">
            <v>KHF-00-104265-BA-6065-01313-0000</v>
          </cell>
          <cell r="E185" t="str">
            <v>WPS &amp; PQR REGISTER - NON BOILER EXTERNAL AND GENERAL PIPING</v>
          </cell>
          <cell r="F185">
            <v>4</v>
          </cell>
          <cell r="G185" t="str">
            <v>IFA</v>
          </cell>
        </row>
        <row r="186">
          <cell r="A186" t="str">
            <v>KHF-00-104265-AA-3341-01304-0000-2</v>
          </cell>
          <cell r="B186" t="str">
            <v>AIP-YKP-JEL -T-0081</v>
          </cell>
          <cell r="C186">
            <v>43740</v>
          </cell>
          <cell r="D186" t="str">
            <v>KHF-00-104265-AA-3341-01304-0000</v>
          </cell>
          <cell r="E186" t="str">
            <v>CV OF MR.KIRUBAKARAN - HYDRO TEST ENGINEER</v>
          </cell>
          <cell r="F186">
            <v>2</v>
          </cell>
          <cell r="G186" t="str">
            <v>IFA</v>
          </cell>
        </row>
        <row r="187">
          <cell r="A187" t="str">
            <v>INVOICE-07--</v>
          </cell>
          <cell r="B187" t="str">
            <v>AIP-YKP-JEL -T-0082</v>
          </cell>
          <cell r="C187">
            <v>43773</v>
          </cell>
          <cell r="D187" t="str">
            <v>INVOICE-07</v>
          </cell>
          <cell r="E187" t="str">
            <v>INVOICE-07</v>
          </cell>
          <cell r="F187" t="str">
            <v>-</v>
          </cell>
          <cell r="G187" t="str">
            <v>-</v>
          </cell>
        </row>
        <row r="188">
          <cell r="A188" t="str">
            <v>KHF-00-104265-QA-5733-01303-0000-2</v>
          </cell>
          <cell r="B188" t="str">
            <v>AIP-YKP-JEL -T-0083</v>
          </cell>
          <cell r="C188">
            <v>43773</v>
          </cell>
          <cell r="D188" t="str">
            <v>KHF-00-104265-QA-5733-01303-0000</v>
          </cell>
          <cell r="E188" t="str">
            <v>ITP for the Surface Preparation &amp; Painting of field welded Joints</v>
          </cell>
          <cell r="F188">
            <v>2</v>
          </cell>
          <cell r="G188" t="str">
            <v>IFA</v>
          </cell>
        </row>
        <row r="189">
          <cell r="A189" t="str">
            <v>KHF-00-104265-BA-6070-01315-0000-1</v>
          </cell>
          <cell r="B189" t="str">
            <v>AIP-YKP-JEL -T-0084</v>
          </cell>
          <cell r="C189">
            <v>43778</v>
          </cell>
          <cell r="D189" t="str">
            <v>KHF-00-104265-BA-6070-01315-0000</v>
          </cell>
          <cell r="E189" t="str">
            <v>Method ststement for insulation works of piping and equipments</v>
          </cell>
          <cell r="F189">
            <v>1</v>
          </cell>
          <cell r="G189" t="str">
            <v>IFR</v>
          </cell>
        </row>
        <row r="190">
          <cell r="A190" t="str">
            <v>KHF-00-104265-QA-5733-01312-0000-1</v>
          </cell>
          <cell r="B190" t="str">
            <v>AIP-YKP-JEL -T-0084</v>
          </cell>
          <cell r="C190">
            <v>43778</v>
          </cell>
          <cell r="D190" t="str">
            <v>KHF-00-104265-QA-5733-01312-0000</v>
          </cell>
          <cell r="E190" t="str">
            <v>ITP for insulation works</v>
          </cell>
          <cell r="F190">
            <v>1</v>
          </cell>
          <cell r="G190" t="str">
            <v>IFR</v>
          </cell>
        </row>
        <row r="191">
          <cell r="A191" t="str">
            <v>KHF-00-104265-BA-6070-01314-0000-2</v>
          </cell>
          <cell r="B191" t="str">
            <v>AIP-YKP-JEL -T-0085</v>
          </cell>
          <cell r="C191">
            <v>43779</v>
          </cell>
          <cell r="D191" t="str">
            <v>KHF-00-104265-BA-6070-01314-0000</v>
          </cell>
          <cell r="E191" t="str">
            <v>Method Statement for GTG and its Auxiliaries piping hydrostatic pressure test</v>
          </cell>
          <cell r="F191">
            <v>2</v>
          </cell>
          <cell r="G191" t="str">
            <v>IFR</v>
          </cell>
        </row>
        <row r="192">
          <cell r="A192" t="str">
            <v>-</v>
          </cell>
          <cell r="B192" t="str">
            <v>AIP-YKP-JEL -T-0086</v>
          </cell>
          <cell r="G192" t="str">
            <v>not recd</v>
          </cell>
        </row>
        <row r="193">
          <cell r="A193" t="str">
            <v>KHF-00-104265-QA-7180-01301-0000-1</v>
          </cell>
          <cell r="B193" t="str">
            <v>AIP-YKP-JEL -T-0087</v>
          </cell>
          <cell r="C193">
            <v>43795</v>
          </cell>
          <cell r="D193" t="str">
            <v>KHF-00-104265-QA-7180-01301-0000</v>
          </cell>
          <cell r="E193" t="str">
            <v>Submission Of HRSG ASME Manufacturers Data Report(P3A,P4,P4A,P4B)</v>
          </cell>
          <cell r="F193">
            <v>1</v>
          </cell>
          <cell r="G193" t="str">
            <v>IFR</v>
          </cell>
        </row>
      </sheetData>
      <sheetData sheetId="1">
        <row r="6">
          <cell r="A6" t="str">
            <v>KHF-00-104265-HX-5798-10004-0000-4</v>
          </cell>
          <cell r="B6" t="str">
            <v>AIP-YKP-JEL-P1701009-T-0001</v>
          </cell>
          <cell r="C6">
            <v>43453</v>
          </cell>
          <cell r="D6" t="str">
            <v>KHF-00-104265-HX-5798-10004-0000</v>
          </cell>
          <cell r="E6" t="str">
            <v>Contract HSE Plan</v>
          </cell>
          <cell r="F6">
            <v>4</v>
          </cell>
          <cell r="G6" t="str">
            <v>PDO Approved</v>
          </cell>
        </row>
        <row r="7">
          <cell r="A7" t="str">
            <v>---</v>
          </cell>
          <cell r="B7" t="str">
            <v>AIP-YKP-JEL-P1701009-T-0002</v>
          </cell>
          <cell r="C7">
            <v>43458</v>
          </cell>
          <cell r="D7" t="str">
            <v>-</v>
          </cell>
          <cell r="E7" t="str">
            <v>NEED LIST documents as per attached  list - Total 412 documents</v>
          </cell>
          <cell r="F7" t="str">
            <v>-</v>
          </cell>
          <cell r="G7" t="str">
            <v>-</v>
          </cell>
        </row>
        <row r="8">
          <cell r="A8" t="str">
            <v>---</v>
          </cell>
          <cell r="B8" t="str">
            <v>AIP-YKP-JEL-P1701009-T-0003</v>
          </cell>
          <cell r="C8">
            <v>43475</v>
          </cell>
          <cell r="D8" t="str">
            <v>-</v>
          </cell>
          <cell r="E8" t="str">
            <v>Installation drawings of Gas turbine package</v>
          </cell>
          <cell r="F8" t="str">
            <v>-</v>
          </cell>
          <cell r="G8" t="str">
            <v>Download from the link</v>
          </cell>
        </row>
        <row r="9">
          <cell r="A9" t="str">
            <v>KHF-00-104265-QA-5733-01302-0000-1</v>
          </cell>
          <cell r="B9" t="str">
            <v>AIP-YKP-JEL-P1701009-T-0004</v>
          </cell>
          <cell r="C9">
            <v>43493</v>
          </cell>
          <cell r="D9" t="str">
            <v>KHF-00-104265-QA-5733-01302-0000</v>
          </cell>
          <cell r="E9" t="str">
            <v>Inspection &amp; Test Plan for GTG Package and its Auxiliaries</v>
          </cell>
          <cell r="F9">
            <v>1</v>
          </cell>
          <cell r="G9" t="str">
            <v>Code D</v>
          </cell>
        </row>
        <row r="10">
          <cell r="A10" t="str">
            <v>KHF-00-104265-QA-5733-01305-0000-1</v>
          </cell>
          <cell r="B10" t="str">
            <v>AIP-YKP-JEL-P1701009-T-0005</v>
          </cell>
          <cell r="C10">
            <v>43494</v>
          </cell>
          <cell r="D10" t="str">
            <v>KHF-00-104265-QA-5733-01305-0000</v>
          </cell>
          <cell r="E10" t="str">
            <v>ITP for the Installation of Gas Turbine Exhaust Bypass System</v>
          </cell>
          <cell r="F10">
            <v>1</v>
          </cell>
          <cell r="G10" t="str">
            <v>Code B</v>
          </cell>
        </row>
        <row r="11">
          <cell r="A11" t="str">
            <v>KHF-00-104265-QA-5733-01307-0000-1</v>
          </cell>
          <cell r="B11" t="str">
            <v>AIP-YKP-JEL-P1701009-T-0005</v>
          </cell>
          <cell r="C11">
            <v>43494</v>
          </cell>
          <cell r="D11" t="str">
            <v>KHF-00-104265-QA-5733-01307-0000</v>
          </cell>
          <cell r="E11" t="str">
            <v>ITP for the Installation of Rotary Equipment</v>
          </cell>
          <cell r="F11">
            <v>1</v>
          </cell>
          <cell r="G11" t="str">
            <v>Code B</v>
          </cell>
        </row>
        <row r="12">
          <cell r="A12" t="str">
            <v>KHF-00-104265-QA-5733-01304-0000-1</v>
          </cell>
          <cell r="B12" t="str">
            <v>AIP-YKP-JEL-P1701009-T-0006</v>
          </cell>
          <cell r="C12">
            <v>43499</v>
          </cell>
          <cell r="D12" t="str">
            <v>KHF-00-104265-QA-5733-01304-0000</v>
          </cell>
          <cell r="E12" t="str">
            <v>ITP for Installation of FIN Fan Cooler</v>
          </cell>
          <cell r="F12">
            <v>1</v>
          </cell>
          <cell r="G12" t="str">
            <v>Code B</v>
          </cell>
        </row>
        <row r="13">
          <cell r="A13" t="str">
            <v>KHF-00-104265-QA-5733-01306-0000-1</v>
          </cell>
          <cell r="B13" t="str">
            <v>AIP-YKP-JEL-P1701009-T-0006</v>
          </cell>
          <cell r="C13">
            <v>43499</v>
          </cell>
          <cell r="D13" t="str">
            <v>KHF-00-104265-QA-5733-01306-0000</v>
          </cell>
          <cell r="E13" t="str">
            <v>ITP for the Installation of HRSG Main Stack</v>
          </cell>
          <cell r="F13">
            <v>1</v>
          </cell>
          <cell r="G13" t="str">
            <v>Code B</v>
          </cell>
        </row>
        <row r="14">
          <cell r="A14" t="str">
            <v>KHF-00-104265-QA-5733-01308-0000-1</v>
          </cell>
          <cell r="B14" t="str">
            <v>AIP-YKP-JEL-P1701009-T-0006</v>
          </cell>
          <cell r="C14">
            <v>43499</v>
          </cell>
          <cell r="D14" t="str">
            <v>KHF-00-104265-QA-5733-01308-0000</v>
          </cell>
          <cell r="E14" t="str">
            <v>ITP for the Static Equipment &amp; Skid Installation</v>
          </cell>
          <cell r="F14">
            <v>1</v>
          </cell>
          <cell r="G14" t="str">
            <v>Code B</v>
          </cell>
        </row>
        <row r="15">
          <cell r="A15" t="str">
            <v>KHF-00-104265-QA-5733-01303-0000-1</v>
          </cell>
          <cell r="B15" t="str">
            <v>AIP-YKP-JEL-P1701009-T-0007</v>
          </cell>
          <cell r="C15">
            <v>43501</v>
          </cell>
          <cell r="D15" t="str">
            <v>KHF-00-104265-QA-5733-01303-0000</v>
          </cell>
          <cell r="E15" t="str">
            <v>ITP for Surface Preparation and Touch up Painting of Field Weld</v>
          </cell>
          <cell r="F15">
            <v>1</v>
          </cell>
          <cell r="G15" t="str">
            <v>Code B</v>
          </cell>
        </row>
        <row r="16">
          <cell r="A16" t="str">
            <v>KHF-00-104265-QA-5733-01304-0000-2</v>
          </cell>
          <cell r="B16" t="str">
            <v>AIP-YKP-JEL-P1701009-T-0008</v>
          </cell>
          <cell r="C16">
            <v>43508</v>
          </cell>
          <cell r="D16" t="str">
            <v>KHF-00-104265-QA-5733-01304-0000</v>
          </cell>
          <cell r="E16" t="str">
            <v>ITP FOR INSTALLATION OF FIN FAN COOLER (MECHANICAL WORKS)</v>
          </cell>
          <cell r="F16">
            <v>2</v>
          </cell>
          <cell r="G16" t="str">
            <v>Code A</v>
          </cell>
        </row>
        <row r="17">
          <cell r="A17" t="str">
            <v>KHF-00-104265-QA-5733-01306-0000-2</v>
          </cell>
          <cell r="B17" t="str">
            <v>AIP-YKP-JEL-P1701009-T-0008</v>
          </cell>
          <cell r="C17">
            <v>43508</v>
          </cell>
          <cell r="D17" t="str">
            <v>KHF-00-104265-QA-5733-01306-0000</v>
          </cell>
          <cell r="E17" t="str">
            <v>ITP FOR INSTALLATION OF HRSG  MAIN  STACK INSTALLATION (MECHANICAL WORKS)</v>
          </cell>
          <cell r="F17">
            <v>2</v>
          </cell>
          <cell r="G17" t="str">
            <v>Code A</v>
          </cell>
        </row>
        <row r="18">
          <cell r="A18" t="str">
            <v>KHF-00-104265-QA-5733-01307-0000-2</v>
          </cell>
          <cell r="B18" t="str">
            <v>AIP-YKP-JEL-P1701009-T-0008</v>
          </cell>
          <cell r="C18">
            <v>43508</v>
          </cell>
          <cell r="D18" t="str">
            <v>KHF-00-104265-QA-5733-01307-0000</v>
          </cell>
          <cell r="E18" t="str">
            <v>ITP FOR MECHANICAL INSTALLATION OF ROTARY EQUIPMENT (PUMP)</v>
          </cell>
          <cell r="F18">
            <v>2</v>
          </cell>
          <cell r="G18" t="str">
            <v>Code A</v>
          </cell>
        </row>
        <row r="19">
          <cell r="A19" t="str">
            <v>KHF-00-104265-QA-5733-01308-0000-2</v>
          </cell>
          <cell r="B19" t="str">
            <v>AIP-YKP-JEL-P1701009-T-0008</v>
          </cell>
          <cell r="C19">
            <v>43508</v>
          </cell>
          <cell r="D19" t="str">
            <v>KHF-00-104265-QA-5733-01308-0000</v>
          </cell>
          <cell r="E19" t="str">
            <v>ITP FOR INSTALLATION OFSTATIC EQUIPMENT &amp; SKID (MECHANICAL WORKS)</v>
          </cell>
          <cell r="F19">
            <v>2</v>
          </cell>
          <cell r="G19" t="str">
            <v>Code A</v>
          </cell>
        </row>
        <row r="20">
          <cell r="A20" t="str">
            <v>KHF-00-104265-BA-6065-01301-0000-1</v>
          </cell>
          <cell r="B20" t="str">
            <v>AIP-YKP-JEL-P1701009-T-0009</v>
          </cell>
          <cell r="C20">
            <v>43514</v>
          </cell>
          <cell r="D20" t="str">
            <v>KHF-00-104265-BA-6065-01301-0000</v>
          </cell>
          <cell r="E20" t="str">
            <v>WPS AND PQR REGISTER FOR STRUCTURAL WELDING</v>
          </cell>
          <cell r="F20">
            <v>1</v>
          </cell>
          <cell r="G20" t="str">
            <v>Code A</v>
          </cell>
        </row>
        <row r="21">
          <cell r="A21" t="str">
            <v>KHF-00-104265-BA-6065-01310-0000-1</v>
          </cell>
          <cell r="B21" t="str">
            <v>AIP-YKP-JEL-P1701009-T-0009</v>
          </cell>
          <cell r="C21">
            <v>43514</v>
          </cell>
          <cell r="D21" t="str">
            <v>KHF-00-104265-BA-6065-01310-0000</v>
          </cell>
          <cell r="E21" t="str">
            <v>WPS AND PQR - JWPS-142 &amp; JPQR-142,143 &amp; 144</v>
          </cell>
          <cell r="F21">
            <v>1</v>
          </cell>
          <cell r="G21" t="str">
            <v>Code A</v>
          </cell>
        </row>
        <row r="22">
          <cell r="A22" t="str">
            <v>KHF-00-104265-BA-6070-01302-0000-1</v>
          </cell>
          <cell r="B22" t="str">
            <v>AIP-YKP-JEL-P1701009-T-0009</v>
          </cell>
          <cell r="C22">
            <v>43514</v>
          </cell>
          <cell r="D22" t="str">
            <v>KHF-00-104265-BA-6070-01302-0000</v>
          </cell>
          <cell r="E22" t="str">
            <v>Method Statement for Erection of HRSG Ducting and Main Stack</v>
          </cell>
          <cell r="F22">
            <v>1</v>
          </cell>
          <cell r="G22" t="str">
            <v>Code B</v>
          </cell>
        </row>
        <row r="23">
          <cell r="A23" t="str">
            <v>KHF-00-104265-BA-6070-01301-0000-1</v>
          </cell>
          <cell r="B23" t="str">
            <v>AIP-YKP-JEL-P1701009-T-0009</v>
          </cell>
          <cell r="C23">
            <v>43514</v>
          </cell>
          <cell r="D23" t="str">
            <v>KHF-00-104265-BA-6070-01301-0000</v>
          </cell>
          <cell r="E23" t="str">
            <v>Method Of Statement For Installation HRSG Module</v>
          </cell>
          <cell r="F23">
            <v>1</v>
          </cell>
          <cell r="G23" t="str">
            <v>Code B</v>
          </cell>
        </row>
        <row r="24">
          <cell r="A24" t="str">
            <v>KHF-00-104265-BA-6070-01310-0000-1</v>
          </cell>
          <cell r="B24" t="str">
            <v>AIP-YKP-JEL-P1701009-T-0009</v>
          </cell>
          <cell r="C24">
            <v>43514</v>
          </cell>
          <cell r="D24" t="str">
            <v>KHF-00-104265-BA-6070-01310-0000</v>
          </cell>
          <cell r="E24" t="str">
            <v>Method Statement for Erection GT, GTG &amp; Auxiliaries</v>
          </cell>
          <cell r="F24">
            <v>1</v>
          </cell>
          <cell r="G24" t="str">
            <v>Code B</v>
          </cell>
        </row>
        <row r="25">
          <cell r="A25" t="str">
            <v>KHF-00-104265-QA-5733-01305-0000-2</v>
          </cell>
          <cell r="B25" t="str">
            <v>AIP-YKP-JEL-P1701009-T-0009</v>
          </cell>
          <cell r="C25">
            <v>43514</v>
          </cell>
          <cell r="D25" t="str">
            <v>KHF-00-104265-QA-5733-01305-0000</v>
          </cell>
          <cell r="E25" t="str">
            <v>ITP FOR INSTALLATION OF GAS TURBINE EXHAUST BYPASS SYSTEM (MECHANICAL WORKS)</v>
          </cell>
          <cell r="F25">
            <v>2</v>
          </cell>
          <cell r="G25" t="str">
            <v>Code A</v>
          </cell>
        </row>
        <row r="26">
          <cell r="A26" t="str">
            <v>Agreement ID: IA-AIP-PECOFFTQ-BA-1431--</v>
          </cell>
          <cell r="B26" t="str">
            <v>AIP-YKP-JEL-P1701009-T-0010</v>
          </cell>
          <cell r="C26">
            <v>43523</v>
          </cell>
          <cell r="D26" t="str">
            <v>Agreement ID: IA-AIP-PECOFFTQ-BA-1431</v>
          </cell>
          <cell r="E26" t="str">
            <v>HRSG - ASME Forms</v>
          </cell>
          <cell r="F26" t="str">
            <v>-</v>
          </cell>
          <cell r="G26" t="str">
            <v>-</v>
          </cell>
        </row>
        <row r="27">
          <cell r="A27" t="str">
            <v>KHF-00-104265-QA-5733-01301-0000-1</v>
          </cell>
          <cell r="B27" t="str">
            <v>AIP-YKP-JEL-P1701009-T-0011</v>
          </cell>
          <cell r="C27">
            <v>43528</v>
          </cell>
          <cell r="D27" t="str">
            <v>KHF-00-104265-QA-5733-01301-0000</v>
          </cell>
          <cell r="E27" t="str">
            <v>ITP FOR INSTALLATION OF HRSG SYSTEM (MECHANICAL WORKS)</v>
          </cell>
          <cell r="F27">
            <v>1</v>
          </cell>
          <cell r="G27" t="str">
            <v>Code B</v>
          </cell>
        </row>
        <row r="28">
          <cell r="A28" t="str">
            <v>KHF-00-104265-QA-5733-01302-0000-2</v>
          </cell>
          <cell r="B28" t="str">
            <v>AIP-YKP-JEL-P1701009-T-0011</v>
          </cell>
          <cell r="C28">
            <v>43528</v>
          </cell>
          <cell r="D28" t="str">
            <v>KHF-00-104265-QA-5733-01302-0000</v>
          </cell>
          <cell r="E28" t="str">
            <v>ITP FOR INSTALLATION OF GTG PACKAGE AND ITS AUXILIARIES</v>
          </cell>
          <cell r="F28">
            <v>2</v>
          </cell>
          <cell r="G28" t="str">
            <v>Code B</v>
          </cell>
        </row>
        <row r="29">
          <cell r="A29" t="str">
            <v>KHF-00-104265-QA-5733-01309-0000-1</v>
          </cell>
          <cell r="B29" t="str">
            <v>AIP-YKP-JEL-P1701009-T-0011</v>
          </cell>
          <cell r="C29">
            <v>43528</v>
          </cell>
          <cell r="D29" t="str">
            <v>KHF-00-104265-QA-5733-01309-0000</v>
          </cell>
          <cell r="E29" t="str">
            <v>ITP FOR INSTALLATION OF HRSG BOILER PRESSURE PARTS PIPING &amp; BOILER EXTERNAL PIPING</v>
          </cell>
          <cell r="F29">
            <v>1</v>
          </cell>
          <cell r="G29" t="str">
            <v>Code B</v>
          </cell>
        </row>
        <row r="30">
          <cell r="A30" t="str">
            <v>KHF-00-104265-QA-5733-01310-0000-1</v>
          </cell>
          <cell r="B30" t="str">
            <v>AIP-YKP-JEL-P1701009-T-0011</v>
          </cell>
          <cell r="C30">
            <v>43528</v>
          </cell>
          <cell r="D30" t="str">
            <v>KHF-00-104265-QA-5733-01310-0000</v>
          </cell>
          <cell r="E30" t="str">
            <v>ITP FOR INSTALLATION OF NON BOILER EXTERNAL AND GENERAL PIPING - CARBON STEEL</v>
          </cell>
          <cell r="F30">
            <v>1</v>
          </cell>
          <cell r="G30" t="str">
            <v>Code B</v>
          </cell>
        </row>
        <row r="31">
          <cell r="A31" t="str">
            <v>KHF-00-104265-BA-5736-01303-0000-1</v>
          </cell>
          <cell r="B31" t="str">
            <v>AIP-YKP-JEL-P1701009-T-0011</v>
          </cell>
          <cell r="C31">
            <v>43528</v>
          </cell>
          <cell r="D31" t="str">
            <v>KHF-00-104265-BA-5736-01303-0000</v>
          </cell>
          <cell r="E31" t="str">
            <v>Lifting plan for Mechanical Installation of HRSG Main Stack Assembly.</v>
          </cell>
          <cell r="F31">
            <v>1</v>
          </cell>
          <cell r="G31" t="str">
            <v>Code B</v>
          </cell>
        </row>
        <row r="32">
          <cell r="A32" t="str">
            <v>KHF-00-104265-BA-6065-01311-0000-1</v>
          </cell>
          <cell r="B32" t="str">
            <v>AIP-YKP-JEL-P1701009-T-0011</v>
          </cell>
          <cell r="C32">
            <v>43528</v>
          </cell>
          <cell r="D32" t="str">
            <v>KHF-00-104265-BA-6065-01311-0000</v>
          </cell>
          <cell r="E32" t="str">
            <v>WELDING PROCEDURE SPECIFICATION FOR STAINLESS STEEL WELDING WPS-513 &amp; PQR-513</v>
          </cell>
          <cell r="F32">
            <v>1</v>
          </cell>
          <cell r="G32" t="str">
            <v>Code D</v>
          </cell>
        </row>
        <row r="33">
          <cell r="A33" t="str">
            <v>KHF-00-104265-BA-6070-01301-0000-2</v>
          </cell>
          <cell r="B33" t="str">
            <v>AIP-YKP-JEL-P1701009-T-0012</v>
          </cell>
          <cell r="C33">
            <v>43529</v>
          </cell>
          <cell r="D33" t="str">
            <v>KHF-00-104265-BA-6070-01301-0000</v>
          </cell>
          <cell r="E33" t="str">
            <v>Method Of Statement For Installation HRSG Module</v>
          </cell>
          <cell r="F33">
            <v>2</v>
          </cell>
          <cell r="G33" t="str">
            <v>Code A</v>
          </cell>
        </row>
        <row r="34">
          <cell r="A34" t="str">
            <v>KHF-00-104265-BA-6070-01302-0000-2</v>
          </cell>
          <cell r="B34" t="str">
            <v>AIP-YKP-JEL-P1701009-T-0012</v>
          </cell>
          <cell r="C34">
            <v>43529</v>
          </cell>
          <cell r="D34" t="str">
            <v>KHF-00-104265-BA-6070-01302-0000</v>
          </cell>
          <cell r="E34" t="str">
            <v>Method Statement for Erection of HRSG Ducting and Main Stack</v>
          </cell>
          <cell r="F34">
            <v>2</v>
          </cell>
          <cell r="G34" t="str">
            <v>Code A</v>
          </cell>
        </row>
        <row r="35">
          <cell r="A35" t="str">
            <v>AIP-JEL-P1701009-YKP-L-0001--</v>
          </cell>
          <cell r="B35" t="str">
            <v>AIP-YKP-JEL-P1701009-T-0013</v>
          </cell>
          <cell r="C35">
            <v>43536</v>
          </cell>
          <cell r="D35" t="str">
            <v>AIP-JEL-P1701009-YKP-L-0001</v>
          </cell>
          <cell r="E35" t="str">
            <v>Notice of Default- Failure to Submit Weekly &amp; Monthly Reports</v>
          </cell>
          <cell r="F35" t="str">
            <v>-</v>
          </cell>
          <cell r="G35" t="str">
            <v>-</v>
          </cell>
        </row>
        <row r="36">
          <cell r="A36" t="str">
            <v>KHF-00-104265-QA-5733-01301-0000-2</v>
          </cell>
          <cell r="B36" t="str">
            <v>AIP-YKP-JEL-P1701009-T-0014</v>
          </cell>
          <cell r="C36">
            <v>43537</v>
          </cell>
          <cell r="D36" t="str">
            <v>KHF-00-104265-QA-5733-01301-0000</v>
          </cell>
          <cell r="E36" t="str">
            <v>ITP FOR INSTALLATION OF HRSG SYSTEM (MECHANICAL WORKS)</v>
          </cell>
          <cell r="F36">
            <v>2</v>
          </cell>
          <cell r="G36" t="str">
            <v>Code A</v>
          </cell>
        </row>
        <row r="37">
          <cell r="A37" t="str">
            <v>KHF-00-104265-BA-6070-01309-0000-1</v>
          </cell>
          <cell r="B37" t="str">
            <v>AIP-YKP-JEL-P1701009-T-0015</v>
          </cell>
          <cell r="C37">
            <v>43541</v>
          </cell>
          <cell r="D37" t="str">
            <v>KHF-00-104265-BA-6070-01309-0000</v>
          </cell>
          <cell r="E37" t="str">
            <v>Method Statement for Erection of Gas Turbine Exhaust Bypass System</v>
          </cell>
          <cell r="F37">
            <v>1</v>
          </cell>
          <cell r="G37" t="str">
            <v>Code B</v>
          </cell>
        </row>
        <row r="38">
          <cell r="A38" t="str">
            <v>KHF-00-104265-QA-5733-01309-0000-2</v>
          </cell>
          <cell r="B38" t="str">
            <v>AIP-YKP-JEL-P1701009-T-0015</v>
          </cell>
          <cell r="C38">
            <v>43541</v>
          </cell>
          <cell r="D38" t="str">
            <v>KHF-00-104265-QA-5733-01309-0000</v>
          </cell>
          <cell r="E38" t="str">
            <v>ITP FOR INSTALLATION OF HRSG BOILER PRESSURE PARTS PIPING &amp; BOILER EXTERNAL PIPING</v>
          </cell>
          <cell r="F38">
            <v>2</v>
          </cell>
          <cell r="G38" t="str">
            <v>Code A</v>
          </cell>
        </row>
        <row r="39">
          <cell r="A39" t="str">
            <v>KHF-00-104265-RA-6038-01305-0000-1</v>
          </cell>
          <cell r="B39" t="str">
            <v>AIP-YKP-JEL-P1701009-T-0015</v>
          </cell>
          <cell r="C39">
            <v>43541</v>
          </cell>
          <cell r="D39" t="str">
            <v>KHF-00-104265-RA-6038-01305-0000</v>
          </cell>
          <cell r="E39" t="str">
            <v>Procedure for Hardness Testing</v>
          </cell>
          <cell r="F39">
            <v>1</v>
          </cell>
          <cell r="G39" t="str">
            <v>Code B</v>
          </cell>
        </row>
        <row r="40">
          <cell r="A40" t="str">
            <v>KHF-00-104265-RA-6038-01306-0000-1</v>
          </cell>
          <cell r="B40" t="str">
            <v>AIP-YKP-JEL-P1701009-T-0015</v>
          </cell>
          <cell r="C40">
            <v>43541</v>
          </cell>
          <cell r="D40" t="str">
            <v>KHF-00-104265-RA-6038-01306-0000</v>
          </cell>
          <cell r="E40" t="str">
            <v>Procedure for Post Weld Heat Treatment for Piping</v>
          </cell>
          <cell r="F40">
            <v>1</v>
          </cell>
          <cell r="G40" t="str">
            <v>Code B</v>
          </cell>
        </row>
        <row r="41">
          <cell r="A41" t="str">
            <v>KHF-00-104265-RA-6038-01310-0000-1</v>
          </cell>
          <cell r="B41" t="str">
            <v>AIP-YKP-JEL-P1701009-T-0015</v>
          </cell>
          <cell r="C41">
            <v>43541</v>
          </cell>
          <cell r="D41" t="str">
            <v>KHF-00-104265-RA-6038-01310-0000</v>
          </cell>
          <cell r="E41" t="str">
            <v>Pre-Heating Procedure for Piping</v>
          </cell>
          <cell r="F41">
            <v>1</v>
          </cell>
          <cell r="G41" t="str">
            <v>Code B</v>
          </cell>
        </row>
        <row r="42">
          <cell r="A42" t="str">
            <v>AIP-JEL-P1701009-YKP-L-0002--</v>
          </cell>
          <cell r="B42" t="str">
            <v>AIP-YKP-JEL-P1701009-T-0016</v>
          </cell>
          <cell r="C42">
            <v>43542</v>
          </cell>
          <cell r="D42" t="str">
            <v>AIP-JEL-P1701009-YKP-L-0002</v>
          </cell>
          <cell r="E42" t="str">
            <v>Notice- Non-availability of accommodation</v>
          </cell>
          <cell r="F42" t="str">
            <v>-</v>
          </cell>
          <cell r="G42" t="str">
            <v>-</v>
          </cell>
        </row>
        <row r="43">
          <cell r="A43" t="str">
            <v>KHF-00-104265-QA-5733-01310-0000-2</v>
          </cell>
          <cell r="B43" t="str">
            <v>AIP-YKP-JEL-P1701009-T-0017</v>
          </cell>
          <cell r="C43">
            <v>43545</v>
          </cell>
          <cell r="D43" t="str">
            <v>KHF-00-104265-QA-5733-01310-0000</v>
          </cell>
          <cell r="E43" t="str">
            <v>ITP FOR INSTALLATION OF NON BOILER EXTERNAL AND GENERAL PIPING - CARBON STEEL</v>
          </cell>
          <cell r="F43">
            <v>2</v>
          </cell>
          <cell r="G43" t="str">
            <v>Code B</v>
          </cell>
        </row>
        <row r="44">
          <cell r="A44" t="str">
            <v>KHF-00-104265-RA-6038-01301-0000-1</v>
          </cell>
          <cell r="B44" t="str">
            <v>AIP-YKP-JEL-P1701009-T-0018</v>
          </cell>
          <cell r="C44">
            <v>43550</v>
          </cell>
          <cell r="D44" t="str">
            <v>KHF-00-104265-RA-6038-01301-0000</v>
          </cell>
          <cell r="E44" t="str">
            <v>Procedure for  Radiographic Examination for Piping Work</v>
          </cell>
          <cell r="F44">
            <v>1</v>
          </cell>
          <cell r="G44" t="str">
            <v>Code A</v>
          </cell>
        </row>
        <row r="45">
          <cell r="A45" t="str">
            <v>KHF-00-104265-RA-6038-01302-0000-1</v>
          </cell>
          <cell r="B45" t="str">
            <v>AIP-YKP-JEL-P1701009-T-0018</v>
          </cell>
          <cell r="C45">
            <v>43550</v>
          </cell>
          <cell r="D45" t="str">
            <v>KHF-00-104265-RA-6038-01302-0000</v>
          </cell>
          <cell r="E45" t="str">
            <v>Procedure  for Magnetic Particle Examination for Piping</v>
          </cell>
          <cell r="F45">
            <v>1</v>
          </cell>
          <cell r="G45" t="str">
            <v>Code A</v>
          </cell>
        </row>
        <row r="46">
          <cell r="A46" t="str">
            <v>KHF-00-104265-RA-6038-01303-0000-1</v>
          </cell>
          <cell r="B46" t="str">
            <v>AIP-YKP-JEL-P1701009-T-0018</v>
          </cell>
          <cell r="C46">
            <v>43550</v>
          </cell>
          <cell r="D46" t="str">
            <v>KHF-00-104265-RA-6038-01303-0000</v>
          </cell>
          <cell r="E46" t="str">
            <v>Procedure  for Liquid Penetrant Examination for Piping</v>
          </cell>
          <cell r="F46">
            <v>1</v>
          </cell>
          <cell r="G46" t="str">
            <v>Code A</v>
          </cell>
        </row>
        <row r="47">
          <cell r="A47" t="str">
            <v>KHF-00-104265-RA-6038-01304-0000-1</v>
          </cell>
          <cell r="B47" t="str">
            <v>AIP-YKP-JEL-P1701009-T-0018</v>
          </cell>
          <cell r="C47">
            <v>43550</v>
          </cell>
          <cell r="D47" t="str">
            <v>KHF-00-104265-RA-6038-01304-0000</v>
          </cell>
          <cell r="E47" t="str">
            <v>Procedure  for Ultrasonic Examination for Lamination Check and Thickness measurement for Piping</v>
          </cell>
          <cell r="F47">
            <v>1</v>
          </cell>
          <cell r="G47" t="str">
            <v>Code A</v>
          </cell>
        </row>
        <row r="48">
          <cell r="A48" t="str">
            <v>KHF-00-104265-RA-6038-01307-0000-1</v>
          </cell>
          <cell r="B48" t="str">
            <v>AIP-YKP-JEL-P1701009-T-0018</v>
          </cell>
          <cell r="C48">
            <v>43550</v>
          </cell>
          <cell r="D48" t="str">
            <v>KHF-00-104265-RA-6038-01307-0000</v>
          </cell>
          <cell r="E48" t="str">
            <v>Procedure for Radiographic Examination for Structure Work</v>
          </cell>
          <cell r="F48">
            <v>1</v>
          </cell>
          <cell r="G48" t="str">
            <v>Code A</v>
          </cell>
        </row>
        <row r="49">
          <cell r="A49" t="str">
            <v>KHF-00-104265-RA-6038-01308-0000-1</v>
          </cell>
          <cell r="B49" t="str">
            <v>AIP-YKP-JEL-P1701009-T-0018</v>
          </cell>
          <cell r="C49">
            <v>43550</v>
          </cell>
          <cell r="D49" t="str">
            <v>KHF-00-104265-RA-6038-01308-0000</v>
          </cell>
          <cell r="E49" t="str">
            <v>Procedure for Magnetic Particle Examination for Structure Work</v>
          </cell>
          <cell r="F49">
            <v>1</v>
          </cell>
          <cell r="G49" t="str">
            <v>Code A</v>
          </cell>
        </row>
        <row r="50">
          <cell r="A50" t="str">
            <v>KHF-00-104265-RA-6038-01309-0000-1</v>
          </cell>
          <cell r="B50" t="str">
            <v>AIP-YKP-JEL-P1701009-T-0018</v>
          </cell>
          <cell r="C50">
            <v>43550</v>
          </cell>
          <cell r="D50" t="str">
            <v>KHF-00-104265-RA-6038-01309-0000</v>
          </cell>
          <cell r="E50" t="str">
            <v>Procedure for Liquid Penetrant Examination for Structure Work</v>
          </cell>
          <cell r="F50">
            <v>1</v>
          </cell>
          <cell r="G50" t="str">
            <v>Code A</v>
          </cell>
        </row>
        <row r="51">
          <cell r="A51" t="str">
            <v>KHF-00-104265-QA-5733-01310-0000-3</v>
          </cell>
          <cell r="B51" t="str">
            <v>AIP-YKP-JEL-P1701009-T-0019</v>
          </cell>
          <cell r="C51">
            <v>43557</v>
          </cell>
          <cell r="D51" t="str">
            <v>KHF-00-104265-QA-5733-01310-0000</v>
          </cell>
          <cell r="E51" t="str">
            <v>ITP for Installation of Non Boiler External and General Piping - Carbon Steel</v>
          </cell>
          <cell r="F51">
            <v>3</v>
          </cell>
          <cell r="G51" t="str">
            <v>Code A</v>
          </cell>
        </row>
        <row r="52">
          <cell r="A52" t="str">
            <v>KHF-00-104265-QA-5733-01302-0000-3</v>
          </cell>
          <cell r="B52" t="str">
            <v>AIP-YKP-JEL-P1701009-T-0020</v>
          </cell>
          <cell r="C52">
            <v>43565</v>
          </cell>
          <cell r="D52" t="str">
            <v>KHF-00-104265-QA-5733-01302-0000</v>
          </cell>
          <cell r="E52" t="str">
            <v>ITP for Installation of GTG Package and its Auxiliaries (Mechanical Works)</v>
          </cell>
          <cell r="F52">
            <v>3</v>
          </cell>
          <cell r="G52" t="str">
            <v>Code A</v>
          </cell>
        </row>
        <row r="53">
          <cell r="A53" t="str">
            <v>KHF-00-104265-BA-6065-01307-0000-1</v>
          </cell>
          <cell r="B53" t="str">
            <v>AIP-YKP-JEL-P1701009-T-0020</v>
          </cell>
          <cell r="C53">
            <v>43565</v>
          </cell>
          <cell r="D53" t="str">
            <v>KHF-00-104265-BA-6065-01307-0000</v>
          </cell>
          <cell r="E53" t="str">
            <v>Welding Procedure Specification - Carbon Steel WPS No. JWPS-95 (Non-Sour Service)</v>
          </cell>
          <cell r="F53">
            <v>1</v>
          </cell>
          <cell r="G53" t="str">
            <v>Code B</v>
          </cell>
        </row>
        <row r="54">
          <cell r="A54" t="str">
            <v>KHF-00-104265-BA-6065-01308-0000-1</v>
          </cell>
          <cell r="B54" t="str">
            <v>AIP-YKP-JEL-P1701009-T-0020</v>
          </cell>
          <cell r="C54">
            <v>43565</v>
          </cell>
          <cell r="D54" t="str">
            <v>KHF-00-104265-BA-6065-01308-0000</v>
          </cell>
          <cell r="E54" t="str">
            <v>Welding Procedure Specification - Carbon Steel WPS No. JWPS-96 (Non-Sour Service)</v>
          </cell>
          <cell r="F54">
            <v>1</v>
          </cell>
          <cell r="G54" t="str">
            <v>Code B</v>
          </cell>
        </row>
        <row r="55">
          <cell r="A55" t="str">
            <v>KHF-00-104265-BA-5736-01304-0000-1</v>
          </cell>
          <cell r="B55" t="str">
            <v>AIP-YKP-JEL-P1701009-T-0021</v>
          </cell>
          <cell r="C55">
            <v>43573</v>
          </cell>
          <cell r="D55" t="str">
            <v>KHF-00-104265-BA-5736-01304-0000</v>
          </cell>
          <cell r="E55" t="str">
            <v>Lifting Plan for Mechanical Installation of Bypass Stack Diverter Damper Assembly</v>
          </cell>
          <cell r="F55">
            <v>1</v>
          </cell>
          <cell r="G55" t="str">
            <v>Code A</v>
          </cell>
        </row>
        <row r="56">
          <cell r="A56" t="str">
            <v>KHF-00-104265-BA-6070-01309-0000-2</v>
          </cell>
          <cell r="B56" t="str">
            <v>AIP-YKP-JEL-P1701009-T-0021</v>
          </cell>
          <cell r="C56">
            <v>43573</v>
          </cell>
          <cell r="D56" t="str">
            <v>KHF-00-104265-BA-6070-01309-0000</v>
          </cell>
          <cell r="E56" t="str">
            <v>Method of Statement for mechanical installation of Gas Turbine Exhaust Bypass System</v>
          </cell>
          <cell r="F56">
            <v>2</v>
          </cell>
          <cell r="G56" t="str">
            <v>Code A</v>
          </cell>
        </row>
        <row r="57">
          <cell r="A57" t="str">
            <v>KHF-00-104265-HX-6180-01301-0000-1</v>
          </cell>
          <cell r="B57" t="str">
            <v>AIP-YKP-JEL-P1701009-T-0021</v>
          </cell>
          <cell r="C57">
            <v>43573</v>
          </cell>
          <cell r="D57" t="str">
            <v>KHF-00-104265-HX-6180-01301-0000</v>
          </cell>
          <cell r="E57" t="str">
            <v>Radiation Safety Procedure by HITECH</v>
          </cell>
          <cell r="F57">
            <v>1</v>
          </cell>
          <cell r="G57" t="str">
            <v>Code A</v>
          </cell>
        </row>
        <row r="58">
          <cell r="A58" t="str">
            <v>KHF-00-104265-BA-6070-01310-0000-2</v>
          </cell>
          <cell r="B58" t="str">
            <v>AIP-YKP-JEL-P1701009-T-0022</v>
          </cell>
          <cell r="C58">
            <v>43578</v>
          </cell>
          <cell r="D58" t="str">
            <v>KHF-00-104265-BA-6070-01310-0000</v>
          </cell>
          <cell r="E58" t="str">
            <v>Method Statement for Mechanical Installation of Gas Turbine Generator Load Gear and its Auxiliaries</v>
          </cell>
          <cell r="F58">
            <v>2</v>
          </cell>
          <cell r="G58" t="str">
            <v>Code A</v>
          </cell>
        </row>
        <row r="59">
          <cell r="A59" t="str">
            <v>KHF-00-104265-AA-3341-01301-0000-1</v>
          </cell>
          <cell r="B59" t="str">
            <v>AIP-YKP-JEL-P1701009-T-0022</v>
          </cell>
          <cell r="C59">
            <v>43578</v>
          </cell>
          <cell r="D59" t="str">
            <v>KHF-00-104265-AA-3341-01301-0000</v>
          </cell>
          <cell r="E59" t="str">
            <v>CV OF MR. KESAVAN - HSE ADVISOR</v>
          </cell>
          <cell r="F59">
            <v>1</v>
          </cell>
          <cell r="G59" t="str">
            <v>Code A</v>
          </cell>
        </row>
        <row r="60">
          <cell r="A60" t="str">
            <v>KHF-00-104265-BA-6065-01311-0000-2</v>
          </cell>
          <cell r="B60" t="str">
            <v>AIP-YKP-JEL-P1701009-T-0022</v>
          </cell>
          <cell r="C60">
            <v>43578</v>
          </cell>
          <cell r="D60" t="str">
            <v>KHF-00-104265-BA-6065-01311-0000</v>
          </cell>
          <cell r="E60" t="str">
            <v>Welding Procedure Specification for Stainless Steel Welding WPS No-WPS 513 (Non-Sour Service)</v>
          </cell>
          <cell r="F60">
            <v>2</v>
          </cell>
          <cell r="G60" t="str">
            <v>Code B</v>
          </cell>
        </row>
        <row r="61">
          <cell r="A61" t="str">
            <v>KHF-00-104265-BA-6065-01313-0000-1</v>
          </cell>
          <cell r="B61" t="str">
            <v>AIP-YKP-JEL-P1701009-T-0022</v>
          </cell>
          <cell r="C61">
            <v>43578</v>
          </cell>
          <cell r="D61" t="str">
            <v>KHF-00-104265-BA-6065-01313-0000</v>
          </cell>
          <cell r="E61" t="str">
            <v>WPS &amp; PQR Register - Non Boiler External and General Piping (Non Sour Service)</v>
          </cell>
          <cell r="F61">
            <v>1</v>
          </cell>
          <cell r="G61" t="str">
            <v>Code B</v>
          </cell>
        </row>
        <row r="62">
          <cell r="A62" t="str">
            <v>KHF-00-104265-QA-6050-01301-0000-1</v>
          </cell>
          <cell r="B62" t="str">
            <v>AIP-YKP-JEL-P1701009-T-0023</v>
          </cell>
          <cell r="C62">
            <v>43584</v>
          </cell>
          <cell r="D62" t="str">
            <v>KHF-00-104265-QA-6050-01301-0000</v>
          </cell>
          <cell r="E62" t="str">
            <v>WELDING CONSUMABLE CONTROL PROCEDURE - JEL - HRSG &amp; GTG SCOPE</v>
          </cell>
          <cell r="F62">
            <v>1</v>
          </cell>
          <cell r="G62" t="str">
            <v>Code B</v>
          </cell>
        </row>
        <row r="63">
          <cell r="A63" t="str">
            <v>KHF-00-104265-QA-5733-01311-0000-1</v>
          </cell>
          <cell r="B63" t="str">
            <v>AIP-YKP-JEL-P1701009-T-0023</v>
          </cell>
          <cell r="C63">
            <v>43584</v>
          </cell>
          <cell r="D63" t="str">
            <v>KHF-00-104265-QA-5733-01311-0000</v>
          </cell>
          <cell r="E63" t="str">
            <v>ITP for Installation of Non Boiler External and General Piping - Stainless Steel</v>
          </cell>
          <cell r="F63">
            <v>1</v>
          </cell>
          <cell r="G63" t="str">
            <v>Code A</v>
          </cell>
        </row>
        <row r="64">
          <cell r="A64" t="str">
            <v>KHF-00-104265-RA-6038-01311-0000-1</v>
          </cell>
          <cell r="B64" t="str">
            <v>AIP-YKP-JEL-P1701009-T-0023</v>
          </cell>
          <cell r="C64">
            <v>43584</v>
          </cell>
          <cell r="D64" t="str">
            <v>KHF-00-104265-RA-6038-01311-0000</v>
          </cell>
          <cell r="E64" t="str">
            <v>Waste Management Procedure by Hitech</v>
          </cell>
          <cell r="F64">
            <v>1</v>
          </cell>
          <cell r="G64" t="str">
            <v>Code A</v>
          </cell>
        </row>
        <row r="65">
          <cell r="A65" t="str">
            <v>KHF-00-104265-AA-3341-01302-0000-1</v>
          </cell>
          <cell r="B65" t="str">
            <v>AIP-YKP-JEL-P1701009-T-0023</v>
          </cell>
          <cell r="C65">
            <v>43584</v>
          </cell>
          <cell r="D65" t="str">
            <v>KHF-00-104265-AA-3341-01302-0000</v>
          </cell>
          <cell r="E65" t="str">
            <v>CV of Mr. Ananta Kumar - HSE Advisor</v>
          </cell>
          <cell r="F65">
            <v>1</v>
          </cell>
          <cell r="G65" t="str">
            <v>Code A</v>
          </cell>
        </row>
        <row r="66">
          <cell r="A66" t="str">
            <v>KHF-00-104265-BA-6070-01303-0000-1</v>
          </cell>
          <cell r="B66" t="str">
            <v>AIP-YKP-JEL-P1701009-T-0024</v>
          </cell>
          <cell r="C66">
            <v>43587</v>
          </cell>
          <cell r="D66" t="str">
            <v>KHF-00-104265-BA-6070-01303-0000</v>
          </cell>
          <cell r="E66" t="str">
            <v>Method Statement for Mechanical Installation of HRSG pressure parts, piping, steam drum and HRSG auxiliaries</v>
          </cell>
          <cell r="F66">
            <v>1</v>
          </cell>
          <cell r="G66" t="str">
            <v>Code B</v>
          </cell>
        </row>
        <row r="67">
          <cell r="A67" t="str">
            <v>KHF-00-104265-BA-6070-01304-0000-1</v>
          </cell>
          <cell r="B67" t="str">
            <v>AIP-YKP-JEL-P1701009-T-0024</v>
          </cell>
          <cell r="C67">
            <v>43587</v>
          </cell>
          <cell r="D67" t="str">
            <v>KHF-00-104265-BA-6070-01304-0000</v>
          </cell>
          <cell r="E67" t="str">
            <v>Method Statement for Mechanical installation of GTG and HRSG Steel Structure Installation Works</v>
          </cell>
          <cell r="F67">
            <v>1</v>
          </cell>
          <cell r="G67" t="str">
            <v>Code B</v>
          </cell>
        </row>
        <row r="68">
          <cell r="A68" t="str">
            <v>KHF-23-PPFM033-ZV-C10-00051-0001-3</v>
          </cell>
          <cell r="B68" t="str">
            <v>AIP-YKP-JEL-P1701009-T-0025</v>
          </cell>
          <cell r="C68">
            <v>43600</v>
          </cell>
          <cell r="D68" t="str">
            <v>KHF-23-PPFM033-ZV-C10-00051-0001</v>
          </cell>
          <cell r="E68" t="str">
            <v>HRSG SMALL BORE PIPING ISOMETRIC DRAWINGS (A-2321)</v>
          </cell>
          <cell r="F68">
            <v>3</v>
          </cell>
          <cell r="G68" t="str">
            <v>-</v>
          </cell>
        </row>
        <row r="69">
          <cell r="A69" t="str">
            <v>KHF-00-104265-RA-6038-01305-0000-2</v>
          </cell>
          <cell r="B69" t="str">
            <v>AIP-YKP-JEL-P1701009-T-0026</v>
          </cell>
          <cell r="C69">
            <v>43601</v>
          </cell>
          <cell r="D69" t="str">
            <v>KHF-00-104265-RA-6038-01305-0000</v>
          </cell>
          <cell r="E69" t="str">
            <v>Procedure for Hardness Testing</v>
          </cell>
          <cell r="F69">
            <v>2</v>
          </cell>
          <cell r="G69" t="str">
            <v>Code A</v>
          </cell>
        </row>
        <row r="70">
          <cell r="A70" t="str">
            <v>KHF-00-104265-RA-6038-01310-0000-2</v>
          </cell>
          <cell r="B70" t="str">
            <v>AIP-YKP-JEL-P1701009-T-0026</v>
          </cell>
          <cell r="C70">
            <v>43601</v>
          </cell>
          <cell r="D70" t="str">
            <v>KHF-00-104265-RA-6038-01310-0000</v>
          </cell>
          <cell r="E70" t="str">
            <v>Pre-Heating Procedure for Piping</v>
          </cell>
          <cell r="F70">
            <v>2</v>
          </cell>
          <cell r="G70" t="str">
            <v>Code A</v>
          </cell>
        </row>
        <row r="71">
          <cell r="A71" t="str">
            <v>KHF-00-104265-BA-6065-01314-0000-1</v>
          </cell>
          <cell r="B71" t="str">
            <v>AIP-YKP-JEL-P1701009-T-0026</v>
          </cell>
          <cell r="C71">
            <v>43601</v>
          </cell>
          <cell r="D71" t="str">
            <v>KHF-00-104265-BA-6065-01314-0000</v>
          </cell>
          <cell r="E71" t="str">
            <v>Welding Procedure Specification - Pipe Support Welding JWPS-544 &amp; JPQR-544 (Non-Sour Service)</v>
          </cell>
          <cell r="F71">
            <v>1</v>
          </cell>
          <cell r="G71" t="str">
            <v>Code A</v>
          </cell>
        </row>
        <row r="72">
          <cell r="A72" t="str">
            <v>KHF-00-104265-BA-6065-01307-0000-2</v>
          </cell>
          <cell r="B72" t="str">
            <v>AIP-YKP-JEL-P1701009-T-0027</v>
          </cell>
          <cell r="C72">
            <v>43606</v>
          </cell>
          <cell r="D72" t="str">
            <v>KHF-00-104265-BA-6065-01307-0000</v>
          </cell>
          <cell r="E72" t="str">
            <v>Welding Procedure Specification - Carbon Steel JWPS-95 &amp; JPQR-95 (Non-Sour Service)</v>
          </cell>
          <cell r="F72">
            <v>2</v>
          </cell>
          <cell r="G72" t="str">
            <v>Code A</v>
          </cell>
        </row>
        <row r="73">
          <cell r="A73" t="str">
            <v>KHF-00-104265-BA-6065-01308-0000-2</v>
          </cell>
          <cell r="B73" t="str">
            <v>AIP-YKP-JEL-P1701009-T-0027</v>
          </cell>
          <cell r="C73">
            <v>43606</v>
          </cell>
          <cell r="D73" t="str">
            <v>KHF-00-104265-BA-6065-01308-0000</v>
          </cell>
          <cell r="E73" t="str">
            <v>Welding Procedure Specification - Carbon Steel JWPS-96 &amp; JPQR-96 (Non-Sour Service)</v>
          </cell>
          <cell r="F73">
            <v>2</v>
          </cell>
          <cell r="G73" t="str">
            <v>Code A</v>
          </cell>
        </row>
        <row r="74">
          <cell r="A74" t="str">
            <v>KHF-00-104265-BA-6065-01311-0000-3</v>
          </cell>
          <cell r="B74" t="str">
            <v>AIP-YKP-JEL-P1701009-T-0027</v>
          </cell>
          <cell r="C74">
            <v>43606</v>
          </cell>
          <cell r="D74" t="str">
            <v>KHF-00-104265-BA-6065-01311-0000</v>
          </cell>
          <cell r="E74" t="str">
            <v>Welding Procedure Specification for Stainless Steel Welding WPS-513 &amp; JPQR-542</v>
          </cell>
          <cell r="F74">
            <v>3</v>
          </cell>
          <cell r="G74" t="str">
            <v>Code A</v>
          </cell>
        </row>
        <row r="75">
          <cell r="A75" t="str">
            <v>KHF-00-104265-BA-6065-01313-0000-3</v>
          </cell>
          <cell r="B75" t="str">
            <v>AIP-YKP-JEL-P1701009-T-0027</v>
          </cell>
          <cell r="C75">
            <v>43606</v>
          </cell>
          <cell r="D75" t="str">
            <v>KHF-00-104265-BA-6065-01313-0000</v>
          </cell>
          <cell r="E75" t="str">
            <v>WPS &amp; PQR register for Non Boiler External &amp; General Piping (Non-Sour Service)</v>
          </cell>
          <cell r="F75">
            <v>3</v>
          </cell>
          <cell r="G75" t="str">
            <v>Code B</v>
          </cell>
        </row>
        <row r="76">
          <cell r="A76" t="str">
            <v>KHF-00-104265-BA-6065-01315-0000-1</v>
          </cell>
          <cell r="B76" t="str">
            <v>AIP-YKP-JEL-P1701009-T-0027</v>
          </cell>
          <cell r="C76">
            <v>43606</v>
          </cell>
          <cell r="D76" t="str">
            <v>KHF-00-104265-BA-6065-01315-0000</v>
          </cell>
          <cell r="E76" t="str">
            <v>Welding Procedure Specification - Dissimilar (P4-P8) Support Welding (A312TP316L Wear Pad to A387Gr11 Shoe/Siffner Plate Welding) JWPS-141 &amp; JPQR-141 (Non-Sour Service)</v>
          </cell>
          <cell r="F76">
            <v>1</v>
          </cell>
          <cell r="G76" t="str">
            <v>Code A</v>
          </cell>
        </row>
        <row r="77">
          <cell r="A77" t="str">
            <v>KHF-00-104265-BA-6065-01316-0000-1</v>
          </cell>
          <cell r="B77" t="str">
            <v>AIP-YKP-JEL-P1701009-T-0027</v>
          </cell>
          <cell r="C77">
            <v>43606</v>
          </cell>
          <cell r="D77" t="str">
            <v>KHF-00-104265-BA-6065-01316-0000</v>
          </cell>
          <cell r="E77" t="str">
            <v>Welding Procedure Specification - Structural Welding JWPS-410S &amp; JEL-PQR-SBRP1-SS409-01 (Non-Sour Service)</v>
          </cell>
          <cell r="F77">
            <v>1</v>
          </cell>
          <cell r="G77" t="str">
            <v>Code B</v>
          </cell>
        </row>
        <row r="78">
          <cell r="A78" t="str">
            <v>KHF-00-104265-QA-6050-01301-0000-2</v>
          </cell>
          <cell r="B78" t="str">
            <v>AIP-YKP-JEL-P1701009-T-0027</v>
          </cell>
          <cell r="C78">
            <v>43606</v>
          </cell>
          <cell r="D78" t="str">
            <v>KHF-00-104265-QA-6050-01301-0000</v>
          </cell>
          <cell r="E78" t="str">
            <v>Welding Consumable Control Procedure</v>
          </cell>
          <cell r="F78">
            <v>2</v>
          </cell>
          <cell r="G78" t="str">
            <v>Code A</v>
          </cell>
        </row>
        <row r="79">
          <cell r="A79" t="str">
            <v>KHF-00-104265-QA-6050-01302-0000-1</v>
          </cell>
          <cell r="B79" t="str">
            <v>AIP-YKP-JEL-P1701009-T-0027</v>
          </cell>
          <cell r="C79">
            <v>43606</v>
          </cell>
          <cell r="D79" t="str">
            <v>KHF-00-104265-QA-6050-01302-0000</v>
          </cell>
          <cell r="E79" t="str">
            <v>Weld Repair Procedure</v>
          </cell>
          <cell r="F79">
            <v>1</v>
          </cell>
          <cell r="G79" t="str">
            <v>Code D</v>
          </cell>
        </row>
        <row r="80">
          <cell r="A80" t="str">
            <v>AIP-JEL-P1701009-YKP-L-0003--</v>
          </cell>
          <cell r="B80" t="str">
            <v>AIP-YKP-JEL-P1701009-T-0028</v>
          </cell>
          <cell r="C80">
            <v>43618</v>
          </cell>
          <cell r="D80" t="str">
            <v>AIP-JEL-P1701009-YKP-L-0003</v>
          </cell>
          <cell r="E80" t="str">
            <v>Notice - Non Availability of Hydro Testing Engineer</v>
          </cell>
          <cell r="F80" t="str">
            <v>-</v>
          </cell>
          <cell r="G80" t="str">
            <v>-</v>
          </cell>
        </row>
        <row r="81">
          <cell r="A81" t="str">
            <v>KHF-00-104265-BA-6065-01302-0000-1</v>
          </cell>
          <cell r="B81" t="str">
            <v>AIP-YKP-JEL-P1701009-T-0029</v>
          </cell>
          <cell r="C81">
            <v>43619</v>
          </cell>
          <cell r="D81" t="str">
            <v>KHF-00-104265-BA-6065-01302-0000</v>
          </cell>
          <cell r="E81" t="str">
            <v>Non Sour Service  - Welding Procedure specification - JWPS-543 &amp; JPQR-543 - Grade P11</v>
          </cell>
          <cell r="F81">
            <v>1</v>
          </cell>
          <cell r="G81" t="str">
            <v>Code D</v>
          </cell>
        </row>
        <row r="82">
          <cell r="A82" t="str">
            <v>KHF-00-104265-BA-6065-01304-0000-1</v>
          </cell>
          <cell r="B82" t="str">
            <v>AIP-YKP-JEL-P1701009-T-0029</v>
          </cell>
          <cell r="C82">
            <v>43619</v>
          </cell>
          <cell r="D82" t="str">
            <v>KHF-00-104265-BA-6065-01304-0000</v>
          </cell>
          <cell r="E82" t="str">
            <v>Non Sour Service  - Welding Procedure specification for P1-P4 Dissimilar Welding JWPS - 06 &amp; JPQR - 06</v>
          </cell>
          <cell r="F82">
            <v>1</v>
          </cell>
          <cell r="G82" t="str">
            <v>Code B</v>
          </cell>
        </row>
        <row r="83">
          <cell r="A83" t="str">
            <v>KHF-00-104265-BA-6065-01317-0000-1</v>
          </cell>
          <cell r="B83" t="str">
            <v>AIP-YKP-JEL-P1701009-T-0029</v>
          </cell>
          <cell r="C83">
            <v>43619</v>
          </cell>
          <cell r="D83" t="str">
            <v>KHF-00-104265-BA-6065-01317-0000</v>
          </cell>
          <cell r="E83" t="str">
            <v>WPS &amp; PQR Register - Boiler and Boiler External Piping - Non Sour Service</v>
          </cell>
          <cell r="F83">
            <v>1</v>
          </cell>
          <cell r="G83" t="str">
            <v>Code C</v>
          </cell>
        </row>
        <row r="84">
          <cell r="A84" t="str">
            <v>KHF-00-104265-BA-6065-01318-0000-1</v>
          </cell>
          <cell r="B84" t="str">
            <v>AIP-YKP-JEL-P1701009-T-0029</v>
          </cell>
          <cell r="C84">
            <v>43619</v>
          </cell>
          <cell r="D84" t="str">
            <v>KHF-00-104265-BA-6065-01318-0000</v>
          </cell>
          <cell r="E84" t="str">
            <v>Non Sour Service  - Welding Procedure specification - Pipe Support Welding (SMAW) JWPS-544A &amp; JPQR-544</v>
          </cell>
          <cell r="F84">
            <v>1</v>
          </cell>
          <cell r="G84" t="str">
            <v>Code A</v>
          </cell>
        </row>
        <row r="85">
          <cell r="A85" t="str">
            <v>KHF-00-104265-RA-6038-01312-0000-1</v>
          </cell>
          <cell r="B85" t="str">
            <v>AIP-YKP-JEL-P1701009-T-0030</v>
          </cell>
          <cell r="C85">
            <v>43632</v>
          </cell>
          <cell r="D85" t="str">
            <v>KHF-00-104265-RA-6038-01312-0000</v>
          </cell>
          <cell r="E85" t="str">
            <v>Visual Testing Procedure By M/s HI TECH</v>
          </cell>
          <cell r="F85">
            <v>1</v>
          </cell>
          <cell r="G85" t="str">
            <v>Code B</v>
          </cell>
        </row>
        <row r="86">
          <cell r="A86" t="str">
            <v>KHF-00-104265-QA-6050-01302-0000-2</v>
          </cell>
          <cell r="B86" t="str">
            <v>AIP-YKP-JEL-P1701009-T-0031</v>
          </cell>
          <cell r="C86">
            <v>43635</v>
          </cell>
          <cell r="D86" t="str">
            <v>KHF-00-104265-QA-6050-01302-0000</v>
          </cell>
          <cell r="E86" t="str">
            <v>Weld Repair Procedure</v>
          </cell>
          <cell r="F86">
            <v>2</v>
          </cell>
          <cell r="G86" t="str">
            <v>Code B</v>
          </cell>
        </row>
        <row r="87">
          <cell r="A87" t="str">
            <v>KHF-00-104265-BA-6065-01302-0000-2</v>
          </cell>
          <cell r="B87" t="str">
            <v>AIP-YKP-JEL-P1701009-T-0032</v>
          </cell>
          <cell r="C87">
            <v>43640</v>
          </cell>
          <cell r="D87" t="str">
            <v>KHF-00-104265-BA-6065-01302-0000</v>
          </cell>
          <cell r="E87" t="str">
            <v>WELDING PROCEDURE SPECIFICATION - GRADE P11 JWPS-543 &amp; JPQR-543 (Non Sour Service)</v>
          </cell>
          <cell r="F87">
            <v>2</v>
          </cell>
          <cell r="G87" t="str">
            <v>Code A</v>
          </cell>
        </row>
        <row r="88">
          <cell r="A88" t="str">
            <v>KHF-00-104265-RA-6038-01314-0000-1</v>
          </cell>
          <cell r="B88" t="str">
            <v>AIP-YKP-JEL-P1701009-T-0033</v>
          </cell>
          <cell r="C88">
            <v>43642</v>
          </cell>
          <cell r="D88" t="str">
            <v>KHF-00-104265-RA-6038-01314-0000</v>
          </cell>
          <cell r="E88" t="str">
            <v>Ferrite Testing Procedure By M/s HI TECH</v>
          </cell>
          <cell r="F88">
            <v>1</v>
          </cell>
          <cell r="G88" t="str">
            <v>Code B</v>
          </cell>
        </row>
        <row r="89">
          <cell r="A89" t="str">
            <v>KHF-00-104265-BA-6065-01304-0000-2</v>
          </cell>
          <cell r="B89" t="str">
            <v>AIP-YKP-JEL-P1701009-T-0033</v>
          </cell>
          <cell r="C89">
            <v>43642</v>
          </cell>
          <cell r="D89" t="str">
            <v>KHF-00-104265-BA-6065-01304-0000</v>
          </cell>
          <cell r="E89" t="str">
            <v>Non Sour Service - Welding Procedure specification for P1-P4 Dissimilar Welding JWPS - 06 &amp; JPQR - 06</v>
          </cell>
          <cell r="F89">
            <v>2</v>
          </cell>
          <cell r="G89" t="str">
            <v>Code D</v>
          </cell>
        </row>
        <row r="90">
          <cell r="A90" t="str">
            <v>---</v>
          </cell>
          <cell r="B90" t="str">
            <v>AIP-YKP-JEL-P1701009-T-0034</v>
          </cell>
          <cell r="C90">
            <v>43646</v>
          </cell>
          <cell r="D90" t="str">
            <v>-</v>
          </cell>
          <cell r="E90" t="str">
            <v>Quality Dossier for all the Certificates related to HRSG</v>
          </cell>
          <cell r="F90" t="str">
            <v>-</v>
          </cell>
          <cell r="G90" t="str">
            <v>-</v>
          </cell>
        </row>
        <row r="91">
          <cell r="A91" t="str">
            <v>KHF-00-104265-BA-6065-01304-0000-3</v>
          </cell>
          <cell r="B91" t="str">
            <v>AIP-YKP-JEL-P1701009-T-0035</v>
          </cell>
          <cell r="C91">
            <v>43649</v>
          </cell>
          <cell r="D91" t="str">
            <v>KHF-00-104265-BA-6065-01304-0000</v>
          </cell>
          <cell r="E91" t="str">
            <v>Non Sour Service-Welding Procedure specification for P1-P4 Dissimilar Welding JWPS - 06 &amp; JPQR - 543</v>
          </cell>
          <cell r="F91">
            <v>3</v>
          </cell>
          <cell r="G91" t="str">
            <v>Code A</v>
          </cell>
        </row>
        <row r="92">
          <cell r="A92" t="str">
            <v>KHF-00-104265-BA-6065-01316-0000-2</v>
          </cell>
          <cell r="B92" t="str">
            <v>AIP-YKP-JEL-P1701009-T-0035</v>
          </cell>
          <cell r="C92">
            <v>43649</v>
          </cell>
          <cell r="D92" t="str">
            <v>KHF-00-104265-BA-6065-01316-0000</v>
          </cell>
          <cell r="E92" t="str">
            <v>Welding Procedure Specification - Structural Welding JWPS-410S &amp; JEL-PQR-SBRP1-SS409-01 (Non-Sour Service)</v>
          </cell>
          <cell r="F92">
            <v>2</v>
          </cell>
          <cell r="G92" t="str">
            <v>Code A</v>
          </cell>
        </row>
        <row r="93">
          <cell r="A93" t="str">
            <v>KHF-00-104265-RA-6038-01312-0000-2</v>
          </cell>
          <cell r="B93" t="str">
            <v>AIP-YKP-JEL-P1701009-T-0036</v>
          </cell>
          <cell r="C93">
            <v>43653</v>
          </cell>
          <cell r="D93" t="str">
            <v>KHF-00-104265-RA-6038-01312-0000</v>
          </cell>
          <cell r="E93" t="str">
            <v>Visual Testing Procedure By M/s Hitech</v>
          </cell>
          <cell r="F93">
            <v>2</v>
          </cell>
          <cell r="G93" t="str">
            <v>Code B</v>
          </cell>
        </row>
        <row r="94">
          <cell r="A94" t="str">
            <v>KHF-00-104265-RA-6038-01314-0000-2</v>
          </cell>
          <cell r="B94" t="str">
            <v>AIP-YKP-JEL-P1701009-T-0036</v>
          </cell>
          <cell r="C94">
            <v>43653</v>
          </cell>
          <cell r="D94" t="str">
            <v>KHF-00-104265-RA-6038-01314-0000</v>
          </cell>
          <cell r="E94" t="str">
            <v>Ferrite Testing Procedure</v>
          </cell>
          <cell r="F94">
            <v>2</v>
          </cell>
          <cell r="G94" t="str">
            <v>Code B</v>
          </cell>
        </row>
        <row r="95">
          <cell r="A95" t="str">
            <v>KHF-00-104265-BA-6070-01305-0000-1</v>
          </cell>
          <cell r="B95" t="str">
            <v>AIP-YKP-JEL-P1701009-T-0037</v>
          </cell>
          <cell r="C95">
            <v>43654</v>
          </cell>
          <cell r="D95" t="str">
            <v>KHF-00-104265-BA-6070-01305-0000</v>
          </cell>
          <cell r="E95" t="str">
            <v>Method Statement for HRSG Hydrostatic Pressure Test</v>
          </cell>
          <cell r="F95">
            <v>1</v>
          </cell>
          <cell r="G95" t="str">
            <v>Code A</v>
          </cell>
        </row>
        <row r="96">
          <cell r="A96" t="str">
            <v>KHF-00-104265-QA-6050-01302-0000-3</v>
          </cell>
          <cell r="B96" t="str">
            <v>AIP-YKP-JEL-P1701009-T-0038</v>
          </cell>
          <cell r="C96">
            <v>43661</v>
          </cell>
          <cell r="D96" t="str">
            <v>KHF-00-104265-QA-6050-01302-0000</v>
          </cell>
          <cell r="E96" t="str">
            <v>Weld Repair Procedure</v>
          </cell>
          <cell r="F96">
            <v>3</v>
          </cell>
          <cell r="G96" t="str">
            <v>Code A</v>
          </cell>
        </row>
        <row r="97">
          <cell r="A97" t="str">
            <v>KHF-00-104265-RA-6038-01315-0000-1</v>
          </cell>
          <cell r="B97" t="str">
            <v>AIP-YKP-JEL-P1701009-T-0039</v>
          </cell>
          <cell r="C97">
            <v>43663</v>
          </cell>
          <cell r="D97" t="str">
            <v>KHF-00-104265-RA-6038-01315-0000</v>
          </cell>
          <cell r="E97" t="str">
            <v>Procedure for Radiography Film Digitization by JEL (Hitech)</v>
          </cell>
          <cell r="F97">
            <v>1</v>
          </cell>
          <cell r="G97" t="str">
            <v>Code B</v>
          </cell>
        </row>
        <row r="98">
          <cell r="A98" t="str">
            <v>KHF-00-104265-RA-6038-01305-0000-3</v>
          </cell>
          <cell r="B98" t="str">
            <v>AIP-YKP-JEL-P1701009-T-0040</v>
          </cell>
          <cell r="C98">
            <v>43675</v>
          </cell>
          <cell r="D98" t="str">
            <v>KHF-00-104265-RA-6038-01305-0000</v>
          </cell>
          <cell r="E98" t="str">
            <v>Procedure for Hardness Testing</v>
          </cell>
          <cell r="F98">
            <v>3</v>
          </cell>
          <cell r="G98" t="str">
            <v>Code B</v>
          </cell>
        </row>
        <row r="99">
          <cell r="A99" t="str">
            <v>KHF-00-104265-RA-6038-01313-0000-1</v>
          </cell>
          <cell r="B99" t="str">
            <v>AIP-YKP-JEL-P1701009-T-0040</v>
          </cell>
          <cell r="C99">
            <v>43675</v>
          </cell>
          <cell r="D99" t="str">
            <v>KHF-00-104265-RA-6038-01313-0000</v>
          </cell>
          <cell r="E99" t="str">
            <v>Positive Material Identification Procedure By M/s HI TECH</v>
          </cell>
          <cell r="F99">
            <v>1</v>
          </cell>
          <cell r="G99" t="str">
            <v>Code B</v>
          </cell>
        </row>
        <row r="100">
          <cell r="A100" t="str">
            <v>KHF-00-104265-BA-6065-01312-0000-1</v>
          </cell>
          <cell r="B100" t="str">
            <v>AIP-YKP-JEL-P1701009-T-0041</v>
          </cell>
          <cell r="C100">
            <v>43684</v>
          </cell>
          <cell r="D100" t="str">
            <v>KHF-00-104265-BA-6065-01312-0000</v>
          </cell>
          <cell r="E100" t="str">
            <v>PWPS - HDPE Pipe Butt Fusion Jointing</v>
          </cell>
          <cell r="F100">
            <v>1</v>
          </cell>
          <cell r="G100" t="str">
            <v>Code D</v>
          </cell>
        </row>
        <row r="101">
          <cell r="A101" t="str">
            <v>KHF-00-104265-RA-6038-01301-0000-2</v>
          </cell>
          <cell r="B101" t="str">
            <v>AIP-YKP-JEL-P1701009-T-0041</v>
          </cell>
          <cell r="C101">
            <v>43684</v>
          </cell>
          <cell r="D101" t="str">
            <v>KHF-00-104265-RA-6038-01301-0000</v>
          </cell>
          <cell r="E101" t="str">
            <v>Procedure for Radiographic Examination for Piping Work</v>
          </cell>
          <cell r="F101">
            <v>2</v>
          </cell>
          <cell r="G101" t="str">
            <v>Code A</v>
          </cell>
        </row>
        <row r="102">
          <cell r="A102" t="str">
            <v>KHF-00-104265-RA-6038-01312-0000-3</v>
          </cell>
          <cell r="B102" t="str">
            <v>AIP-YKP-JEL-P1701009-T-0041</v>
          </cell>
          <cell r="C102">
            <v>43684</v>
          </cell>
          <cell r="D102" t="str">
            <v>KHF-00-104265-RA-6038-01312-0000</v>
          </cell>
          <cell r="E102" t="str">
            <v>Visual Testing Procedure By Hitech</v>
          </cell>
          <cell r="F102">
            <v>3</v>
          </cell>
          <cell r="G102" t="str">
            <v>Code B</v>
          </cell>
        </row>
        <row r="103">
          <cell r="A103" t="str">
            <v>KHF-00-104265-RA-6038-01313-0000-2</v>
          </cell>
          <cell r="B103" t="str">
            <v>AIP-YKP-JEL-P1701009-T-0042</v>
          </cell>
          <cell r="C103">
            <v>43705</v>
          </cell>
          <cell r="D103" t="str">
            <v>KHF-00-104265-RA-6038-01313-0000</v>
          </cell>
          <cell r="E103" t="str">
            <v>Positive Material Identification Procedure By M/s. HITECH</v>
          </cell>
          <cell r="F103">
            <v>2</v>
          </cell>
          <cell r="G103" t="str">
            <v>Code A</v>
          </cell>
        </row>
        <row r="104">
          <cell r="A104" t="str">
            <v>KHF-00-104265-RA-6038-01305-0000-4</v>
          </cell>
          <cell r="B104" t="str">
            <v>AIP-YKP-JEL-P1701009-T-0042</v>
          </cell>
          <cell r="C104">
            <v>43705</v>
          </cell>
          <cell r="D104" t="str">
            <v>KHF-00-104265-RA-6038-01305-0000</v>
          </cell>
          <cell r="E104" t="str">
            <v>Procedure for Hardness Testing</v>
          </cell>
          <cell r="F104">
            <v>4</v>
          </cell>
          <cell r="G104" t="str">
            <v>Code B</v>
          </cell>
        </row>
        <row r="105">
          <cell r="A105" t="str">
            <v>KHF-00-104265-AA-3341-01304-0000-1</v>
          </cell>
          <cell r="B105" t="str">
            <v>AIP-YKP-JEL-P1701009-T-0043</v>
          </cell>
          <cell r="C105">
            <v>43716</v>
          </cell>
          <cell r="D105" t="str">
            <v>KHF-00-104265-AA-3341-01304-0000</v>
          </cell>
          <cell r="E105" t="str">
            <v>CV OF MR. KIRUBAKARAN K - HYDROTEST ENGINEER</v>
          </cell>
          <cell r="F105">
            <v>1</v>
          </cell>
          <cell r="G105" t="str">
            <v>Code D</v>
          </cell>
        </row>
        <row r="106">
          <cell r="A106" t="str">
            <v>KHF-00-104265-RA-6038-01314-0000-3</v>
          </cell>
          <cell r="B106" t="str">
            <v>AIP-YKP-JEL-P1701009-T-0044</v>
          </cell>
          <cell r="C106">
            <v>43726</v>
          </cell>
          <cell r="D106" t="str">
            <v>KHF-00-104265-RA-6038-01314-0000</v>
          </cell>
          <cell r="E106" t="str">
            <v>Ferrite Testing Procedure</v>
          </cell>
          <cell r="F106">
            <v>3</v>
          </cell>
          <cell r="G106" t="str">
            <v>Code B</v>
          </cell>
        </row>
        <row r="107">
          <cell r="A107" t="str">
            <v>KHF-00-104265-RA-6038-01305-0000-5</v>
          </cell>
          <cell r="B107" t="str">
            <v>AIP-YKP-JEL-P1701009-T-0045</v>
          </cell>
          <cell r="C107">
            <v>43731</v>
          </cell>
          <cell r="D107" t="str">
            <v>KHF-00-104265-RA-6038-01305-0000</v>
          </cell>
          <cell r="E107" t="str">
            <v>Procedure for Hardness Testing</v>
          </cell>
          <cell r="F107">
            <v>5</v>
          </cell>
          <cell r="G107" t="str">
            <v>Code A</v>
          </cell>
        </row>
        <row r="108">
          <cell r="A108" t="str">
            <v>KHF-00-104265-RA-6038-01306-0000-2</v>
          </cell>
          <cell r="B108" t="str">
            <v>AIP-YKP-JEL-P1701009-T-0045</v>
          </cell>
          <cell r="C108">
            <v>43731</v>
          </cell>
          <cell r="D108" t="str">
            <v>KHF-00-104265-RA-6038-01306-0000</v>
          </cell>
          <cell r="E108" t="str">
            <v>Procedure for Post Weld Heat Treatment for Piping</v>
          </cell>
          <cell r="F108">
            <v>2</v>
          </cell>
          <cell r="G108" t="str">
            <v>Code A</v>
          </cell>
        </row>
        <row r="109">
          <cell r="A109" t="str">
            <v>KHF-00-104265-BA-6070-01313-0000-1</v>
          </cell>
          <cell r="B109" t="str">
            <v>AIP-YKP-JEL-P1701009-T-0045</v>
          </cell>
          <cell r="C109">
            <v>43731</v>
          </cell>
          <cell r="D109" t="str">
            <v>KHF-00-104265-BA-6070-01313-0000</v>
          </cell>
          <cell r="E109" t="str">
            <v>Method Statement for GTG &amp; GTEBS Oil Flushing</v>
          </cell>
          <cell r="F109">
            <v>1</v>
          </cell>
          <cell r="G109" t="str">
            <v>Code A</v>
          </cell>
        </row>
        <row r="110">
          <cell r="A110" t="str">
            <v>KHF-00-104265-RA-6038-01312-0000-4</v>
          </cell>
          <cell r="B110" t="str">
            <v>AIP-YKP-JEL-P1701009-T-0046</v>
          </cell>
          <cell r="C110">
            <v>43738</v>
          </cell>
          <cell r="D110" t="str">
            <v>KHF-00-104265-RA-6038-01312-0000</v>
          </cell>
          <cell r="E110" t="str">
            <v>VISUAL TESTING PROCEDURE BY HITECH</v>
          </cell>
          <cell r="F110">
            <v>4</v>
          </cell>
          <cell r="G110" t="str">
            <v>Code A</v>
          </cell>
        </row>
        <row r="111">
          <cell r="A111" t="str">
            <v>KHF-00-104265-BA-6065-01312-0000-2</v>
          </cell>
          <cell r="B111" t="str">
            <v>AIP-YKP-JEL-P1701009-T-0047</v>
          </cell>
          <cell r="C111">
            <v>43748</v>
          </cell>
          <cell r="D111" t="str">
            <v>KHF-00-104265-BA-6065-01312-0000</v>
          </cell>
          <cell r="E111" t="str">
            <v>PWPS-HDPE pipe Butt fusion jointing (AIP-WPS-HDPE-001)</v>
          </cell>
          <cell r="F111">
            <v>2</v>
          </cell>
          <cell r="G111" t="str">
            <v>Code C</v>
          </cell>
        </row>
        <row r="112">
          <cell r="A112" t="str">
            <v>KHF-00-104265-RA-6038-01314-0000-4</v>
          </cell>
          <cell r="B112" t="str">
            <v>AIP-YKP-JEL-P1701009-T-0048</v>
          </cell>
          <cell r="C112">
            <v>43754</v>
          </cell>
          <cell r="D112" t="str">
            <v>KHF-00-104265-RA-6038-01314-0000</v>
          </cell>
          <cell r="E112" t="str">
            <v>Ferrite Testing Procedure</v>
          </cell>
          <cell r="F112">
            <v>4</v>
          </cell>
          <cell r="G112" t="str">
            <v>Code A</v>
          </cell>
        </row>
        <row r="113">
          <cell r="A113" t="str">
            <v>KHF-00-104265-BA-6070-01314-0000-1</v>
          </cell>
          <cell r="B113" t="str">
            <v>AIP-YKP-JEL-P1701009-T-0048</v>
          </cell>
          <cell r="C113">
            <v>43754</v>
          </cell>
          <cell r="D113" t="str">
            <v>KHF-00-104265-BA-6070-01314-0000</v>
          </cell>
          <cell r="E113" t="str">
            <v>Method Statement for GTG and its Auxiliaries Piping Hydrostatic Pressure Test</v>
          </cell>
          <cell r="F113">
            <v>1</v>
          </cell>
          <cell r="G113" t="str">
            <v>Code B</v>
          </cell>
        </row>
        <row r="114">
          <cell r="A114" t="str">
            <v>AIP YKP-HSSE-C001--</v>
          </cell>
          <cell r="B114" t="str">
            <v>AIP-YKP-JEL-P1701009-T-0049</v>
          </cell>
          <cell r="C114">
            <v>43755</v>
          </cell>
          <cell r="D114" t="str">
            <v>AIP YKP-HSSE-C001</v>
          </cell>
          <cell r="E114" t="str">
            <v>HSSE Circular - Subcontractor employees, vehicle and equipment site mobilization requirements</v>
          </cell>
          <cell r="F114" t="str">
            <v>-</v>
          </cell>
          <cell r="G114" t="str">
            <v>-</v>
          </cell>
        </row>
        <row r="115">
          <cell r="A115" t="str">
            <v>KHF-00-104265-BA-6065-01313-0000-4</v>
          </cell>
          <cell r="B115" t="str">
            <v>AIP-YKP-JEL-P1701009-T-0050</v>
          </cell>
          <cell r="C115">
            <v>43758</v>
          </cell>
          <cell r="D115" t="str">
            <v>KHF-00-104265-BA-6065-01313-0000</v>
          </cell>
          <cell r="E115" t="str">
            <v>WPS &amp; PQR REGISTER - NON BOILER EXTERNAL AND GENERAL PIPING (Non-Sour Service)</v>
          </cell>
          <cell r="F115">
            <v>4</v>
          </cell>
          <cell r="G115" t="str">
            <v>Code C</v>
          </cell>
        </row>
        <row r="116">
          <cell r="A116" t="str">
            <v>KHF-00-104265-AA-3341-01304-0000-2</v>
          </cell>
          <cell r="B116" t="str">
            <v>AIP-YKP-JEL-P1701009-T-0051</v>
          </cell>
          <cell r="C116">
            <v>43762</v>
          </cell>
          <cell r="D116" t="str">
            <v>KHF-00-104265-AA-3341-01304-0000</v>
          </cell>
          <cell r="E116" t="str">
            <v>CV OF MR. KIRUBAKARAN K - HYDROTEST ENGINEER</v>
          </cell>
          <cell r="F116">
            <v>2</v>
          </cell>
          <cell r="G116" t="str">
            <v>Code 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going Transmittals to PDO"/>
      <sheetName val="Outgoing Letters to PDO"/>
    </sheetNames>
    <sheetDataSet>
      <sheetData sheetId="0">
        <row r="6">
          <cell r="A6" t="str">
            <v>KHF-00-104265-AA-3341-60001-0000-1</v>
          </cell>
          <cell r="B6" t="str">
            <v>AIP-PDO-P1701009-T-0001</v>
          </cell>
          <cell r="C6">
            <v>43011</v>
          </cell>
          <cell r="D6" t="str">
            <v>KHF-00-104265-AA-3341-60001-0000</v>
          </cell>
          <cell r="E6" t="str">
            <v>CV of Mr. J. ANTO JAYAREST - HSSE Manager</v>
          </cell>
          <cell r="F6">
            <v>1</v>
          </cell>
          <cell r="G6" t="str">
            <v>IFA</v>
          </cell>
        </row>
        <row r="7">
          <cell r="A7" t="str">
            <v>KHF-00-104265-AA-3341-60002-0000-1</v>
          </cell>
          <cell r="B7" t="str">
            <v>AIP-PDO-P1701009-T-0002</v>
          </cell>
          <cell r="C7">
            <v>43011</v>
          </cell>
          <cell r="D7" t="str">
            <v>KHF-00-104265-AA-3341-60002-0000</v>
          </cell>
          <cell r="E7" t="str">
            <v>CV of Mr. Akhosh Krishna - HSE Advisor</v>
          </cell>
          <cell r="F7">
            <v>1</v>
          </cell>
          <cell r="G7" t="str">
            <v>IFA</v>
          </cell>
        </row>
        <row r="8">
          <cell r="A8" t="str">
            <v>KHF-00-104265-AA-3341-60003-0000-1</v>
          </cell>
          <cell r="B8" t="str">
            <v>AIP-PDO-P1701009-T-0002</v>
          </cell>
          <cell r="C8">
            <v>43011</v>
          </cell>
          <cell r="D8" t="str">
            <v>KHF-00-104265-AA-3341-60003-0000</v>
          </cell>
          <cell r="E8" t="str">
            <v>CV of Mr. Sharon Jain Babu - HSE Advisor</v>
          </cell>
          <cell r="F8">
            <v>1</v>
          </cell>
          <cell r="G8" t="str">
            <v>IFA</v>
          </cell>
        </row>
        <row r="9">
          <cell r="A9" t="str">
            <v>KHF-00-104265-HX-5798-10004-0000-1</v>
          </cell>
          <cell r="B9" t="str">
            <v>AIP-PDO-P1701009-T-0003</v>
          </cell>
          <cell r="C9">
            <v>43011</v>
          </cell>
          <cell r="D9" t="str">
            <v>KHF-00-104265-HX-5798-10004-0000</v>
          </cell>
          <cell r="E9" t="str">
            <v>Contract HSE Plan</v>
          </cell>
          <cell r="F9">
            <v>1</v>
          </cell>
          <cell r="G9" t="str">
            <v>IFR</v>
          </cell>
        </row>
        <row r="10">
          <cell r="A10" t="str">
            <v>KHF-00-104265-AA-5880-10002-0000-1</v>
          </cell>
          <cell r="B10" t="str">
            <v>AIP-PDO-P1701009-T-0004</v>
          </cell>
          <cell r="C10">
            <v>43011</v>
          </cell>
          <cell r="D10" t="str">
            <v>KHF-00-104265-AA-5880-10002-0000</v>
          </cell>
          <cell r="E10" t="str">
            <v>Contractor Key Personnel Mobilisation Plan</v>
          </cell>
          <cell r="F10">
            <v>1</v>
          </cell>
          <cell r="G10" t="str">
            <v>IFR</v>
          </cell>
        </row>
        <row r="11">
          <cell r="A11" t="str">
            <v>KHF-00-104265-CX-4180-10005-0001-1</v>
          </cell>
          <cell r="B11" t="str">
            <v>AIP-PDO-P1701009-T-0005</v>
          </cell>
          <cell r="C11">
            <v>43012</v>
          </cell>
          <cell r="D11" t="str">
            <v>KHF-00-104265-CX-4180-10005-0001</v>
          </cell>
          <cell r="E11" t="str">
            <v>Site Camp Layout</v>
          </cell>
          <cell r="F11">
            <v>1</v>
          </cell>
          <cell r="G11" t="str">
            <v>IFR</v>
          </cell>
        </row>
        <row r="12">
          <cell r="A12" t="str">
            <v>KHF-00-104265-FA-5804-10011-0000-1</v>
          </cell>
          <cell r="B12" t="str">
            <v>AIP-PDO-P1701009-T-0006</v>
          </cell>
          <cell r="C12">
            <v>43012</v>
          </cell>
          <cell r="D12" t="str">
            <v>KHF-00-104265-FA-5804-10011-0000</v>
          </cell>
          <cell r="E12" t="str">
            <v>90 Days Work Plan</v>
          </cell>
          <cell r="F12">
            <v>1</v>
          </cell>
          <cell r="G12" t="str">
            <v>IFI</v>
          </cell>
        </row>
        <row r="13">
          <cell r="A13" t="str">
            <v>KHF-00-104265-AA-3341-60004-0000-1</v>
          </cell>
          <cell r="B13" t="str">
            <v>AIP-PDO-P1701009-T-0007</v>
          </cell>
          <cell r="C13">
            <v>43013</v>
          </cell>
          <cell r="D13" t="str">
            <v>KHF-00-104265-AA-3341-60004-0000</v>
          </cell>
          <cell r="E13" t="str">
            <v>CV of Mr. Hitarth U. Mehta - Industrial Hygenist</v>
          </cell>
          <cell r="F13">
            <v>1</v>
          </cell>
          <cell r="G13" t="str">
            <v>IFA</v>
          </cell>
        </row>
        <row r="14">
          <cell r="A14" t="str">
            <v>KHF-00-104265-AA-3341-60005-0000-1</v>
          </cell>
          <cell r="B14" t="str">
            <v>AIP-PDO-P1701009-T-0007</v>
          </cell>
          <cell r="C14">
            <v>43013</v>
          </cell>
          <cell r="D14" t="str">
            <v>KHF-00-104265-AA-3341-60005-0000</v>
          </cell>
          <cell r="E14" t="str">
            <v>CV of Mr. Majeesh Thokkanan - Industrial Hygenist</v>
          </cell>
          <cell r="F14">
            <v>1</v>
          </cell>
          <cell r="G14" t="str">
            <v>IFA</v>
          </cell>
        </row>
        <row r="15">
          <cell r="A15" t="str">
            <v>KHF-00-104265-AA-3341-60006-0000-1</v>
          </cell>
          <cell r="B15" t="str">
            <v>AIP-PDO-P1701009-T-0007</v>
          </cell>
          <cell r="C15">
            <v>43013</v>
          </cell>
          <cell r="D15" t="str">
            <v>KHF-00-104265-AA-3341-60006-0000</v>
          </cell>
          <cell r="E15" t="str">
            <v>CV of Mr. Nitin Bajaj - Industrial Hygenist</v>
          </cell>
          <cell r="F15">
            <v>1</v>
          </cell>
          <cell r="G15" t="str">
            <v>IFA</v>
          </cell>
        </row>
        <row r="16">
          <cell r="A16" t="str">
            <v>KHF-00-104265-AA-3341-60007-0000-1</v>
          </cell>
          <cell r="B16" t="str">
            <v>AIP-PDO-P1701009-T-0007</v>
          </cell>
          <cell r="C16">
            <v>43013</v>
          </cell>
          <cell r="D16" t="str">
            <v>KHF-00-104265-AA-3341-60007-0000</v>
          </cell>
          <cell r="E16" t="str">
            <v>CV of Mr. Vedparkash Yadav - Industrial Hygenist</v>
          </cell>
          <cell r="F16">
            <v>1</v>
          </cell>
          <cell r="G16" t="str">
            <v>IFA</v>
          </cell>
        </row>
        <row r="17">
          <cell r="A17" t="str">
            <v>KHF-00-104265-AA-3347-10001-0000-1</v>
          </cell>
          <cell r="B17" t="str">
            <v>AIP-PDO-P1701009-T-0008</v>
          </cell>
          <cell r="C17">
            <v>43016</v>
          </cell>
          <cell r="D17" t="str">
            <v>KHF-00-104265-AA-3347-10001-0000</v>
          </cell>
          <cell r="E17" t="str">
            <v>Minutes of Meeting - Weekly Review Meeting No.01</v>
          </cell>
          <cell r="F17">
            <v>1</v>
          </cell>
          <cell r="G17" t="str">
            <v>IFI</v>
          </cell>
        </row>
        <row r="18">
          <cell r="A18" t="str">
            <v>KHF-00-104265-AA-3347-00501-0000-1</v>
          </cell>
          <cell r="B18" t="str">
            <v>AIP-PDO-P1701009-T-0008</v>
          </cell>
          <cell r="C18">
            <v>43016</v>
          </cell>
          <cell r="D18" t="str">
            <v>KHF-00-104265-AA-3347-00501-0000</v>
          </cell>
          <cell r="E18" t="str">
            <v>Minutes of Meeting - Project Kick-Off Meeting (KOM)</v>
          </cell>
          <cell r="F18">
            <v>1</v>
          </cell>
          <cell r="G18" t="str">
            <v>IFI</v>
          </cell>
        </row>
        <row r="19">
          <cell r="A19" t="str">
            <v>KHF-00-104265-HX-6180-10012-0000-1</v>
          </cell>
          <cell r="B19" t="str">
            <v>AIP-PDO-P1701009-T-0009</v>
          </cell>
          <cell r="C19">
            <v>43018</v>
          </cell>
          <cell r="D19" t="str">
            <v>KHF-00-104265-HX-6180-10012-0000</v>
          </cell>
          <cell r="E19" t="str">
            <v>Permit to Work Procedure (Greenfield)</v>
          </cell>
          <cell r="F19">
            <v>1</v>
          </cell>
          <cell r="G19" t="str">
            <v>IFR</v>
          </cell>
        </row>
        <row r="20">
          <cell r="A20" t="str">
            <v>KHF-00-104265-AA-3341-60008-0000-1</v>
          </cell>
          <cell r="B20" t="str">
            <v>AIP-PDO-P1701009-T-0010</v>
          </cell>
          <cell r="C20">
            <v>43018</v>
          </cell>
          <cell r="D20" t="str">
            <v>KHF-00-104265-AA-3341-60008-0000</v>
          </cell>
          <cell r="E20" t="str">
            <v>CV of Mr. Shrikant Krishnaji Kulkarni - Quality Manager</v>
          </cell>
          <cell r="F20">
            <v>1</v>
          </cell>
          <cell r="G20" t="str">
            <v>IFA</v>
          </cell>
        </row>
        <row r="21">
          <cell r="A21" t="str">
            <v>KHF-00-104265-HX-4380-10013-0000-1</v>
          </cell>
          <cell r="B21" t="str">
            <v>AIP-PDO-P1701009-T-0011</v>
          </cell>
          <cell r="C21">
            <v>43019</v>
          </cell>
          <cell r="D21" t="str">
            <v>KHF-00-104265-HX-4380-10013-0000</v>
          </cell>
          <cell r="E21" t="str">
            <v>HSE Training Matrix</v>
          </cell>
          <cell r="F21">
            <v>1</v>
          </cell>
          <cell r="G21" t="str">
            <v>IFR</v>
          </cell>
        </row>
        <row r="22">
          <cell r="A22" t="str">
            <v>KHF-00-104265-HX-6613-10015-0000-1</v>
          </cell>
          <cell r="B22" t="str">
            <v>AIP-PDO-P1701009-T-0012</v>
          </cell>
          <cell r="C22">
            <v>43020</v>
          </cell>
          <cell r="D22" t="str">
            <v>KHF-00-104265-HX-6613-10015-0000</v>
          </cell>
          <cell r="E22" t="str">
            <v>Construction Camp and early works HEMP register</v>
          </cell>
          <cell r="F22">
            <v>1</v>
          </cell>
          <cell r="G22" t="str">
            <v>IFR</v>
          </cell>
        </row>
        <row r="23">
          <cell r="A23" t="str">
            <v>KHF-00-104265-HX-5880-10014-0000-1</v>
          </cell>
          <cell r="B23" t="str">
            <v>AIP-PDO-P1701009-T-0013</v>
          </cell>
          <cell r="C23">
            <v>43020</v>
          </cell>
          <cell r="D23" t="str">
            <v>KHF-00-104265-HX-5880-10014-0000</v>
          </cell>
          <cell r="E23" t="str">
            <v>HSE Monitoring Plan</v>
          </cell>
          <cell r="F23">
            <v>1</v>
          </cell>
          <cell r="G23" t="str">
            <v>IFR</v>
          </cell>
        </row>
        <row r="24">
          <cell r="A24" t="str">
            <v>KHF-00-104265-AA-3341-60011-0000-1</v>
          </cell>
          <cell r="B24" t="str">
            <v>AIP-PDO-P1701009-T-0014</v>
          </cell>
          <cell r="C24">
            <v>43020</v>
          </cell>
          <cell r="D24" t="str">
            <v>KHF-00-104265-AA-3341-60011-0000</v>
          </cell>
          <cell r="E24" t="str">
            <v>CV of Mr. Mani Muruganandan - Construction Manager</v>
          </cell>
          <cell r="F24">
            <v>1</v>
          </cell>
          <cell r="G24" t="str">
            <v>IFA</v>
          </cell>
        </row>
        <row r="25">
          <cell r="A25" t="str">
            <v>KHF-00-104265-AA-3341-60012-0000-1</v>
          </cell>
          <cell r="B25" t="str">
            <v>AIP-PDO-P1701009-T-0015</v>
          </cell>
          <cell r="C25">
            <v>43020</v>
          </cell>
          <cell r="D25" t="str">
            <v>KHF-00-104265-AA-3341-60012-0000</v>
          </cell>
          <cell r="E25" t="str">
            <v>CV of Mr. Srinivasa Rao Ramineni  - Construction Manager</v>
          </cell>
          <cell r="F25">
            <v>1</v>
          </cell>
          <cell r="G25" t="str">
            <v>IFA</v>
          </cell>
        </row>
        <row r="26">
          <cell r="A26" t="str">
            <v>KHF-00-104265-AA-3341-60013-0000-1</v>
          </cell>
          <cell r="B26" t="str">
            <v>AIP-PDO-P1701009-T-0016</v>
          </cell>
          <cell r="C26">
            <v>43023</v>
          </cell>
          <cell r="D26" t="str">
            <v>KHF-00-104265-AA-3341-60013-0000</v>
          </cell>
          <cell r="E26" t="str">
            <v>CV of Mr. Mahesh Kumar Jakhar - Industrial Hygienist</v>
          </cell>
          <cell r="F26">
            <v>1</v>
          </cell>
          <cell r="G26" t="str">
            <v>IFA</v>
          </cell>
        </row>
        <row r="27">
          <cell r="A27" t="str">
            <v>KHF-00-104265-AA-5804-10016-0000-1</v>
          </cell>
          <cell r="B27" t="str">
            <v>AIP-PDO-P1701009-T-0017</v>
          </cell>
          <cell r="C27">
            <v>43023</v>
          </cell>
          <cell r="D27" t="str">
            <v>KHF-00-104265-AA-5804-10016-0000</v>
          </cell>
          <cell r="E27" t="str">
            <v>Third Party Approval Consent Matrix and Schedule</v>
          </cell>
          <cell r="F27">
            <v>1</v>
          </cell>
          <cell r="G27" t="str">
            <v>IFR</v>
          </cell>
        </row>
        <row r="28">
          <cell r="A28" t="str">
            <v>KHF-00-104265-HX-5798-10004-0000-2</v>
          </cell>
          <cell r="B28" t="str">
            <v>AIP-PDO-P1701009-T-0018</v>
          </cell>
          <cell r="C28">
            <v>43023</v>
          </cell>
          <cell r="D28" t="str">
            <v>KHF-00-104265-HX-5798-10004-0000</v>
          </cell>
          <cell r="E28" t="str">
            <v>Contract HSE Plan</v>
          </cell>
          <cell r="F28">
            <v>2</v>
          </cell>
          <cell r="G28" t="str">
            <v>IFA</v>
          </cell>
        </row>
        <row r="29">
          <cell r="A29" t="str">
            <v>KHF-00-104265-AA-3347-10002-0000-1</v>
          </cell>
          <cell r="B29" t="str">
            <v>AIP-PDO-P1701009-T-0019</v>
          </cell>
          <cell r="C29">
            <v>43024</v>
          </cell>
          <cell r="D29" t="str">
            <v>KHF-00-104265-AA-3347-10002-0000</v>
          </cell>
          <cell r="E29" t="str">
            <v>Minutes of Meeting - Weekly Review Meeting No.02</v>
          </cell>
          <cell r="F29">
            <v>1</v>
          </cell>
          <cell r="G29" t="str">
            <v>IFI</v>
          </cell>
        </row>
        <row r="30">
          <cell r="A30" t="str">
            <v>KHF-00-104265-HX-6019-10017-0000-1</v>
          </cell>
          <cell r="B30" t="str">
            <v>AIP-PDO-P1701009-T-0020</v>
          </cell>
          <cell r="C30">
            <v>43024</v>
          </cell>
          <cell r="D30" t="str">
            <v>KHF-00-104265-HX-6019-10017-0000</v>
          </cell>
          <cell r="E30" t="str">
            <v>Emergency Response Procedure</v>
          </cell>
          <cell r="F30">
            <v>1</v>
          </cell>
          <cell r="G30" t="str">
            <v>IFR</v>
          </cell>
        </row>
        <row r="31">
          <cell r="A31" t="str">
            <v>KHF-00-104265-CX-4180-10005-0001-2</v>
          </cell>
          <cell r="B31" t="str">
            <v>AIP-PDO-P1701009-T-0021</v>
          </cell>
          <cell r="C31">
            <v>43025</v>
          </cell>
          <cell r="D31" t="str">
            <v>KHF-00-104265-CX-4180-10005-0001</v>
          </cell>
          <cell r="E31" t="str">
            <v>Site Camp Layout</v>
          </cell>
          <cell r="F31">
            <v>2</v>
          </cell>
          <cell r="G31" t="str">
            <v>IFA</v>
          </cell>
        </row>
        <row r="32">
          <cell r="A32" t="str">
            <v>KHF-00-104265-AA-3341-60014-0000-1</v>
          </cell>
          <cell r="B32" t="str">
            <v>AIP-PDO-P1701009-T-0022</v>
          </cell>
          <cell r="C32">
            <v>43030</v>
          </cell>
          <cell r="D32" t="str">
            <v>KHF-00-104265-AA-3341-60014-0000</v>
          </cell>
          <cell r="E32" t="str">
            <v>CV of Mr. Joseph Antony - Hydro Testing Engineer</v>
          </cell>
          <cell r="F32">
            <v>1</v>
          </cell>
          <cell r="G32" t="str">
            <v>IFA</v>
          </cell>
        </row>
        <row r="33">
          <cell r="A33" t="str">
            <v>KHF-00-104265-AA-3341-60015-0000-1</v>
          </cell>
          <cell r="B33" t="str">
            <v>AIP-PDO-P1701009-T-0023</v>
          </cell>
          <cell r="C33">
            <v>43031</v>
          </cell>
          <cell r="D33" t="str">
            <v>KHF-00-104265-AA-3341-60015-0000</v>
          </cell>
          <cell r="E33" t="str">
            <v>CV of Mr. Sanjeeva Tella - Project Quality Manager</v>
          </cell>
          <cell r="F33">
            <v>1</v>
          </cell>
          <cell r="G33" t="str">
            <v>IFA</v>
          </cell>
        </row>
        <row r="34">
          <cell r="A34" t="str">
            <v>KHF-00-104265-AA-3341-60016-0000-1</v>
          </cell>
          <cell r="B34" t="str">
            <v>AIP-PDO-P1701009-T-0024</v>
          </cell>
          <cell r="C34">
            <v>43032</v>
          </cell>
          <cell r="D34" t="str">
            <v>KHF-00-104265-AA-3341-60016-0000</v>
          </cell>
          <cell r="E34" t="str">
            <v>CV of Mr. Jagadeesh Indana - Lead QA/QC Engineer</v>
          </cell>
          <cell r="F34">
            <v>1</v>
          </cell>
          <cell r="G34" t="str">
            <v>IFR</v>
          </cell>
        </row>
        <row r="35">
          <cell r="A35" t="str">
            <v>KHF-00-104265-AA-3341-60017-0000-1</v>
          </cell>
          <cell r="B35" t="str">
            <v>AIP-PDO-P1701009-T-0025</v>
          </cell>
          <cell r="C35">
            <v>43032</v>
          </cell>
          <cell r="D35" t="str">
            <v>KHF-00-104265-AA-3341-60017-0000</v>
          </cell>
          <cell r="E35" t="str">
            <v>CV of Mr. Tara Sankar Rath - Civil Engineer</v>
          </cell>
          <cell r="F35">
            <v>1</v>
          </cell>
          <cell r="G35" t="str">
            <v>IFA</v>
          </cell>
        </row>
        <row r="36">
          <cell r="A36" t="str">
            <v>KHF-00-104265-JA-6017-10010-0000-1</v>
          </cell>
          <cell r="B36" t="str">
            <v>AIP-PDO-P1701009-T-0026</v>
          </cell>
          <cell r="C36">
            <v>43033</v>
          </cell>
          <cell r="D36" t="str">
            <v>KHF-00-104265-JA-6017-10010-0000</v>
          </cell>
          <cell r="E36" t="str">
            <v>Information Management Plan</v>
          </cell>
          <cell r="F36">
            <v>1</v>
          </cell>
          <cell r="G36" t="str">
            <v>IFR</v>
          </cell>
        </row>
        <row r="37">
          <cell r="A37" t="str">
            <v>KHF-00-104265-FA-5804-10027-0000-1</v>
          </cell>
          <cell r="B37" t="str">
            <v>AIP-PDO-P1701009-T-0027</v>
          </cell>
          <cell r="C37">
            <v>43034</v>
          </cell>
          <cell r="D37" t="str">
            <v>KHF-00-104265-FA-5804-10027-0000</v>
          </cell>
          <cell r="E37" t="str">
            <v>Project Event Calendar</v>
          </cell>
          <cell r="F37">
            <v>1</v>
          </cell>
          <cell r="G37" t="str">
            <v>IFR</v>
          </cell>
        </row>
        <row r="38">
          <cell r="A38" t="str">
            <v>KHF-00-104265-AA-3341-60010-0000-1</v>
          </cell>
          <cell r="B38" t="str">
            <v>AIP-PDO-P1701009-T-0028</v>
          </cell>
          <cell r="C38">
            <v>43036</v>
          </cell>
          <cell r="D38" t="str">
            <v>KHF-00-104265-AA-3341-60010-0000</v>
          </cell>
          <cell r="E38" t="str">
            <v>CV of  Mr. Ayyapan  Venkatesan - Project Controls/Planning Manager</v>
          </cell>
          <cell r="F38">
            <v>1</v>
          </cell>
          <cell r="G38" t="str">
            <v>IFA</v>
          </cell>
        </row>
        <row r="39">
          <cell r="A39" t="str">
            <v>KHF-00-104265-AA-5768-10028-0000-1</v>
          </cell>
          <cell r="B39" t="str">
            <v>AIP-PDO-P1701009-T-0029</v>
          </cell>
          <cell r="C39">
            <v>43036</v>
          </cell>
          <cell r="D39" t="str">
            <v>KHF-00-104265-AA-5768-10028-0000</v>
          </cell>
          <cell r="E39" t="str">
            <v xml:space="preserve">Risk Management Plan and Strategies </v>
          </cell>
          <cell r="F39">
            <v>1</v>
          </cell>
          <cell r="G39" t="str">
            <v>IFR</v>
          </cell>
        </row>
        <row r="40">
          <cell r="A40" t="str">
            <v>KHF-00-104265-AA-3341-60018-0000-1</v>
          </cell>
          <cell r="B40" t="str">
            <v>AIP-PDO-P1701009-T-0030</v>
          </cell>
          <cell r="C40">
            <v>43036</v>
          </cell>
          <cell r="D40" t="str">
            <v>KHF-00-104265-AA-3341-60018-0000</v>
          </cell>
          <cell r="E40" t="str">
            <v>CV of Mr. Kamraj Janakiraman - Construction Engineer - Electrical</v>
          </cell>
          <cell r="F40">
            <v>1</v>
          </cell>
          <cell r="G40" t="str">
            <v>IFA</v>
          </cell>
        </row>
        <row r="41">
          <cell r="A41" t="str">
            <v>KHF-00-104265-AA-3341-60009-0000-1</v>
          </cell>
          <cell r="B41" t="str">
            <v>AIP-PDO-P1701009-T-0031</v>
          </cell>
          <cell r="C41">
            <v>43037</v>
          </cell>
          <cell r="D41" t="str">
            <v>KHF-00-104265-AA-3341-60009-0000</v>
          </cell>
          <cell r="E41" t="str">
            <v>CV of Mr. Abeeth Abdul Rasak  - Procurement Manager</v>
          </cell>
          <cell r="F41">
            <v>1</v>
          </cell>
          <cell r="G41" t="str">
            <v>IFA</v>
          </cell>
        </row>
        <row r="42">
          <cell r="A42" t="str">
            <v>KHF-00-104265-AA-3341-60019-0000-1</v>
          </cell>
          <cell r="B42" t="str">
            <v>AIP-PDO-P1701009-T-0032</v>
          </cell>
          <cell r="C42">
            <v>43037</v>
          </cell>
          <cell r="D42" t="str">
            <v>KHF-00-104265-AA-3341-60019-0000</v>
          </cell>
          <cell r="E42" t="str">
            <v>CV of Mr. R. Durairaj - Construction Engineer Pipeline</v>
          </cell>
          <cell r="F42">
            <v>1</v>
          </cell>
          <cell r="G42" t="str">
            <v>IFA</v>
          </cell>
        </row>
        <row r="43">
          <cell r="A43" t="str">
            <v>KHF-00-104265-AA-3341-60020-0000-1</v>
          </cell>
          <cell r="B43" t="str">
            <v>AIP-PDO-P1701009-T-0032</v>
          </cell>
          <cell r="C43">
            <v>43037</v>
          </cell>
          <cell r="D43" t="str">
            <v>KHF-00-104265-AA-3341-60020-0000</v>
          </cell>
          <cell r="E43" t="str">
            <v>CV of Mr. K. Balaji  - Lead Field Pipeline Engineer</v>
          </cell>
          <cell r="F43">
            <v>1</v>
          </cell>
          <cell r="G43" t="str">
            <v>IFA</v>
          </cell>
        </row>
        <row r="44">
          <cell r="A44" t="str">
            <v>KHF-00-104265-AA-3341-60021-0000-1</v>
          </cell>
          <cell r="B44" t="str">
            <v>AIP-PDO-P1701009-T-0032</v>
          </cell>
          <cell r="C44">
            <v>43037</v>
          </cell>
          <cell r="D44" t="str">
            <v>KHF-00-104265-AA-3341-60021-0000</v>
          </cell>
          <cell r="E44" t="str">
            <v>CV of Mr. Nikhlesh Pratap Chand - Construction Engineer Pipeline</v>
          </cell>
          <cell r="F44">
            <v>1</v>
          </cell>
          <cell r="G44" t="str">
            <v>IFA</v>
          </cell>
        </row>
        <row r="45">
          <cell r="A45" t="str">
            <v>KHF-00-104265-AA-3341-60022-0000-1</v>
          </cell>
          <cell r="B45" t="str">
            <v>AIP-PDO-P1701009-T-0033</v>
          </cell>
          <cell r="C45">
            <v>43037</v>
          </cell>
          <cell r="D45" t="str">
            <v>KHF-00-104265-AA-3341-60022-0000</v>
          </cell>
          <cell r="E45" t="str">
            <v>CV of Mr. S. Mohan - Piping Engineer</v>
          </cell>
          <cell r="F45">
            <v>1</v>
          </cell>
          <cell r="G45" t="str">
            <v>IFA</v>
          </cell>
        </row>
        <row r="46">
          <cell r="A46" t="str">
            <v>KHF-00-104265-AA-3341-60023-0000-1</v>
          </cell>
          <cell r="B46" t="str">
            <v>AIP-PDO-P1701009-T-0033</v>
          </cell>
          <cell r="C46">
            <v>43037</v>
          </cell>
          <cell r="D46" t="str">
            <v>KHF-00-104265-AA-3341-60023-0000</v>
          </cell>
          <cell r="E46" t="str">
            <v>CV of Mr. Sivakumar Gunaseelan - Piping Engineer</v>
          </cell>
          <cell r="F46">
            <v>1</v>
          </cell>
          <cell r="G46" t="str">
            <v>IFA</v>
          </cell>
        </row>
        <row r="47">
          <cell r="A47" t="str">
            <v>KHF-00-104265-AA-3341-60024-0000-1</v>
          </cell>
          <cell r="B47" t="str">
            <v>AIP-PDO-P1701009-T-0034</v>
          </cell>
          <cell r="C47">
            <v>43037</v>
          </cell>
          <cell r="D47" t="str">
            <v>KHF-00-104265-AA-3341-60024-0000</v>
          </cell>
          <cell r="E47" t="str">
            <v>CV of Mr. Perumal Veeramalai - Interface Engineer</v>
          </cell>
          <cell r="F47">
            <v>1</v>
          </cell>
          <cell r="G47" t="str">
            <v>IFA</v>
          </cell>
        </row>
        <row r="48">
          <cell r="A48" t="str">
            <v>KHF-00-104265-AA-3341-60025-0000-1</v>
          </cell>
          <cell r="B48" t="str">
            <v>AIP-PDO-P1701009-T-0035</v>
          </cell>
          <cell r="C48">
            <v>43037</v>
          </cell>
          <cell r="D48" t="str">
            <v>KHF-00-104265-AA-3341-60025-0000</v>
          </cell>
          <cell r="E48" t="str">
            <v>CV of Mr. Anil Kumar Singh - Pre Commissioning Engineer</v>
          </cell>
          <cell r="F48">
            <v>1</v>
          </cell>
          <cell r="G48" t="str">
            <v>IFA</v>
          </cell>
        </row>
        <row r="49">
          <cell r="A49" t="str">
            <v>KHF-00-104265-AA-3341-60026-0000-1</v>
          </cell>
          <cell r="B49" t="str">
            <v>AIP-PDO-P1701009-T-0036</v>
          </cell>
          <cell r="C49">
            <v>43037</v>
          </cell>
          <cell r="D49" t="str">
            <v>KHF-00-104265-AA-3341-60026-0000</v>
          </cell>
          <cell r="E49" t="str">
            <v>CV of Mr. J. Benedict Vijayakumar Jesuraju - Information  Management Lead</v>
          </cell>
          <cell r="F49">
            <v>1</v>
          </cell>
          <cell r="G49" t="str">
            <v>IFA</v>
          </cell>
        </row>
        <row r="50">
          <cell r="A50" t="str">
            <v>KHF-00-104265-AA-3347-10003-0000-1</v>
          </cell>
          <cell r="B50" t="str">
            <v>AIP-PDO-P1701009-T-0037</v>
          </cell>
          <cell r="C50">
            <v>43038</v>
          </cell>
          <cell r="D50" t="str">
            <v>KHF-00-104265-AA-3347-10003-0000</v>
          </cell>
          <cell r="E50" t="str">
            <v>Minutes of Meeting - Weekly Review Meeting No.03</v>
          </cell>
          <cell r="F50">
            <v>1</v>
          </cell>
          <cell r="G50" t="str">
            <v>IFI</v>
          </cell>
        </row>
        <row r="51">
          <cell r="A51" t="str">
            <v>KHF-00-104265-AA-3341-60028-0000-1</v>
          </cell>
          <cell r="B51" t="str">
            <v>AIP-PDO-P1701009-T-0038</v>
          </cell>
          <cell r="C51">
            <v>43037</v>
          </cell>
          <cell r="D51" t="str">
            <v>KHF-00-104265-AA-3341-60028-0000</v>
          </cell>
          <cell r="E51" t="str">
            <v>CV of Mr. S.Ponnuchamy - Lead QA/QC Engineer</v>
          </cell>
          <cell r="F51">
            <v>1</v>
          </cell>
          <cell r="G51" t="str">
            <v>IFA</v>
          </cell>
        </row>
        <row r="52">
          <cell r="A52" t="str">
            <v>KHF-00-104265-AA-3347-10004-0000-1</v>
          </cell>
          <cell r="B52" t="str">
            <v>AIP-PDO-P1701009-T-0039</v>
          </cell>
          <cell r="C52">
            <v>43038</v>
          </cell>
          <cell r="D52" t="str">
            <v>KHF-00-104265-AA-3347-10004-0000</v>
          </cell>
          <cell r="E52" t="str">
            <v>Minutes of Meeting - Weekly Review Meeting No.04</v>
          </cell>
          <cell r="F52">
            <v>1</v>
          </cell>
          <cell r="G52" t="str">
            <v>IFI</v>
          </cell>
        </row>
        <row r="53">
          <cell r="A53" t="str">
            <v>KHF-00-104265-AA-3341-60027-0000-1</v>
          </cell>
          <cell r="B53" t="str">
            <v>AIP-PDO-P1701009-T-0040</v>
          </cell>
          <cell r="C53">
            <v>43038</v>
          </cell>
          <cell r="D53" t="str">
            <v>KHF-00-104265-AA-3341-60027-0000</v>
          </cell>
          <cell r="E53" t="str">
            <v>CV of Mr. Ramakrishnan Giridhar - HSE Manager</v>
          </cell>
          <cell r="F53">
            <v>1</v>
          </cell>
          <cell r="G53" t="str">
            <v>IFA</v>
          </cell>
        </row>
        <row r="54">
          <cell r="A54" t="str">
            <v>KHF-00-104265-AA-5880-10029-0000-1</v>
          </cell>
          <cell r="B54" t="str">
            <v>AIP-PDO-P1701009-T-0041</v>
          </cell>
          <cell r="C54">
            <v>43038</v>
          </cell>
          <cell r="D54" t="str">
            <v>KHF-00-104265-AA-5880-10029-0000</v>
          </cell>
          <cell r="E54" t="str">
            <v>Camp Scope of Work Matrix - Stage 01 &amp; 02</v>
          </cell>
          <cell r="F54">
            <v>1</v>
          </cell>
          <cell r="G54" t="str">
            <v>IFI</v>
          </cell>
        </row>
        <row r="55">
          <cell r="A55" t="str">
            <v>KHF-00-104265-AA-6944-20001-0000-1</v>
          </cell>
          <cell r="B55" t="str">
            <v>AIP-PDO-P1701009-T-0042</v>
          </cell>
          <cell r="C55">
            <v>43040</v>
          </cell>
          <cell r="D55" t="str">
            <v>KHF-00-104265-AA-6944-20001-0000</v>
          </cell>
          <cell r="E55" t="str">
            <v>Monthly Progress Report No.001 (October 2017)</v>
          </cell>
          <cell r="F55">
            <v>1</v>
          </cell>
          <cell r="G55" t="str">
            <v>IFI</v>
          </cell>
        </row>
        <row r="56">
          <cell r="A56" t="str">
            <v>KHF-00-104265-AA-5880-10003-0000-1</v>
          </cell>
          <cell r="B56" t="str">
            <v>AIP-PDO-P1701009-T-0043</v>
          </cell>
          <cell r="C56">
            <v>43041</v>
          </cell>
          <cell r="D56" t="str">
            <v>KHF-00-104265-AA-5880-10003-0000</v>
          </cell>
          <cell r="E56" t="str">
            <v>Contractor Mobilization Plan</v>
          </cell>
          <cell r="F56">
            <v>1</v>
          </cell>
          <cell r="G56" t="str">
            <v>IFR</v>
          </cell>
        </row>
        <row r="57">
          <cell r="A57" t="str">
            <v>KHF-00-104265-QA-5798-10009-0000-1</v>
          </cell>
          <cell r="B57" t="str">
            <v>AIP-PDO-P1701009-T-0044</v>
          </cell>
          <cell r="C57">
            <v>43044</v>
          </cell>
          <cell r="D57" t="str">
            <v>KHF-00-104265-QA-5798-10009-0000</v>
          </cell>
          <cell r="E57" t="str">
            <v>Contract Quality Plan</v>
          </cell>
          <cell r="F57">
            <v>1</v>
          </cell>
          <cell r="G57" t="str">
            <v>IFR</v>
          </cell>
        </row>
        <row r="58">
          <cell r="A58" t="str">
            <v>KHF-00-104265-FA-5804-10030-0000-1</v>
          </cell>
          <cell r="B58" t="str">
            <v>AIP-PDO-P1701009-T-0045</v>
          </cell>
          <cell r="C58">
            <v>43044</v>
          </cell>
          <cell r="D58" t="str">
            <v>KHF-00-104265-FA-5804-10030-0000</v>
          </cell>
          <cell r="E58" t="str">
            <v>Temporary Facilities Schedule</v>
          </cell>
          <cell r="F58">
            <v>1</v>
          </cell>
          <cell r="G58" t="str">
            <v>IFI</v>
          </cell>
        </row>
        <row r="59">
          <cell r="A59" t="str">
            <v>KHF-00-104265-VA-5880-10031-0000-1</v>
          </cell>
          <cell r="B59" t="str">
            <v>AIP-PDO-P1701009-T-0046</v>
          </cell>
          <cell r="C59">
            <v>43045</v>
          </cell>
          <cell r="D59" t="str">
            <v>KHF-00-104265-VA-5880-10031-0000</v>
          </cell>
          <cell r="E59" t="str">
            <v>Procurement Matrix for Critical &amp; Long Lead items for Camp Construction work</v>
          </cell>
          <cell r="F59">
            <v>1</v>
          </cell>
          <cell r="G59" t="str">
            <v>IFR</v>
          </cell>
        </row>
        <row r="60">
          <cell r="A60" t="str">
            <v>KHF-00-104265-AA-6944-10001-0000-1</v>
          </cell>
          <cell r="B60" t="str">
            <v>AIP-PDO-P1701009-T-0047</v>
          </cell>
          <cell r="C60">
            <v>43045</v>
          </cell>
          <cell r="D60" t="str">
            <v>KHF-00-104265-AA-6944-10001-0000</v>
          </cell>
          <cell r="E60" t="str">
            <v>Weekly Progress Report No.001</v>
          </cell>
          <cell r="F60">
            <v>1</v>
          </cell>
          <cell r="G60" t="str">
            <v>IFI</v>
          </cell>
        </row>
        <row r="61">
          <cell r="A61" t="str">
            <v>KHF-00-104265-AA-3341-60029-0000-1</v>
          </cell>
          <cell r="B61" t="str">
            <v>AIP-PDO-P1701009-T-0048</v>
          </cell>
          <cell r="C61">
            <v>43048</v>
          </cell>
          <cell r="D61" t="str">
            <v>KHF-00-104265-AA-3341-60029-0000</v>
          </cell>
          <cell r="E61" t="str">
            <v>CV of Mr. Radjeshbabu - Flawless Start-up Project Coordinator</v>
          </cell>
          <cell r="F61">
            <v>1</v>
          </cell>
          <cell r="G61" t="str">
            <v>IFA</v>
          </cell>
        </row>
        <row r="62">
          <cell r="A62" t="str">
            <v>KHF-00-104265-QA-6050-31001-0000-1</v>
          </cell>
          <cell r="B62" t="str">
            <v>AIP-PDO-P1701009-T-0049</v>
          </cell>
          <cell r="C62">
            <v>43048</v>
          </cell>
          <cell r="D62" t="str">
            <v>KHF-00-104265-QA-6050-31001-0000</v>
          </cell>
          <cell r="E62" t="str">
            <v>Quality Control Procedure - Cube Making and Slump Testing</v>
          </cell>
          <cell r="F62">
            <v>1</v>
          </cell>
          <cell r="G62" t="str">
            <v>IFR</v>
          </cell>
        </row>
        <row r="63">
          <cell r="A63" t="str">
            <v>KHF-00-104265-QA-6050-31002-0000-1</v>
          </cell>
          <cell r="B63" t="str">
            <v>AIP-PDO-P1701009-T-0049</v>
          </cell>
          <cell r="C63">
            <v>43048</v>
          </cell>
          <cell r="D63" t="str">
            <v>KHF-00-104265-QA-6050-31002-0000</v>
          </cell>
          <cell r="E63" t="str">
            <v>Quality Control Procedure - Setting Out, Excavation Filling and Back Filling</v>
          </cell>
          <cell r="F63">
            <v>1</v>
          </cell>
          <cell r="G63" t="str">
            <v>IFR</v>
          </cell>
        </row>
        <row r="64">
          <cell r="A64" t="str">
            <v>KHF-00-104265-AA-3347-10005-0000-1</v>
          </cell>
          <cell r="B64" t="str">
            <v>AIP-PDO-P1701009-T-0050</v>
          </cell>
          <cell r="C64">
            <v>43048</v>
          </cell>
          <cell r="D64" t="str">
            <v>KHF-00-104265-AA-3347-10005-0000</v>
          </cell>
          <cell r="E64" t="str">
            <v>Minutes of Meeting - Weekly Review Meeting No.05</v>
          </cell>
          <cell r="F64">
            <v>1</v>
          </cell>
          <cell r="G64" t="str">
            <v>IFI</v>
          </cell>
        </row>
        <row r="65">
          <cell r="A65" t="str">
            <v>KHF-00-104265-QA-5733-21001-0000-1</v>
          </cell>
          <cell r="B65" t="str">
            <v>AIP-PDO-P1701009-T-0051</v>
          </cell>
          <cell r="C65">
            <v>43050</v>
          </cell>
          <cell r="D65" t="str">
            <v>KHF-00-104265-QA-5733-21001-0000</v>
          </cell>
          <cell r="E65" t="str">
            <v>Inspection &amp; Test Plan - Concrete Mix Design</v>
          </cell>
          <cell r="F65">
            <v>1</v>
          </cell>
          <cell r="G65" t="str">
            <v>IFR</v>
          </cell>
        </row>
        <row r="66">
          <cell r="A66" t="str">
            <v>KHF-00-104265-QA-6050-31003-0000-1</v>
          </cell>
          <cell r="B66" t="str">
            <v>AIP-PDO-P1701009-T-0051</v>
          </cell>
          <cell r="C66">
            <v>43050</v>
          </cell>
          <cell r="D66" t="str">
            <v>KHF-00-104265-QA-6050-31003-0000</v>
          </cell>
          <cell r="E66" t="str">
            <v>Quality Control Procedure - Form work, Reinforcement, Concreting and Grouting Works</v>
          </cell>
          <cell r="F66">
            <v>1</v>
          </cell>
          <cell r="G66" t="str">
            <v>IFR</v>
          </cell>
        </row>
        <row r="67">
          <cell r="A67" t="str">
            <v>KHF-00-104265-QA-6050-31004-0000-1</v>
          </cell>
          <cell r="B67" t="str">
            <v>AIP-PDO-P1701009-T-0051</v>
          </cell>
          <cell r="C67">
            <v>43050</v>
          </cell>
          <cell r="D67" t="str">
            <v>KHF-00-104265-QA-6050-31004-0000</v>
          </cell>
          <cell r="E67" t="str">
            <v>Quality Control Procedure - Demolition &amp; Alteration</v>
          </cell>
          <cell r="F67">
            <v>1</v>
          </cell>
          <cell r="G67" t="str">
            <v>IFR</v>
          </cell>
        </row>
        <row r="68">
          <cell r="A68" t="str">
            <v>KHF-00-104265-QA-6050-31005-0000-1</v>
          </cell>
          <cell r="B68" t="str">
            <v>AIP-PDO-P1701009-T-0051</v>
          </cell>
          <cell r="C68">
            <v>43050</v>
          </cell>
          <cell r="D68" t="str">
            <v>KHF-00-104265-QA-6050-31005-0000</v>
          </cell>
          <cell r="E68" t="str">
            <v>Quality Control Procedure - Fencing &amp; Gates</v>
          </cell>
          <cell r="F68">
            <v>1</v>
          </cell>
          <cell r="G68" t="str">
            <v>IFR</v>
          </cell>
        </row>
        <row r="69">
          <cell r="A69" t="str">
            <v>KHF-00-104265-QA-6050-31006-0000-1</v>
          </cell>
          <cell r="B69" t="str">
            <v>AIP-PDO-P1701009-T-0051</v>
          </cell>
          <cell r="C69">
            <v>43050</v>
          </cell>
          <cell r="D69" t="str">
            <v>KHF-00-104265-QA-6050-31006-0000</v>
          </cell>
          <cell r="E69" t="str">
            <v>Quality Control Procedure - Repair of New Concrete</v>
          </cell>
          <cell r="F69">
            <v>1</v>
          </cell>
          <cell r="G69" t="str">
            <v>IFR</v>
          </cell>
        </row>
        <row r="70">
          <cell r="A70" t="str">
            <v>KHF-00-104265-VA-6047-10006-0000-1</v>
          </cell>
          <cell r="B70" t="str">
            <v>AIP-PDO-P1701009-T-0052</v>
          </cell>
          <cell r="C70">
            <v>43051</v>
          </cell>
          <cell r="D70" t="str">
            <v>KHF-00-104265-VA-6047-10006-0000</v>
          </cell>
          <cell r="E70" t="str">
            <v>Contract Procurement Plan</v>
          </cell>
          <cell r="F70">
            <v>1</v>
          </cell>
          <cell r="G70" t="str">
            <v>IFR</v>
          </cell>
        </row>
        <row r="71">
          <cell r="A71" t="str">
            <v>KHF-00-104265-QA-5733-21002-0000-1</v>
          </cell>
          <cell r="B71" t="str">
            <v>AIP-PDO-P1701009-T-0053</v>
          </cell>
          <cell r="C71">
            <v>43052</v>
          </cell>
          <cell r="D71" t="str">
            <v>KHF-00-104265-QA-5733-21002-0000</v>
          </cell>
          <cell r="E71" t="str">
            <v>Inspection &amp; Test Plan - Demolition and Alteration</v>
          </cell>
          <cell r="F71">
            <v>1</v>
          </cell>
          <cell r="G71" t="str">
            <v>IFR</v>
          </cell>
        </row>
        <row r="72">
          <cell r="A72" t="str">
            <v>KHF-00-104265-QA-5733-21003-0000-1</v>
          </cell>
          <cell r="B72" t="str">
            <v>AIP-PDO-P1701009-T-0053</v>
          </cell>
          <cell r="C72">
            <v>43052</v>
          </cell>
          <cell r="D72" t="str">
            <v>KHF-00-104265-QA-5733-21003-0000</v>
          </cell>
          <cell r="E72" t="str">
            <v>Inspection &amp; Test Plan - Setting out and Survey</v>
          </cell>
          <cell r="F72">
            <v>1</v>
          </cell>
          <cell r="G72" t="str">
            <v>IFR</v>
          </cell>
        </row>
        <row r="73">
          <cell r="A73" t="str">
            <v>KHF-00-104265-QA-5733-21004-0000-1</v>
          </cell>
          <cell r="B73" t="str">
            <v>AIP-PDO-P1701009-T-0053</v>
          </cell>
          <cell r="C73">
            <v>43052</v>
          </cell>
          <cell r="D73" t="str">
            <v>KHF-00-104265-QA-5733-21004-0000</v>
          </cell>
          <cell r="E73" t="str">
            <v>Inspection &amp; Test Plan - Excavation</v>
          </cell>
          <cell r="F73">
            <v>1</v>
          </cell>
          <cell r="G73" t="str">
            <v>IFR</v>
          </cell>
        </row>
        <row r="74">
          <cell r="A74" t="str">
            <v>KHF-00-104265-QA-5733-21005-0000-1</v>
          </cell>
          <cell r="B74" t="str">
            <v>AIP-PDO-P1701009-T-0053</v>
          </cell>
          <cell r="C74">
            <v>43052</v>
          </cell>
          <cell r="D74" t="str">
            <v>KHF-00-104265-QA-5733-21005-0000</v>
          </cell>
          <cell r="E74" t="str">
            <v>Inspection &amp; Test Plan - Fill and Backfill</v>
          </cell>
          <cell r="F74">
            <v>1</v>
          </cell>
          <cell r="G74" t="str">
            <v>IFR</v>
          </cell>
        </row>
        <row r="75">
          <cell r="A75" t="str">
            <v>KHF-00-104265-AA-3341-60030-0000-1</v>
          </cell>
          <cell r="B75" t="str">
            <v>AIP-PDO-P1701009-T-0054</v>
          </cell>
          <cell r="C75">
            <v>43053</v>
          </cell>
          <cell r="D75" t="str">
            <v>KHF-00-104265-AA-3341-60030-0000</v>
          </cell>
          <cell r="E75" t="str">
            <v>CV of Mr. Sulaiman Hamed Al Suleimani - Contract Manager (for Stage 01 only)</v>
          </cell>
          <cell r="F75">
            <v>1</v>
          </cell>
          <cell r="G75" t="str">
            <v>IFR</v>
          </cell>
        </row>
        <row r="76">
          <cell r="A76" t="str">
            <v>KHF-00-104265-AA-3341-60031-0000-1</v>
          </cell>
          <cell r="B76" t="str">
            <v>AIP-PDO-P1701009-T-0055</v>
          </cell>
          <cell r="C76">
            <v>43053</v>
          </cell>
          <cell r="D76" t="str">
            <v>KHF-00-104265-AA-3341-60031-0000</v>
          </cell>
          <cell r="E76" t="str">
            <v>CV of Mr. Arun Babu E - Piping Engineer</v>
          </cell>
          <cell r="F76">
            <v>1</v>
          </cell>
          <cell r="G76" t="str">
            <v>IFR</v>
          </cell>
        </row>
        <row r="77">
          <cell r="A77" t="str">
            <v>KHF-00-104265-AA-3341-60032-0000-1</v>
          </cell>
          <cell r="B77" t="str">
            <v>AIP-PDO-P1701009-T-0055</v>
          </cell>
          <cell r="C77">
            <v>43053</v>
          </cell>
          <cell r="D77" t="str">
            <v>KHF-00-104265-AA-3341-60032-0000</v>
          </cell>
          <cell r="E77" t="str">
            <v>CV of Mr. S.Samuel Hamilton - Piping Engineer</v>
          </cell>
          <cell r="F77">
            <v>1</v>
          </cell>
          <cell r="G77" t="str">
            <v>IFR</v>
          </cell>
        </row>
        <row r="78">
          <cell r="A78" t="str">
            <v>KHF-00-104265-AA-3341-60033-0000-1</v>
          </cell>
          <cell r="B78" t="str">
            <v>AIP-PDO-P1701009-T-0056</v>
          </cell>
          <cell r="C78">
            <v>43053</v>
          </cell>
          <cell r="D78" t="str">
            <v>KHF-00-104265-AA-3341-60033-0000</v>
          </cell>
          <cell r="E78" t="str">
            <v>CV of Mr. Umashankar - Construction Engineer - Instrumentation</v>
          </cell>
          <cell r="F78">
            <v>1</v>
          </cell>
          <cell r="G78" t="str">
            <v>IFR</v>
          </cell>
        </row>
        <row r="79">
          <cell r="A79" t="str">
            <v>KHF-00-104265-AA-3341-60034-0000-1</v>
          </cell>
          <cell r="B79" t="str">
            <v>AIP-PDO-P1701009-T-0057</v>
          </cell>
          <cell r="C79">
            <v>43053</v>
          </cell>
          <cell r="D79" t="str">
            <v>KHF-00-104265-AA-3341-60034-0000</v>
          </cell>
          <cell r="E79" t="str">
            <v>CV of Mr. Humood Mubarak Humood Al  Moqbali - ICV Manager</v>
          </cell>
          <cell r="F79">
            <v>1</v>
          </cell>
          <cell r="G79" t="str">
            <v>IFR</v>
          </cell>
        </row>
        <row r="80">
          <cell r="A80" t="str">
            <v>KHF-00-104265-AA-3341-60035-0000-1</v>
          </cell>
          <cell r="B80" t="str">
            <v>AIP-PDO-P1701009-T-0058</v>
          </cell>
          <cell r="C80">
            <v>43053</v>
          </cell>
          <cell r="D80" t="str">
            <v>KHF-00-104265-AA-3341-60035-0000</v>
          </cell>
          <cell r="E80" t="str">
            <v>CV of Mr. A.M.Ansari - Lead Field Pipeline Engineer</v>
          </cell>
          <cell r="F80">
            <v>1</v>
          </cell>
          <cell r="G80" t="str">
            <v>IFR</v>
          </cell>
        </row>
        <row r="81">
          <cell r="A81" t="str">
            <v>KHF-00-104265-AA-6944-10002-0000-1</v>
          </cell>
          <cell r="B81" t="str">
            <v>AIP-PDO-P1701009-T-0059</v>
          </cell>
          <cell r="C81">
            <v>43053</v>
          </cell>
          <cell r="D81" t="str">
            <v>KHF-00-104265-AA-6944-10002-0000</v>
          </cell>
          <cell r="E81" t="str">
            <v>Weekly Progress Report No.002</v>
          </cell>
          <cell r="F81">
            <v>1</v>
          </cell>
          <cell r="G81" t="str">
            <v>IFI</v>
          </cell>
        </row>
        <row r="82">
          <cell r="A82" t="str">
            <v>KHF-00-104265-QA-5733-21006-0000-1</v>
          </cell>
          <cell r="B82" t="str">
            <v>AIP-PDO-P1701009-T-0060</v>
          </cell>
          <cell r="C82">
            <v>43053</v>
          </cell>
          <cell r="D82" t="str">
            <v>KHF-00-104265-QA-5733-21006-0000</v>
          </cell>
          <cell r="E82" t="str">
            <v>Inspection &amp; Test Plan - Concrete Works</v>
          </cell>
          <cell r="F82">
            <v>1</v>
          </cell>
          <cell r="G82" t="str">
            <v>IFR</v>
          </cell>
        </row>
        <row r="83">
          <cell r="A83" t="str">
            <v>KHF-00-104265-QA-5733-21007-0000-1</v>
          </cell>
          <cell r="B83" t="str">
            <v>AIP-PDO-P1701009-T-0060</v>
          </cell>
          <cell r="C83">
            <v>43053</v>
          </cell>
          <cell r="D83" t="str">
            <v>KHF-00-104265-QA-5733-21007-0000</v>
          </cell>
          <cell r="E83" t="str">
            <v>Inspection &amp; Test Plan - Block Masonry Works</v>
          </cell>
          <cell r="F83">
            <v>1</v>
          </cell>
          <cell r="G83" t="str">
            <v>IFR</v>
          </cell>
        </row>
        <row r="84">
          <cell r="A84" t="str">
            <v>KHF-00-104265-QA-5733-21008-0000-1</v>
          </cell>
          <cell r="B84" t="str">
            <v>AIP-PDO-P1701009-T-0061</v>
          </cell>
          <cell r="C84">
            <v>43054</v>
          </cell>
          <cell r="D84" t="str">
            <v>KHF-00-104265-QA-5733-21008-0000</v>
          </cell>
          <cell r="E84" t="str">
            <v>Inspection &amp; Test Plan - Grouting</v>
          </cell>
          <cell r="F84">
            <v>1</v>
          </cell>
          <cell r="G84" t="str">
            <v>IFR</v>
          </cell>
        </row>
        <row r="85">
          <cell r="A85" t="str">
            <v>KHF-00-104265-QA-5733-21009-0000-1</v>
          </cell>
          <cell r="B85" t="str">
            <v>AIP-PDO-P1701009-T-0061</v>
          </cell>
          <cell r="C85">
            <v>43054</v>
          </cell>
          <cell r="D85" t="str">
            <v>KHF-00-104265-QA-5733-21009-0000</v>
          </cell>
          <cell r="E85" t="str">
            <v>Inspection &amp; Test Plan - Plastering &amp; Rendering Work</v>
          </cell>
          <cell r="F85">
            <v>1</v>
          </cell>
          <cell r="G85" t="str">
            <v>IFR</v>
          </cell>
        </row>
        <row r="86">
          <cell r="A86" t="str">
            <v>KHF-00-104265-QA-5733-21010-0000-1</v>
          </cell>
          <cell r="B86" t="str">
            <v>AIP-PDO-P1701009-T-0061</v>
          </cell>
          <cell r="C86">
            <v>43054</v>
          </cell>
          <cell r="D86" t="str">
            <v>KHF-00-104265-QA-5733-21010-0000</v>
          </cell>
          <cell r="E86" t="str">
            <v>Inspection &amp; Test Plan - Tiling Works</v>
          </cell>
          <cell r="F86">
            <v>1</v>
          </cell>
          <cell r="G86" t="str">
            <v>IFR</v>
          </cell>
        </row>
        <row r="87">
          <cell r="A87" t="str">
            <v>KHF-00-104265-HX-6180-10012-0000-2</v>
          </cell>
          <cell r="B87" t="str">
            <v>AIP-PDO-P1701009-T-0062</v>
          </cell>
          <cell r="C87">
            <v>43055</v>
          </cell>
          <cell r="D87" t="str">
            <v>KHF-00-104265-HX-6180-10012-0000</v>
          </cell>
          <cell r="E87" t="str">
            <v>Permit to Work Procedure (Greenfield)</v>
          </cell>
          <cell r="F87">
            <v>2</v>
          </cell>
          <cell r="G87" t="str">
            <v>IFA</v>
          </cell>
        </row>
        <row r="88">
          <cell r="A88" t="str">
            <v>KHF-00-104265-HX-5880-10032-0000-1</v>
          </cell>
          <cell r="B88" t="str">
            <v>AIP-PDO-P1701009-T-0063</v>
          </cell>
          <cell r="C88">
            <v>43055</v>
          </cell>
          <cell r="D88" t="str">
            <v>KHF-00-104265-HX-5880-10032-0000</v>
          </cell>
          <cell r="E88" t="str">
            <v>Project Specific Induction Program</v>
          </cell>
          <cell r="F88">
            <v>1</v>
          </cell>
          <cell r="G88" t="str">
            <v>IFR</v>
          </cell>
        </row>
        <row r="89">
          <cell r="A89" t="str">
            <v>KHF-00-104265-HS-5798-10033-0000-1</v>
          </cell>
          <cell r="B89" t="str">
            <v>AIP-PDO-P1701009-T-0064</v>
          </cell>
          <cell r="C89">
            <v>43055</v>
          </cell>
          <cell r="D89" t="str">
            <v>KHF-00-104265-HS-5798-10033-0000</v>
          </cell>
          <cell r="E89" t="str">
            <v>Site Security Plan</v>
          </cell>
          <cell r="F89">
            <v>1</v>
          </cell>
          <cell r="G89" t="str">
            <v>IFR</v>
          </cell>
        </row>
        <row r="90">
          <cell r="A90" t="str">
            <v>KHF-00-104265-AA-3341-60036-0000-1</v>
          </cell>
          <cell r="B90" t="str">
            <v>AIP-PDO-P1701009-T-0065</v>
          </cell>
          <cell r="C90">
            <v>43055</v>
          </cell>
          <cell r="D90" t="str">
            <v>KHF-00-104265-AA-3341-60036-0000</v>
          </cell>
          <cell r="E90" t="str">
            <v>CV of  Mr. Pratikkumar Chimanlal Patel - Industrial Hygienist</v>
          </cell>
          <cell r="F90">
            <v>1</v>
          </cell>
          <cell r="G90" t="str">
            <v>IFR</v>
          </cell>
        </row>
        <row r="91">
          <cell r="A91" t="str">
            <v>KHF-00-104265-QA-5733-21011-0000-1</v>
          </cell>
          <cell r="B91" t="str">
            <v>AIP-PDO-P1701009-T-0066</v>
          </cell>
          <cell r="C91">
            <v>43057</v>
          </cell>
          <cell r="D91" t="str">
            <v>KHF-00-104265-QA-5733-21011-0000</v>
          </cell>
          <cell r="E91" t="str">
            <v>Inspection &amp; Test Plan - Ironmongery, Metal Works &amp; Glazing</v>
          </cell>
          <cell r="F91">
            <v>1</v>
          </cell>
          <cell r="G91" t="str">
            <v>IFR</v>
          </cell>
        </row>
        <row r="92">
          <cell r="A92" t="str">
            <v>KHF-00-104265-QA-5733-21012-0000-1</v>
          </cell>
          <cell r="B92" t="str">
            <v>AIP-PDO-P1701009-T-0066</v>
          </cell>
          <cell r="C92">
            <v>43057</v>
          </cell>
          <cell r="D92" t="str">
            <v>KHF-00-104265-QA-5733-21012-0000</v>
          </cell>
          <cell r="E92" t="str">
            <v>Inspection &amp; Test Plan - Carpentry &amp; Joinery Works</v>
          </cell>
          <cell r="F92">
            <v>1</v>
          </cell>
          <cell r="G92" t="str">
            <v>IFR</v>
          </cell>
        </row>
        <row r="93">
          <cell r="A93" t="str">
            <v>KHF-00-104265-QA-5733-21013-0000-1</v>
          </cell>
          <cell r="B93" t="str">
            <v>AIP-PDO-P1701009-T-0066</v>
          </cell>
          <cell r="C93">
            <v>43057</v>
          </cell>
          <cell r="D93" t="str">
            <v>KHF-00-104265-QA-5733-21013-0000</v>
          </cell>
          <cell r="E93" t="str">
            <v>Inspection &amp; Test Plan - Roof Waterproofing and Installation</v>
          </cell>
          <cell r="F93">
            <v>1</v>
          </cell>
          <cell r="G93" t="str">
            <v>IFR</v>
          </cell>
        </row>
        <row r="94">
          <cell r="A94" t="str">
            <v>KHF-00-104265-QA-5733-21014-0000-1</v>
          </cell>
          <cell r="B94" t="str">
            <v>AIP-PDO-P1701009-T-0066</v>
          </cell>
          <cell r="C94">
            <v>43057</v>
          </cell>
          <cell r="D94" t="str">
            <v>KHF-00-104265-QA-5733-21014-0000</v>
          </cell>
          <cell r="E94" t="str">
            <v>Inspection &amp; Test Plan - Wall, Ceiling and Floor Finishes</v>
          </cell>
          <cell r="F94">
            <v>1</v>
          </cell>
          <cell r="G94" t="str">
            <v>IFR</v>
          </cell>
        </row>
        <row r="95">
          <cell r="A95" t="str">
            <v>KHF-00-104265-VA-5880-20001-0000-1</v>
          </cell>
          <cell r="B95" t="str">
            <v>AIP-PDO-P1701009-T-0067</v>
          </cell>
          <cell r="C95">
            <v>43058</v>
          </cell>
          <cell r="D95" t="str">
            <v>KHF-00-104265-VA-5880-20001-0000</v>
          </cell>
          <cell r="E95" t="str">
            <v>Procurement Matrix for Critical &amp; Long Lead items for Camp Construction work (From 01/09/2017 to 19/11/2017)</v>
          </cell>
          <cell r="F95">
            <v>1</v>
          </cell>
          <cell r="G95" t="str">
            <v>IFI</v>
          </cell>
        </row>
        <row r="96">
          <cell r="A96" t="str">
            <v>KHF-00-104265-AA-3347-10006-0000-1</v>
          </cell>
          <cell r="B96" t="str">
            <v>AIP-PDO-P1701009-T-0068</v>
          </cell>
          <cell r="C96">
            <v>43059</v>
          </cell>
          <cell r="D96" t="str">
            <v>KHF-00-104265-AA-3347-10006-0000</v>
          </cell>
          <cell r="E96" t="str">
            <v>Minutes of Meeting - Weekly Review Meeting No.06</v>
          </cell>
          <cell r="F96">
            <v>1</v>
          </cell>
          <cell r="G96" t="str">
            <v>IFI</v>
          </cell>
        </row>
        <row r="97">
          <cell r="A97" t="str">
            <v>KHF-00-104265-QA-5733-21015-0000-1</v>
          </cell>
          <cell r="B97" t="str">
            <v>AIP-PDO-P1701009-T-0069</v>
          </cell>
          <cell r="C97">
            <v>43059</v>
          </cell>
          <cell r="D97" t="str">
            <v>KHF-00-104265-QA-5733-21015-0000</v>
          </cell>
          <cell r="E97" t="str">
            <v>Inspection &amp; Test Plan - Plumbing Works</v>
          </cell>
          <cell r="F97">
            <v>1</v>
          </cell>
          <cell r="G97" t="str">
            <v>IFR</v>
          </cell>
        </row>
        <row r="98">
          <cell r="A98" t="str">
            <v>KHF-00-104265-QA-5733-21016-0000-1</v>
          </cell>
          <cell r="B98" t="str">
            <v>AIP-PDO-P1701009-T-0069</v>
          </cell>
          <cell r="C98">
            <v>43059</v>
          </cell>
          <cell r="D98" t="str">
            <v>KHF-00-104265-QA-5733-21016-0000</v>
          </cell>
          <cell r="E98" t="str">
            <v>Inspection &amp; Test Plan - Fencing &amp; Gates</v>
          </cell>
          <cell r="F98">
            <v>1</v>
          </cell>
          <cell r="G98" t="str">
            <v>IFR</v>
          </cell>
        </row>
        <row r="99">
          <cell r="A99" t="str">
            <v>KHF-00-104265-QA-6050-32001-0000-1</v>
          </cell>
          <cell r="B99" t="str">
            <v>AIP-PDO-P1701009-T-0070</v>
          </cell>
          <cell r="C99">
            <v>43060</v>
          </cell>
          <cell r="D99" t="str">
            <v>KHF-00-104265-QA-6050-32001-0000</v>
          </cell>
          <cell r="E99" t="str">
            <v>Quality Control Procedure for Receiving Inspection</v>
          </cell>
          <cell r="F99">
            <v>1</v>
          </cell>
          <cell r="G99" t="str">
            <v>IFR</v>
          </cell>
        </row>
        <row r="100">
          <cell r="A100" t="str">
            <v>KHF-00-104265-QA-6050-32002-0000-1</v>
          </cell>
          <cell r="B100" t="str">
            <v>AIP-PDO-P1701009-T-0070</v>
          </cell>
          <cell r="C100">
            <v>43060</v>
          </cell>
          <cell r="D100" t="str">
            <v>KHF-00-104265-QA-6050-32002-0000</v>
          </cell>
          <cell r="E100" t="str">
            <v xml:space="preserve">Quality Control Procedure for Inspection for Surface Preparation Mixing and Painting  </v>
          </cell>
          <cell r="F100">
            <v>1</v>
          </cell>
          <cell r="G100" t="str">
            <v>IFR</v>
          </cell>
        </row>
        <row r="101">
          <cell r="A101" t="str">
            <v>KHF-00-104265-AA-6944-10003-0000-1</v>
          </cell>
          <cell r="B101" t="str">
            <v>AIP-PDO-P1701009-T-0071</v>
          </cell>
          <cell r="C101">
            <v>43062</v>
          </cell>
          <cell r="D101" t="str">
            <v>KHF-00-104265-AA-6944-10003-0000</v>
          </cell>
          <cell r="E101" t="str">
            <v>Weekly Progress Report No.003</v>
          </cell>
          <cell r="F101">
            <v>1</v>
          </cell>
          <cell r="G101" t="str">
            <v>IFI</v>
          </cell>
        </row>
        <row r="102">
          <cell r="A102" t="str">
            <v>KHF-00-104265-QA-5733-21018-0000-1</v>
          </cell>
          <cell r="B102" t="str">
            <v>AIP-PDO-P1701009-T-0072</v>
          </cell>
          <cell r="C102">
            <v>43061</v>
          </cell>
          <cell r="D102" t="str">
            <v>KHF-00-104265-QA-5733-21018-0000</v>
          </cell>
          <cell r="E102" t="str">
            <v>Inspection &amp; Test Plan for Service Trench - Pipeline Construction</v>
          </cell>
          <cell r="F102">
            <v>1</v>
          </cell>
          <cell r="G102" t="str">
            <v>IFR</v>
          </cell>
        </row>
        <row r="103">
          <cell r="A103" t="str">
            <v>KHF-00-104265-QA-5733-21019-0000-1</v>
          </cell>
          <cell r="B103" t="str">
            <v>AIP-PDO-P1701009-T-0072</v>
          </cell>
          <cell r="C103">
            <v>43061</v>
          </cell>
          <cell r="D103" t="str">
            <v>KHF-00-104265-QA-5733-21019-0000</v>
          </cell>
          <cell r="E103" t="str">
            <v>Inspection &amp; Test Plan for Service Trench - Electrical &amp; Instrumentation Works</v>
          </cell>
          <cell r="F103">
            <v>1</v>
          </cell>
          <cell r="G103" t="str">
            <v>IFR</v>
          </cell>
        </row>
        <row r="104">
          <cell r="A104" t="str">
            <v>KHF-00-104265-QA-5733-21017-0000-1</v>
          </cell>
          <cell r="B104" t="str">
            <v>AIP-PDO-P1701009-T-0073</v>
          </cell>
          <cell r="C104">
            <v>43062</v>
          </cell>
          <cell r="D104" t="str">
            <v>KHF-00-104265-QA-5733-21017-0000</v>
          </cell>
          <cell r="E104" t="str">
            <v>Inspection &amp; Test Plan for Graded Road Works</v>
          </cell>
          <cell r="F104">
            <v>1</v>
          </cell>
          <cell r="G104" t="str">
            <v>IFR</v>
          </cell>
        </row>
        <row r="105">
          <cell r="A105" t="str">
            <v>KHF-00-104265-AA-6944-10004-0000-1</v>
          </cell>
          <cell r="B105" t="str">
            <v>AIP-PDO-P1701009-T-0074</v>
          </cell>
          <cell r="C105">
            <v>43067</v>
          </cell>
          <cell r="D105" t="str">
            <v>KHF-00-104265-AA-6944-10004-0000</v>
          </cell>
          <cell r="E105" t="str">
            <v>Weekly Progress Report No.004</v>
          </cell>
          <cell r="F105">
            <v>1</v>
          </cell>
          <cell r="G105" t="str">
            <v>IFI</v>
          </cell>
        </row>
        <row r="106">
          <cell r="A106" t="str">
            <v>KHF-00-104265-BA-6070-41001-0000-1</v>
          </cell>
          <cell r="B106" t="str">
            <v>AIP-PDO-P1701009-T-0075</v>
          </cell>
          <cell r="C106">
            <v>43068</v>
          </cell>
          <cell r="D106" t="str">
            <v>KHF-00-104265-BA-6070-41001-0000</v>
          </cell>
          <cell r="E106" t="str">
            <v>METHOD STATEMENT FOR FOUNDATION EXCAVATION, DISPOSAL &amp; BACKFILLING</v>
          </cell>
          <cell r="F106">
            <v>1</v>
          </cell>
          <cell r="G106" t="str">
            <v>IFA</v>
          </cell>
        </row>
        <row r="107">
          <cell r="A107" t="str">
            <v>KHF-00-104265-QA-5733-21020-0000-1</v>
          </cell>
          <cell r="B107" t="str">
            <v>AIP-PDO-P1701009-T-0076</v>
          </cell>
          <cell r="C107">
            <v>43068</v>
          </cell>
          <cell r="D107" t="str">
            <v>KHF-00-104265-QA-5733-21020-0000</v>
          </cell>
          <cell r="E107" t="str">
            <v>INSPECTION AND TEST PLAN FOR PAVING WORKS</v>
          </cell>
          <cell r="F107">
            <v>1</v>
          </cell>
          <cell r="G107" t="str">
            <v>IFA</v>
          </cell>
        </row>
        <row r="108">
          <cell r="A108" t="str">
            <v>KHF-00-104265-RA-8241-51001-0000-1</v>
          </cell>
          <cell r="B108" t="str">
            <v>AIP-PDO-P1701009-T-0077</v>
          </cell>
          <cell r="C108">
            <v>43069</v>
          </cell>
          <cell r="D108" t="str">
            <v>KHF-00-104265-RA-8241-51001-0000</v>
          </cell>
          <cell r="E108" t="str">
            <v>Material Approval Sheet - Reinforcement Steel for Concrete - Grade B 500S – JINDAL SHADEED - AL ANSARI BMT</v>
          </cell>
          <cell r="F108">
            <v>1</v>
          </cell>
          <cell r="G108" t="str">
            <v>IFA</v>
          </cell>
        </row>
        <row r="109">
          <cell r="A109" t="str">
            <v>KHF-00-104265-RA-8241-51002-0000-1</v>
          </cell>
          <cell r="B109" t="str">
            <v>AIP-PDO-P1701009-T-0077</v>
          </cell>
          <cell r="C109">
            <v>43069</v>
          </cell>
          <cell r="D109" t="str">
            <v>KHF-00-104265-RA-8241-51002-0000</v>
          </cell>
          <cell r="E109" t="str">
            <v>Material Approval Sheet - Reinforcement Steel for Concrete - Grade B 500S – MUSCAT STEEL INDUSTRIES</v>
          </cell>
          <cell r="F109">
            <v>1</v>
          </cell>
          <cell r="G109" t="str">
            <v>IFA</v>
          </cell>
        </row>
        <row r="110">
          <cell r="A110" t="str">
            <v>KHF-00-104265-RA-8241-51003-0000-1</v>
          </cell>
          <cell r="B110" t="str">
            <v>AIP-PDO-P1701009-T-0077</v>
          </cell>
          <cell r="C110">
            <v>43069</v>
          </cell>
          <cell r="D110" t="str">
            <v>KHF-00-104265-RA-8241-51003-0000</v>
          </cell>
          <cell r="E110" t="str">
            <v>Material Approval Sheet - Reinforcement Steel for Concrete - Grade B 500S – SHARQ SOHAR STEEL – Middle East Traders</v>
          </cell>
          <cell r="F110">
            <v>1</v>
          </cell>
          <cell r="G110" t="str">
            <v>IFA</v>
          </cell>
        </row>
        <row r="111">
          <cell r="A111" t="str">
            <v>KHF-00-104265-AA-5880-10003-0000-2</v>
          </cell>
          <cell r="B111" t="str">
            <v>AIP-PDO-P1701009-T-0078</v>
          </cell>
          <cell r="C111">
            <v>43076</v>
          </cell>
          <cell r="D111" t="str">
            <v>KHF-00-104265-AA-5880-10003-0000</v>
          </cell>
          <cell r="E111" t="str">
            <v>Contractor Mobilization Plan</v>
          </cell>
          <cell r="F111">
            <v>2</v>
          </cell>
          <cell r="G111" t="str">
            <v>IFA</v>
          </cell>
        </row>
        <row r="112">
          <cell r="A112" t="str">
            <v>KHF-00-104265-VA-6047-10006-0000-2</v>
          </cell>
          <cell r="B112" t="str">
            <v>AIP-PDO-P1701009-T-0079</v>
          </cell>
          <cell r="C112">
            <v>43076</v>
          </cell>
          <cell r="D112" t="str">
            <v>KHF-00-104265-VA-6047-10006-0000</v>
          </cell>
          <cell r="E112" t="str">
            <v>Contract Procurement Plan</v>
          </cell>
          <cell r="F112">
            <v>2</v>
          </cell>
          <cell r="G112" t="str">
            <v>IFA</v>
          </cell>
        </row>
        <row r="113">
          <cell r="A113" t="str">
            <v>KHF-00-104265-VA-5880-10031-0000-2</v>
          </cell>
          <cell r="B113" t="str">
            <v>AIP-PDO-P1701009-T-0080</v>
          </cell>
          <cell r="C113">
            <v>43076</v>
          </cell>
          <cell r="D113" t="str">
            <v>KHF-00-104265-VA-5880-10031-0000</v>
          </cell>
          <cell r="E113" t="str">
            <v>Procurement Matrix for Critical &amp; Long Lead items for Camp Construction work</v>
          </cell>
          <cell r="F113">
            <v>2</v>
          </cell>
          <cell r="G113" t="str">
            <v>IFA</v>
          </cell>
        </row>
        <row r="114">
          <cell r="A114" t="str">
            <v>KHF-00-104265-QA-6050-32003-0000-1</v>
          </cell>
          <cell r="B114" t="str">
            <v>AIP-PDO-P1701009-T-0081</v>
          </cell>
          <cell r="C114">
            <v>43076</v>
          </cell>
          <cell r="D114" t="str">
            <v>KHF-00-104265-QA-6050-32003-0000</v>
          </cell>
          <cell r="E114" t="str">
            <v>Quality Control Procedure for Handling &amp; Stringing of Line Pipes</v>
          </cell>
          <cell r="F114">
            <v>1</v>
          </cell>
          <cell r="G114" t="str">
            <v>IFR</v>
          </cell>
        </row>
        <row r="115">
          <cell r="A115" t="str">
            <v>KHF-00-104265-QA-6050-32005-0000-1</v>
          </cell>
          <cell r="B115" t="str">
            <v>AIP-PDO-P1701009-T-0081</v>
          </cell>
          <cell r="C115">
            <v>43076</v>
          </cell>
          <cell r="D115" t="str">
            <v>KHF-00-104265-QA-6050-32005-0000</v>
          </cell>
          <cell r="E115" t="str">
            <v xml:space="preserve">Quality Control Procedure for Handling of Welding Consumables </v>
          </cell>
          <cell r="F115">
            <v>1</v>
          </cell>
          <cell r="G115" t="str">
            <v>IFR</v>
          </cell>
        </row>
        <row r="116">
          <cell r="A116" t="str">
            <v>KHF-00-104265-JA-6611-10001-0000-1</v>
          </cell>
          <cell r="B116" t="str">
            <v>AIP-PDO-P1701009-T-0082</v>
          </cell>
          <cell r="C116">
            <v>43076</v>
          </cell>
          <cell r="D116" t="str">
            <v>KHF-00-104265-JA-6611-10001-0000</v>
          </cell>
          <cell r="E116" t="str">
            <v>Master Document Deliverables Register</v>
          </cell>
          <cell r="F116">
            <v>1</v>
          </cell>
          <cell r="G116" t="str">
            <v>IFI</v>
          </cell>
        </row>
        <row r="117">
          <cell r="A117" t="str">
            <v>---</v>
          </cell>
          <cell r="B117" t="str">
            <v>AIP-PDO-P1701009-T-0083</v>
          </cell>
          <cell r="C117">
            <v>43079</v>
          </cell>
          <cell r="D117" t="str">
            <v>-</v>
          </cell>
          <cell r="E117" t="str">
            <v>-</v>
          </cell>
          <cell r="F117" t="str">
            <v>-</v>
          </cell>
          <cell r="G117" t="str">
            <v>not issued</v>
          </cell>
        </row>
        <row r="118">
          <cell r="A118" t="str">
            <v>KHF-00-104265-AA-3341-60037-0000-1</v>
          </cell>
          <cell r="B118" t="str">
            <v>AIP-PDO-P1701009-T-0084</v>
          </cell>
          <cell r="C118">
            <v>43079</v>
          </cell>
          <cell r="D118" t="str">
            <v>KHF-00-104265-AA-3341-60037-0000</v>
          </cell>
          <cell r="E118" t="str">
            <v>CV of  Mr. Manialagan Sangili - Procurement Engineer</v>
          </cell>
          <cell r="F118">
            <v>1</v>
          </cell>
          <cell r="G118" t="str">
            <v>IFR</v>
          </cell>
        </row>
        <row r="119">
          <cell r="A119" t="str">
            <v>KHF-00-104265-AA-3341-60038-0000-1</v>
          </cell>
          <cell r="B119" t="str">
            <v>AIP-PDO-P1701009-T-0085</v>
          </cell>
          <cell r="C119">
            <v>43079</v>
          </cell>
          <cell r="D119" t="str">
            <v>KHF-00-104265-AA-3341-60038-0000</v>
          </cell>
          <cell r="E119" t="str">
            <v>CV of  Mr. Manoj Erinhippurath - Completion Engineer</v>
          </cell>
          <cell r="F119">
            <v>1</v>
          </cell>
          <cell r="G119" t="str">
            <v>IFR</v>
          </cell>
        </row>
        <row r="120">
          <cell r="A120" t="str">
            <v>KHF-00-104265-AA-3341-60039-0000-1</v>
          </cell>
          <cell r="B120" t="str">
            <v>AIP-PDO-P1701009-T-0086</v>
          </cell>
          <cell r="C120">
            <v>43079</v>
          </cell>
          <cell r="D120" t="str">
            <v>KHF-00-104265-AA-3341-60039-0000</v>
          </cell>
          <cell r="E120" t="str">
            <v>CV of  Mr. R. Gunasekaran - Lead Field Pipelines Engineer</v>
          </cell>
          <cell r="F120">
            <v>1</v>
          </cell>
          <cell r="G120" t="str">
            <v>IFR</v>
          </cell>
        </row>
        <row r="121">
          <cell r="A121" t="str">
            <v>KHF-00-104265-VA-6036-10008-0000-1</v>
          </cell>
          <cell r="B121" t="str">
            <v>AIP-PDO-P1701009-T-0087</v>
          </cell>
          <cell r="C121">
            <v>43079</v>
          </cell>
          <cell r="D121" t="str">
            <v>KHF-00-104265-VA-6036-10008-0000</v>
          </cell>
          <cell r="E121" t="str">
            <v>Material Control Procedure</v>
          </cell>
          <cell r="F121">
            <v>1</v>
          </cell>
          <cell r="G121" t="str">
            <v>IFR</v>
          </cell>
        </row>
        <row r="122">
          <cell r="A122" t="str">
            <v>KHF-00-104265-VA-5880-10007-0000-1</v>
          </cell>
          <cell r="B122" t="str">
            <v>AIP-PDO-P1701009-T-0088</v>
          </cell>
          <cell r="C122">
            <v>43079</v>
          </cell>
          <cell r="D122" t="str">
            <v>KHF-00-104265-VA-5880-10007-0000</v>
          </cell>
          <cell r="E122" t="str">
            <v>Contract Logistics Plan</v>
          </cell>
          <cell r="F122">
            <v>1</v>
          </cell>
          <cell r="G122" t="str">
            <v>IFR</v>
          </cell>
        </row>
        <row r="123">
          <cell r="A123" t="str">
            <v>KHF-00-104265-CX-4180-00309-0001-1</v>
          </cell>
          <cell r="B123" t="str">
            <v>AIP-PDO-P1701009-T-0089</v>
          </cell>
          <cell r="C123">
            <v>43079</v>
          </cell>
          <cell r="D123" t="str">
            <v>KHF-00-104265-CX-4180-00309-0001</v>
          </cell>
          <cell r="E123" t="str">
            <v>Site Office Layout</v>
          </cell>
          <cell r="F123">
            <v>1</v>
          </cell>
          <cell r="G123" t="str">
            <v>IFR</v>
          </cell>
        </row>
        <row r="124">
          <cell r="A124" t="str">
            <v>KHF-00-104265-BA-6070-41001-0000-2</v>
          </cell>
          <cell r="B124" t="str">
            <v>AIP-PDO-P1701009-T-0090</v>
          </cell>
          <cell r="C124">
            <v>43079</v>
          </cell>
          <cell r="D124" t="str">
            <v>KHF-00-104265-BA-6070-41001-0000</v>
          </cell>
          <cell r="E124" t="str">
            <v>Method Statement  for Foundation Excavation, Disposal Backfilling &amp; Compaction</v>
          </cell>
          <cell r="F124">
            <v>2</v>
          </cell>
          <cell r="G124" t="str">
            <v>IFA</v>
          </cell>
        </row>
        <row r="125">
          <cell r="A125" t="str">
            <v>KHF-00-104265-RA-8241-51004-0000-1</v>
          </cell>
          <cell r="B125" t="str">
            <v>AIP-PDO-P1701009-T-0091</v>
          </cell>
          <cell r="C125">
            <v>43080</v>
          </cell>
          <cell r="D125" t="str">
            <v>KHF-00-104265-RA-8241-51004-0000</v>
          </cell>
          <cell r="E125" t="str">
            <v>Material Approval Sheet for Concrete Protective Coating for Surfaces in contact with Soil</v>
          </cell>
          <cell r="F125">
            <v>1</v>
          </cell>
          <cell r="G125" t="str">
            <v>IFR</v>
          </cell>
        </row>
        <row r="126">
          <cell r="A126" t="str">
            <v>KHF-00-104265-RA-8241-51005-0000-1</v>
          </cell>
          <cell r="B126" t="str">
            <v>AIP-PDO-P1701009-T-0092</v>
          </cell>
          <cell r="C126">
            <v>43080</v>
          </cell>
          <cell r="D126" t="str">
            <v>KHF-00-104265-RA-8241-51005-0000</v>
          </cell>
          <cell r="E126" t="str">
            <v>Material Approval Sheet for Concrete Repair Product</v>
          </cell>
          <cell r="F126">
            <v>1</v>
          </cell>
          <cell r="G126" t="str">
            <v>IFR</v>
          </cell>
        </row>
        <row r="127">
          <cell r="A127" t="str">
            <v>KHF-00-104265-RA-8241-51006-0000-1</v>
          </cell>
          <cell r="B127" t="str">
            <v>AIP-PDO-P1701009-T-0093</v>
          </cell>
          <cell r="C127">
            <v>43080</v>
          </cell>
          <cell r="D127" t="str">
            <v>KHF-00-104265-RA-8241-51006-0000</v>
          </cell>
          <cell r="E127" t="str">
            <v>Material Approval Sheet for Cementitious Grout</v>
          </cell>
          <cell r="F127">
            <v>1</v>
          </cell>
          <cell r="G127" t="str">
            <v>IFR</v>
          </cell>
        </row>
        <row r="128">
          <cell r="A128" t="str">
            <v>KHF-00-104265-RA-8241-51007-0000-1</v>
          </cell>
          <cell r="B128" t="str">
            <v>AIP-PDO-P1701009-T-0094</v>
          </cell>
          <cell r="C128">
            <v>43080</v>
          </cell>
          <cell r="D128" t="str">
            <v>KHF-00-104265-RA-8241-51007-0000</v>
          </cell>
          <cell r="E128" t="str">
            <v>Material Approval Sheet for Concrete C-35 and C-10</v>
          </cell>
          <cell r="F128">
            <v>1</v>
          </cell>
          <cell r="G128" t="str">
            <v>IFR</v>
          </cell>
        </row>
        <row r="129">
          <cell r="A129" t="str">
            <v>KHF-00-104265-AA-6944-10005-0000-1</v>
          </cell>
          <cell r="B129" t="str">
            <v>AIP-PDO-P1701009-T-0095</v>
          </cell>
          <cell r="C129">
            <v>43080</v>
          </cell>
          <cell r="D129" t="str">
            <v>KHF-00-104265-AA-6944-10005-0000</v>
          </cell>
          <cell r="E129" t="str">
            <v>Weekly Progress Report No.005</v>
          </cell>
          <cell r="F129">
            <v>1</v>
          </cell>
          <cell r="G129" t="str">
            <v>IFI</v>
          </cell>
        </row>
        <row r="130">
          <cell r="A130" t="str">
            <v>KHF-00-104265-AA-7417-10092-0000-1</v>
          </cell>
          <cell r="B130" t="str">
            <v>AIP-PDO-P1701009-T-0096</v>
          </cell>
          <cell r="C130">
            <v>43081</v>
          </cell>
          <cell r="D130" t="str">
            <v>KHF-00-104265-AA-7417-10092-0000</v>
          </cell>
          <cell r="E130" t="str">
            <v>Lessons Learnt from Galfar Kitchen and Dining</v>
          </cell>
          <cell r="F130">
            <v>1</v>
          </cell>
          <cell r="G130" t="str">
            <v>IFI</v>
          </cell>
        </row>
        <row r="131">
          <cell r="A131" t="str">
            <v>KHF-00-104265-AA-6944-20002-0000-1</v>
          </cell>
          <cell r="B131" t="str">
            <v>AIP-PDO-P1701009-T-0097</v>
          </cell>
          <cell r="C131">
            <v>43081</v>
          </cell>
          <cell r="D131" t="str">
            <v>KHF-00-104265-AA-6944-20002-0000</v>
          </cell>
          <cell r="E131" t="str">
            <v>Monthly Progress Report No.002 (Nov 2017)</v>
          </cell>
          <cell r="F131">
            <v>1</v>
          </cell>
          <cell r="G131" t="str">
            <v>IFI</v>
          </cell>
        </row>
        <row r="132">
          <cell r="A132" t="str">
            <v>KHF-00-104265-AA-3341-60040-0000-1</v>
          </cell>
          <cell r="B132" t="str">
            <v>AIP-PDO-P1701009-T-0098</v>
          </cell>
          <cell r="C132">
            <v>43082</v>
          </cell>
          <cell r="D132" t="str">
            <v>KHF-00-104265-AA-3341-60040-0000</v>
          </cell>
          <cell r="E132" t="str">
            <v>CV of Mr. Jayakumar J. - Welding Engineer</v>
          </cell>
          <cell r="F132">
            <v>1</v>
          </cell>
          <cell r="G132" t="str">
            <v>IFR</v>
          </cell>
        </row>
        <row r="133">
          <cell r="A133" t="str">
            <v>KHF-00-104265-AA-6944-10006-0000-1</v>
          </cell>
          <cell r="B133" t="str">
            <v>AIP-PDO-P1701009-T-0099</v>
          </cell>
          <cell r="C133">
            <v>43082</v>
          </cell>
          <cell r="D133" t="str">
            <v>KHF-00-104265-AA-6944-10006-0000</v>
          </cell>
          <cell r="E133" t="str">
            <v>Weekly Progress Report No.006</v>
          </cell>
          <cell r="F133">
            <v>1</v>
          </cell>
          <cell r="G133" t="str">
            <v>IFI</v>
          </cell>
        </row>
        <row r="134">
          <cell r="A134" t="str">
            <v>KHF-00-104265-HX-6180-10012-0000-3</v>
          </cell>
          <cell r="B134" t="str">
            <v>AIP-PDO-P1701009-T-0100</v>
          </cell>
          <cell r="C134">
            <v>43083</v>
          </cell>
          <cell r="D134" t="str">
            <v>KHF-00-104265-HX-6180-10012-0000</v>
          </cell>
          <cell r="E134" t="str">
            <v>Permit to Work Procedure (Greenfield)</v>
          </cell>
          <cell r="F134">
            <v>3</v>
          </cell>
          <cell r="G134" t="str">
            <v>IFA</v>
          </cell>
        </row>
        <row r="135">
          <cell r="A135" t="str">
            <v>KHF-00-104265-QA-5733-21013-0000-2</v>
          </cell>
          <cell r="B135" t="str">
            <v>AIP-PDO-P1701009-T-0101</v>
          </cell>
          <cell r="C135">
            <v>43087</v>
          </cell>
          <cell r="D135" t="str">
            <v>KHF-00-104265-QA-5733-21013-0000</v>
          </cell>
          <cell r="E135" t="str">
            <v>Inspection &amp; Test Plan for Roof Water Proofing and Installation</v>
          </cell>
          <cell r="F135">
            <v>2</v>
          </cell>
          <cell r="G135" t="str">
            <v>IFA</v>
          </cell>
        </row>
        <row r="136">
          <cell r="A136" t="str">
            <v>KHF-00-104265-QA-5733-21017-0000-2</v>
          </cell>
          <cell r="B136" t="str">
            <v>AIP-PDO-P1701009-T-0101</v>
          </cell>
          <cell r="C136">
            <v>43087</v>
          </cell>
          <cell r="D136" t="str">
            <v>KHF-00-104265-QA-5733-21017-0000</v>
          </cell>
          <cell r="E136" t="str">
            <v>Inspection &amp; Test Plan for Graded Road Works</v>
          </cell>
          <cell r="F136">
            <v>2</v>
          </cell>
          <cell r="G136" t="str">
            <v>IFA</v>
          </cell>
        </row>
        <row r="137">
          <cell r="A137" t="str">
            <v>KHF-00-104265-QA-5733-21019-0000-2</v>
          </cell>
          <cell r="B137" t="str">
            <v>AIP-PDO-P1701009-T-0101</v>
          </cell>
          <cell r="C137">
            <v>43087</v>
          </cell>
          <cell r="D137" t="str">
            <v>KHF-00-104265-QA-5733-21019-0000</v>
          </cell>
          <cell r="E137" t="str">
            <v>Inspection &amp; Test Plan for Service Trench - Electrical &amp; Instrumentation Works</v>
          </cell>
          <cell r="F137">
            <v>2</v>
          </cell>
          <cell r="G137" t="str">
            <v>IFA</v>
          </cell>
        </row>
        <row r="138">
          <cell r="A138" t="str">
            <v>KHF-00-104265-QA-5733-21020-0000-2</v>
          </cell>
          <cell r="B138" t="str">
            <v>AIP-PDO-P1701009-T-0101</v>
          </cell>
          <cell r="C138">
            <v>43087</v>
          </cell>
          <cell r="D138" t="str">
            <v>KHF-00-104265-QA-5733-21020-0000</v>
          </cell>
          <cell r="E138" t="str">
            <v>Inspection &amp; Test Plan for Paving Works</v>
          </cell>
          <cell r="F138">
            <v>2</v>
          </cell>
          <cell r="G138" t="str">
            <v>IFA</v>
          </cell>
        </row>
        <row r="139">
          <cell r="A139" t="str">
            <v>KHF-00-104265-HX-4380-10013-0000-2</v>
          </cell>
          <cell r="B139" t="str">
            <v>AIP-PDO-P1701009-T-0102</v>
          </cell>
          <cell r="C139">
            <v>43087</v>
          </cell>
          <cell r="D139" t="str">
            <v>KHF-00-104265-HX-4380-10013-0000</v>
          </cell>
          <cell r="E139" t="str">
            <v>HSE Training Matrix</v>
          </cell>
          <cell r="F139">
            <v>2</v>
          </cell>
          <cell r="G139" t="str">
            <v>IFA</v>
          </cell>
        </row>
        <row r="140">
          <cell r="A140" t="str">
            <v>KHF-00-104265-BA-6065-00102-0000-1</v>
          </cell>
          <cell r="B140" t="str">
            <v>AIP-PDO-P1701009-T-0103</v>
          </cell>
          <cell r="C140">
            <v>43087</v>
          </cell>
          <cell r="D140" t="str">
            <v>KHF-00-104265-BA-6065-00102-0000</v>
          </cell>
          <cell r="E140" t="str">
            <v>Proposed Welding Specification (Mainline 16" PL5)</v>
          </cell>
          <cell r="F140">
            <v>1</v>
          </cell>
          <cell r="G140" t="str">
            <v>IFR</v>
          </cell>
        </row>
        <row r="141">
          <cell r="A141" t="str">
            <v>KHF-00-104265-BA-6065-00103-0000-1</v>
          </cell>
          <cell r="B141" t="str">
            <v>AIP-PDO-P1701009-T-0103</v>
          </cell>
          <cell r="C141">
            <v>43087</v>
          </cell>
          <cell r="D141" t="str">
            <v>KHF-00-104265-BA-6065-00103-0000</v>
          </cell>
          <cell r="E141" t="str">
            <v>Proposed Welding Specification (Tie-In 16" PL5)</v>
          </cell>
          <cell r="F141">
            <v>1</v>
          </cell>
          <cell r="G141" t="str">
            <v>IFR</v>
          </cell>
        </row>
        <row r="142">
          <cell r="A142" t="str">
            <v>KHF-00-104265-BA-6065-00104-0000-1</v>
          </cell>
          <cell r="B142" t="str">
            <v>AIP-PDO-P1701009-T-0103</v>
          </cell>
          <cell r="C142">
            <v>43087</v>
          </cell>
          <cell r="D142" t="str">
            <v>KHF-00-104265-BA-6065-00104-0000</v>
          </cell>
          <cell r="E142" t="str">
            <v>Proposed Welding Specification (FP Repair 16" PL5)</v>
          </cell>
          <cell r="F142">
            <v>1</v>
          </cell>
          <cell r="G142" t="str">
            <v>IFR</v>
          </cell>
        </row>
        <row r="143">
          <cell r="A143" t="str">
            <v>KHF-00-104265-BA-6065-00105-0000-1</v>
          </cell>
          <cell r="B143" t="str">
            <v>AIP-PDO-P1701009-T-0103</v>
          </cell>
          <cell r="C143">
            <v>43087</v>
          </cell>
          <cell r="D143" t="str">
            <v>KHF-00-104265-BA-6065-00105-0000</v>
          </cell>
          <cell r="E143" t="str">
            <v>Proposed Welding Specification (PP Repair 16" PL5)</v>
          </cell>
          <cell r="F143">
            <v>1</v>
          </cell>
          <cell r="G143" t="str">
            <v>IFR</v>
          </cell>
        </row>
        <row r="144">
          <cell r="A144" t="str">
            <v>KHF-00-104265-AA-3347-10011-0000-1</v>
          </cell>
          <cell r="B144" t="str">
            <v>AIP-PDO-P1701009-T-0104</v>
          </cell>
          <cell r="C144">
            <v>43088</v>
          </cell>
          <cell r="D144" t="str">
            <v>KHF-00-104265-AA-3347-10011-0000</v>
          </cell>
          <cell r="E144" t="str">
            <v>Minutes of Meeting - Weekly Review Meeting No.11</v>
          </cell>
          <cell r="F144">
            <v>1</v>
          </cell>
          <cell r="G144" t="str">
            <v>IFI</v>
          </cell>
        </row>
        <row r="145">
          <cell r="A145" t="str">
            <v>KHF-00-104265-HX-5880-10014-0000-2</v>
          </cell>
          <cell r="B145" t="str">
            <v>AIP-PDO-P1701009-T-0105</v>
          </cell>
          <cell r="C145">
            <v>43089</v>
          </cell>
          <cell r="D145" t="str">
            <v>KHF-00-104265-HX-5880-10014-0000</v>
          </cell>
          <cell r="E145" t="str">
            <v>HSE Monitoring Plan</v>
          </cell>
          <cell r="F145">
            <v>2</v>
          </cell>
          <cell r="G145" t="str">
            <v>IFA</v>
          </cell>
        </row>
        <row r="146">
          <cell r="A146" t="str">
            <v>KHF-00-104265-BA-6070-41002-0000-1</v>
          </cell>
          <cell r="B146" t="str">
            <v>AIP-PDO-P1701009-T-0106</v>
          </cell>
          <cell r="C146">
            <v>43089</v>
          </cell>
          <cell r="D146" t="str">
            <v>KHF-00-104265-BA-6070-41002-0000</v>
          </cell>
          <cell r="E146" t="str">
            <v>Method Statement for Formwork, Reinforcement and Concreting Works</v>
          </cell>
          <cell r="F146">
            <v>1</v>
          </cell>
          <cell r="G146" t="str">
            <v>IFR</v>
          </cell>
        </row>
        <row r="147">
          <cell r="A147" t="str">
            <v>KHF-00-104265-AA-6944-10007-0000-1</v>
          </cell>
          <cell r="B147" t="str">
            <v>AIP-PDO-P1701009-T-0107</v>
          </cell>
          <cell r="C147">
            <v>43090</v>
          </cell>
          <cell r="D147" t="str">
            <v>KHF-00-104265-AA-6944-10007-0000</v>
          </cell>
          <cell r="E147" t="str">
            <v>Weekly Progress Report No.007</v>
          </cell>
          <cell r="F147">
            <v>1</v>
          </cell>
          <cell r="G147" t="str">
            <v>IFI</v>
          </cell>
        </row>
        <row r="148">
          <cell r="A148" t="str">
            <v>KHF-00-104265-CX-4180-10005-0001-3</v>
          </cell>
          <cell r="B148" t="str">
            <v>AIP-PDO-P1701009-T-0108</v>
          </cell>
          <cell r="C148">
            <v>43090</v>
          </cell>
          <cell r="D148" t="str">
            <v>KHF-00-104265-CX-4180-10005-0001</v>
          </cell>
          <cell r="E148" t="str">
            <v>Site Camp Layout</v>
          </cell>
          <cell r="F148">
            <v>3</v>
          </cell>
          <cell r="G148" t="str">
            <v>IFA</v>
          </cell>
        </row>
        <row r="149">
          <cell r="A149" t="str">
            <v>KHF-00-104265-CI-4180-00301-0001-1</v>
          </cell>
          <cell r="B149" t="str">
            <v>AIP-PDO-P1701009-T-0109</v>
          </cell>
          <cell r="C149">
            <v>43090</v>
          </cell>
          <cell r="D149" t="str">
            <v>KHF-00-104265-CI-4180-00301-0001</v>
          </cell>
          <cell r="E149" t="str">
            <v>External Water Supply Layout - Site Camp (Stage 01)</v>
          </cell>
          <cell r="F149">
            <v>1</v>
          </cell>
          <cell r="G149" t="str">
            <v>IFR</v>
          </cell>
        </row>
        <row r="150">
          <cell r="A150" t="str">
            <v>KHF-00-104265-CI-4180-00301-0002-1</v>
          </cell>
          <cell r="B150" t="str">
            <v>AIP-PDO-P1701009-T-0109</v>
          </cell>
          <cell r="C150">
            <v>43090</v>
          </cell>
          <cell r="D150" t="str">
            <v>KHF-00-104265-CI-4180-00301-0002</v>
          </cell>
          <cell r="E150" t="str">
            <v>External Water Supply Layout - Enabling Camp</v>
          </cell>
          <cell r="F150">
            <v>1</v>
          </cell>
          <cell r="G150" t="str">
            <v>IFR</v>
          </cell>
        </row>
        <row r="151">
          <cell r="A151" t="str">
            <v>KHF-00-104265-CI-4180-00302-0001-1</v>
          </cell>
          <cell r="B151" t="str">
            <v>AIP-PDO-P1701009-T-0109</v>
          </cell>
          <cell r="C151">
            <v>43090</v>
          </cell>
          <cell r="D151" t="str">
            <v>KHF-00-104265-CI-4180-00302-0001</v>
          </cell>
          <cell r="E151" t="str">
            <v>External Drainage Layout - Site Camp (Stage 01)</v>
          </cell>
          <cell r="F151">
            <v>1</v>
          </cell>
          <cell r="G151" t="str">
            <v>IFR</v>
          </cell>
        </row>
        <row r="152">
          <cell r="A152" t="str">
            <v>KHF-00-104265-CI-4180-00302-0002-1</v>
          </cell>
          <cell r="B152" t="str">
            <v>AIP-PDO-P1701009-T-0109</v>
          </cell>
          <cell r="C152">
            <v>43090</v>
          </cell>
          <cell r="D152" t="str">
            <v>KHF-00-104265-CI-4180-00302-0002</v>
          </cell>
          <cell r="E152" t="str">
            <v>External Drainage Layout - Enabling Camp</v>
          </cell>
          <cell r="F152">
            <v>1</v>
          </cell>
          <cell r="G152" t="str">
            <v>IFR</v>
          </cell>
        </row>
        <row r="153">
          <cell r="A153" t="str">
            <v>KHF-00-104265-EA-2384-00301-0001-1</v>
          </cell>
          <cell r="B153" t="str">
            <v>AIP-PDO-P1701009-T-0110</v>
          </cell>
          <cell r="C153">
            <v>43090</v>
          </cell>
          <cell r="D153" t="str">
            <v>KHF-00-104265-EA-2384-00301-0001</v>
          </cell>
          <cell r="E153" t="str">
            <v>Single Line Diagram - Stage 1 Camp</v>
          </cell>
          <cell r="F153">
            <v>1</v>
          </cell>
          <cell r="G153" t="str">
            <v>IFR</v>
          </cell>
        </row>
        <row r="154">
          <cell r="A154" t="str">
            <v>KHF-00-104265-EA-2384-00301-0002-1</v>
          </cell>
          <cell r="B154" t="str">
            <v>AIP-PDO-P1701009-T-0110</v>
          </cell>
          <cell r="C154">
            <v>43090</v>
          </cell>
          <cell r="D154" t="str">
            <v>KHF-00-104265-EA-2384-00301-0002</v>
          </cell>
          <cell r="E154" t="str">
            <v>Single Line Diagram - Enabling Camp</v>
          </cell>
          <cell r="F154">
            <v>1</v>
          </cell>
          <cell r="G154" t="str">
            <v>IFR</v>
          </cell>
        </row>
        <row r="155">
          <cell r="A155" t="str">
            <v>KHF-00-104265-EA-4005-00301-0001-1</v>
          </cell>
          <cell r="B155" t="str">
            <v>AIP-PDO-P1701009-T-0110</v>
          </cell>
          <cell r="C155">
            <v>43090</v>
          </cell>
          <cell r="D155" t="str">
            <v>KHF-00-104265-EA-4005-00301-0001</v>
          </cell>
          <cell r="E155" t="str">
            <v>External Cable Route Layout - Site Camp (Stage 1)</v>
          </cell>
          <cell r="F155">
            <v>1</v>
          </cell>
          <cell r="G155" t="str">
            <v>IFR</v>
          </cell>
        </row>
        <row r="156">
          <cell r="A156" t="str">
            <v>KHF-00-104265-EA-4005-00301-0002-1</v>
          </cell>
          <cell r="B156" t="str">
            <v>AIP-PDO-P1701009-T-0110</v>
          </cell>
          <cell r="C156">
            <v>43090</v>
          </cell>
          <cell r="D156" t="str">
            <v>KHF-00-104265-EA-4005-00301-0002</v>
          </cell>
          <cell r="E156" t="str">
            <v>External Cable Route Layout - Enabling Camp</v>
          </cell>
          <cell r="F156">
            <v>1</v>
          </cell>
          <cell r="G156" t="str">
            <v>IFR</v>
          </cell>
        </row>
        <row r="157">
          <cell r="A157" t="str">
            <v>KHF-00-104265-EA-8809-00301-0001-1</v>
          </cell>
          <cell r="B157" t="str">
            <v>AIP-PDO-P1701009-T-0110</v>
          </cell>
          <cell r="C157">
            <v>43090</v>
          </cell>
          <cell r="D157" t="str">
            <v>KHF-00-104265-EA-8809-00301-0001</v>
          </cell>
          <cell r="E157" t="str">
            <v>Earthing Layout - Enabling and Stage 1 Camp</v>
          </cell>
          <cell r="F157">
            <v>1</v>
          </cell>
          <cell r="G157" t="str">
            <v>IFR</v>
          </cell>
        </row>
        <row r="158">
          <cell r="A158" t="str">
            <v>KHF-00-104265-AA-3341-60041-0000-1</v>
          </cell>
          <cell r="B158" t="str">
            <v>AIP-PDO-P1701009-T-0111</v>
          </cell>
          <cell r="C158">
            <v>43090</v>
          </cell>
          <cell r="D158" t="str">
            <v>KHF-00-104265-AA-3341-60041-0000</v>
          </cell>
          <cell r="E158" t="str">
            <v>CV of Mr. Naveen Kumar Gudapati - Interface Engineer</v>
          </cell>
          <cell r="F158">
            <v>1</v>
          </cell>
          <cell r="G158" t="str">
            <v>IFR</v>
          </cell>
        </row>
        <row r="159">
          <cell r="A159" t="str">
            <v>KHF-00-104265-HX-7180-10093-0000-1</v>
          </cell>
          <cell r="B159" t="str">
            <v>AIP-PDO-P1701009-T-0112</v>
          </cell>
          <cell r="C159">
            <v>43094</v>
          </cell>
          <cell r="D159" t="str">
            <v>KHF-00-104265-HX-7180-10093-0000</v>
          </cell>
          <cell r="E159" t="str">
            <v>Inspection Report for Temporary Kitchen Facility for YKP</v>
          </cell>
          <cell r="F159">
            <v>1</v>
          </cell>
          <cell r="G159" t="str">
            <v>IFI</v>
          </cell>
        </row>
        <row r="160">
          <cell r="A160" t="str">
            <v>KHF-00-104265-RA-8241-51008-0000-1</v>
          </cell>
          <cell r="B160" t="str">
            <v>AIP-PDO-P1701009-T-0113</v>
          </cell>
          <cell r="C160">
            <v>43095</v>
          </cell>
          <cell r="D160" t="str">
            <v>KHF-00-104265-RA-8241-51008-0000</v>
          </cell>
          <cell r="E160" t="str">
            <v>Material Approval Sheet for 1000 Guage Polythene Sheet</v>
          </cell>
          <cell r="F160">
            <v>1</v>
          </cell>
          <cell r="G160" t="str">
            <v>IFR</v>
          </cell>
        </row>
        <row r="161">
          <cell r="A161" t="str">
            <v>KHF-00-104265-RA-8241-51009-0000-1</v>
          </cell>
          <cell r="B161" t="str">
            <v>AIP-PDO-P1701009-T-0113</v>
          </cell>
          <cell r="C161">
            <v>43095</v>
          </cell>
          <cell r="D161" t="str">
            <v>KHF-00-104265-RA-8241-51009-0000</v>
          </cell>
          <cell r="E161" t="str">
            <v>Material Approval Sheet for Anneled Binding Wire 16 Guage</v>
          </cell>
          <cell r="F161">
            <v>1</v>
          </cell>
          <cell r="G161" t="str">
            <v>IFR</v>
          </cell>
        </row>
        <row r="162">
          <cell r="A162" t="str">
            <v>KHF-00-104265-RA-8241-51010-0000-1</v>
          </cell>
          <cell r="B162" t="str">
            <v>AIP-PDO-P1701009-T-0113</v>
          </cell>
          <cell r="C162">
            <v>43095</v>
          </cell>
          <cell r="D162" t="str">
            <v>KHF-00-104265-RA-8241-51010-0000</v>
          </cell>
          <cell r="E162" t="str">
            <v>Material Approval Sheet for Anti-Termite Treatment</v>
          </cell>
          <cell r="F162">
            <v>1</v>
          </cell>
          <cell r="G162" t="str">
            <v>IFR</v>
          </cell>
        </row>
        <row r="163">
          <cell r="A163" t="str">
            <v>KHF-00-104265-AA-6944-10008-0000-1</v>
          </cell>
          <cell r="B163" t="str">
            <v>AIP-PDO-P1701009-T-0114</v>
          </cell>
          <cell r="C163">
            <v>43096</v>
          </cell>
          <cell r="D163" t="str">
            <v>KHF-00-104265-AA-6944-10008-0000</v>
          </cell>
          <cell r="E163" t="str">
            <v>Weekly Progress Report No.008</v>
          </cell>
          <cell r="F163">
            <v>1</v>
          </cell>
          <cell r="G163" t="str">
            <v>IFI</v>
          </cell>
        </row>
        <row r="164">
          <cell r="A164" t="str">
            <v>KHF-00-104265-QA-5733-21004-0000-2</v>
          </cell>
          <cell r="B164" t="str">
            <v>AIP-PDO-P1701009-T-0115</v>
          </cell>
          <cell r="C164">
            <v>43096</v>
          </cell>
          <cell r="D164" t="str">
            <v>KHF-00-104265-QA-5733-21004-0000</v>
          </cell>
          <cell r="E164" t="str">
            <v>Inspection &amp; Test Plan - Excavation</v>
          </cell>
          <cell r="F164">
            <v>2</v>
          </cell>
          <cell r="G164" t="str">
            <v>IFA</v>
          </cell>
        </row>
        <row r="165">
          <cell r="A165" t="str">
            <v>KHF-00-104265-QA-5733-21005-0000-2</v>
          </cell>
          <cell r="B165" t="str">
            <v>AIP-PDO-P1701009-T-0115</v>
          </cell>
          <cell r="C165">
            <v>43096</v>
          </cell>
          <cell r="D165" t="str">
            <v>KHF-00-104265-QA-5733-21005-0000</v>
          </cell>
          <cell r="E165" t="str">
            <v>Inspection &amp; Test Plan - Fill and Backfill</v>
          </cell>
          <cell r="F165">
            <v>2</v>
          </cell>
          <cell r="G165" t="str">
            <v>IFA</v>
          </cell>
        </row>
        <row r="166">
          <cell r="A166" t="str">
            <v>KHF-00-104265-AA-7206-10001-0000-1</v>
          </cell>
          <cell r="B166" t="str">
            <v>AIP-PDO-P1701009-T-0116</v>
          </cell>
          <cell r="C166">
            <v>43097</v>
          </cell>
          <cell r="D166" t="str">
            <v>KHF-00-104265-AA-7206-10001-0000</v>
          </cell>
          <cell r="E166" t="str">
            <v>Variance Proposal - Trial Mix for Concrete Grade C10 and C35</v>
          </cell>
          <cell r="F166">
            <v>1</v>
          </cell>
          <cell r="G166" t="str">
            <v>IFA</v>
          </cell>
        </row>
        <row r="167">
          <cell r="A167" t="str">
            <v>KHF-00-104265-QA-5733-21002-0000-2</v>
          </cell>
          <cell r="B167" t="str">
            <v>AIP-PDO-P1701009-T-0117</v>
          </cell>
          <cell r="C167">
            <v>43101</v>
          </cell>
          <cell r="D167" t="str">
            <v>KHF-00-104265-QA-5733-21002-0000</v>
          </cell>
          <cell r="E167" t="str">
            <v>Inspection &amp; Test Plan - Demolition and Alteration</v>
          </cell>
          <cell r="F167">
            <v>2</v>
          </cell>
          <cell r="G167" t="str">
            <v>IFA</v>
          </cell>
        </row>
        <row r="168">
          <cell r="A168" t="str">
            <v>KHF-00-104265-FA-7753-10041-0000-1</v>
          </cell>
          <cell r="B168" t="str">
            <v>AIP-PDO-P1701009-T-0118</v>
          </cell>
          <cell r="C168">
            <v>43103</v>
          </cell>
          <cell r="D168" t="str">
            <v>KHF-00-104265-FA-7753-10041-0000</v>
          </cell>
          <cell r="E168" t="str">
            <v>Terms of Reference for Joint Risk Management Workshop</v>
          </cell>
          <cell r="F168">
            <v>1</v>
          </cell>
          <cell r="G168" t="str">
            <v>IFR</v>
          </cell>
        </row>
        <row r="169">
          <cell r="A169" t="str">
            <v>KHF-00-104265-QA-5798-10009-0000-2</v>
          </cell>
          <cell r="B169" t="str">
            <v>AIP-PDO-P1701009-T-0119</v>
          </cell>
          <cell r="C169">
            <v>43103</v>
          </cell>
          <cell r="D169" t="str">
            <v>KHF-00-104265-QA-5798-10009-0000</v>
          </cell>
          <cell r="E169" t="str">
            <v>Contract Quality Plan</v>
          </cell>
          <cell r="F169">
            <v>2</v>
          </cell>
          <cell r="G169" t="str">
            <v>IFA</v>
          </cell>
        </row>
        <row r="170">
          <cell r="A170" t="str">
            <v>KHF-00-104265-FA-5765-10040-0000-1</v>
          </cell>
          <cell r="B170" t="str">
            <v>AIP-PDO-P1701009-T-0120</v>
          </cell>
          <cell r="C170">
            <v>43104</v>
          </cell>
          <cell r="D170" t="str">
            <v>KHF-00-104265-FA-5765-10040-0000</v>
          </cell>
          <cell r="E170" t="str">
            <v>Project Schedule - Level 04</v>
          </cell>
          <cell r="F170">
            <v>1</v>
          </cell>
          <cell r="G170" t="str">
            <v>IFR</v>
          </cell>
        </row>
        <row r="171">
          <cell r="A171" t="str">
            <v>KHF-00-104265-QA-6180-00101-0000-2</v>
          </cell>
          <cell r="B171" t="str">
            <v>AIP-PDO-P1701009-T-0121</v>
          </cell>
          <cell r="C171">
            <v>43104</v>
          </cell>
          <cell r="D171" t="str">
            <v>KHF-00-104265-QA-6180-00101-0000</v>
          </cell>
          <cell r="E171" t="str">
            <v>Quality Control Procedure for Surveying &amp; Setting-out</v>
          </cell>
          <cell r="F171">
            <v>2</v>
          </cell>
          <cell r="G171" t="str">
            <v>IFA</v>
          </cell>
        </row>
        <row r="172">
          <cell r="A172" t="str">
            <v>KHF-00-104265-QA-6180-00112-0000-2</v>
          </cell>
          <cell r="B172" t="str">
            <v>AIP-PDO-P1701009-T-0121</v>
          </cell>
          <cell r="C172">
            <v>43104</v>
          </cell>
          <cell r="D172" t="str">
            <v>KHF-00-104265-QA-6180-00112-0000</v>
          </cell>
          <cell r="E172" t="str">
            <v>Quality Control Procedure for Trenching</v>
          </cell>
          <cell r="F172">
            <v>2</v>
          </cell>
          <cell r="G172" t="str">
            <v>IFA</v>
          </cell>
        </row>
        <row r="173">
          <cell r="A173" t="str">
            <v>KHF-00-104265-QA-6180-00117-0000-2</v>
          </cell>
          <cell r="B173" t="str">
            <v>AIP-PDO-P1701009-T-0121</v>
          </cell>
          <cell r="C173">
            <v>43104</v>
          </cell>
          <cell r="D173" t="str">
            <v>KHF-00-104265-QA-6180-00117-0000</v>
          </cell>
          <cell r="E173" t="str">
            <v>Quality Control Procedure for Pre Padding of Trench</v>
          </cell>
          <cell r="F173">
            <v>2</v>
          </cell>
          <cell r="G173" t="str">
            <v>IFA</v>
          </cell>
        </row>
        <row r="174">
          <cell r="A174" t="str">
            <v>KHF-00-104265-AA-6944-10009-0000-1</v>
          </cell>
          <cell r="B174" t="str">
            <v>AIP-PDO-P1701009-T-0122</v>
          </cell>
          <cell r="C174">
            <v>43104</v>
          </cell>
          <cell r="D174" t="str">
            <v>KHF-00-104265-AA-6944-10009-0000</v>
          </cell>
          <cell r="E174" t="str">
            <v>Weekly Progress Report No.009</v>
          </cell>
          <cell r="F174">
            <v>1</v>
          </cell>
          <cell r="G174" t="str">
            <v>IFI</v>
          </cell>
        </row>
        <row r="175">
          <cell r="A175" t="str">
            <v>KHF-00-104265-AA-3341-60042-0000-1</v>
          </cell>
          <cell r="B175" t="str">
            <v>AIP-PDO-P1701009-T-0123</v>
          </cell>
          <cell r="C175">
            <v>43107</v>
          </cell>
          <cell r="D175" t="str">
            <v>KHF-00-104265-AA-3341-60042-0000</v>
          </cell>
          <cell r="E175" t="str">
            <v xml:space="preserve">CV of Mr. Tejesh Mangalapu - Welding Engineer </v>
          </cell>
          <cell r="F175">
            <v>1</v>
          </cell>
          <cell r="G175" t="str">
            <v>IFR</v>
          </cell>
        </row>
        <row r="176">
          <cell r="A176" t="str">
            <v>KHF-00-104265-CX-4180-10005-0001-4</v>
          </cell>
          <cell r="B176" t="str">
            <v>AIP-PDO-P1701009-T-0124</v>
          </cell>
          <cell r="C176">
            <v>43107</v>
          </cell>
          <cell r="D176" t="str">
            <v>KHF-00-104265-CX-4180-10005-0001</v>
          </cell>
          <cell r="E176" t="str">
            <v>Site Camp Layout</v>
          </cell>
          <cell r="F176">
            <v>4</v>
          </cell>
          <cell r="G176" t="str">
            <v>IFA</v>
          </cell>
        </row>
        <row r="177">
          <cell r="A177" t="str">
            <v>KHF-00-104265-CI-4180-00310-0001-2</v>
          </cell>
          <cell r="B177" t="str">
            <v>AIP-PDO-P1701009-T-0125</v>
          </cell>
          <cell r="C177">
            <v>43107</v>
          </cell>
          <cell r="D177" t="str">
            <v>KHF-00-104265-CI-4180-00310-0001</v>
          </cell>
          <cell r="E177" t="str">
            <v>Kitchen Layout</v>
          </cell>
          <cell r="F177">
            <v>2</v>
          </cell>
          <cell r="G177" t="str">
            <v>IFA</v>
          </cell>
        </row>
        <row r="178">
          <cell r="A178" t="str">
            <v>KHF-00-104265-AA-8502-00101-0000-1</v>
          </cell>
          <cell r="B178" t="str">
            <v>AIP-PDO-P1701009-T-0126</v>
          </cell>
          <cell r="C178">
            <v>43107</v>
          </cell>
          <cell r="D178" t="str">
            <v>KHF-00-104265-AA-8502-00101-0000</v>
          </cell>
          <cell r="E178" t="str">
            <v xml:space="preserve">Technical Query - Impact Test Requirement as per MDT </v>
          </cell>
          <cell r="F178">
            <v>1</v>
          </cell>
          <cell r="G178" t="str">
            <v>IFA</v>
          </cell>
        </row>
        <row r="179">
          <cell r="A179" t="str">
            <v>KHF-00-104265-AA-3341-60043-0000-1</v>
          </cell>
          <cell r="B179" t="str">
            <v>AIP-PDO-P1701009-T-0127</v>
          </cell>
          <cell r="C179">
            <v>43108</v>
          </cell>
          <cell r="D179" t="str">
            <v>KHF-00-104265-AA-3341-60043-0000</v>
          </cell>
          <cell r="E179" t="str">
            <v xml:space="preserve">CV of Mr. Sudhakar Kajipuram - Welding Engineer </v>
          </cell>
          <cell r="F179">
            <v>1</v>
          </cell>
          <cell r="G179" t="str">
            <v>IFA</v>
          </cell>
        </row>
        <row r="180">
          <cell r="A180" t="str">
            <v>KHF-00-104265-HX-5798-10004-0000-3</v>
          </cell>
          <cell r="B180" t="str">
            <v>AIP-PDO-P1701009-T-0128</v>
          </cell>
          <cell r="C180">
            <v>43108</v>
          </cell>
          <cell r="D180" t="str">
            <v>KHF-00-104265-HX-5798-10004-0000</v>
          </cell>
          <cell r="E180" t="str">
            <v>Contract HSE Plan</v>
          </cell>
          <cell r="F180">
            <v>3</v>
          </cell>
          <cell r="G180" t="str">
            <v>IFA</v>
          </cell>
        </row>
        <row r="181">
          <cell r="A181" t="str">
            <v>KHF-00-104265-HX-6019-10017-0000-2</v>
          </cell>
          <cell r="B181" t="str">
            <v>AIP-PDO-P1701009-T-0129</v>
          </cell>
          <cell r="C181">
            <v>43108</v>
          </cell>
          <cell r="D181" t="str">
            <v>KHF-00-104265-HX-6019-10017-0000</v>
          </cell>
          <cell r="E181" t="str">
            <v>Emergency Response Procedure</v>
          </cell>
          <cell r="F181">
            <v>2</v>
          </cell>
          <cell r="G181" t="str">
            <v>IFA</v>
          </cell>
        </row>
        <row r="182">
          <cell r="A182" t="str">
            <v>KHF-00-104265-QA-6180-00118-0000-1</v>
          </cell>
          <cell r="B182" t="str">
            <v>AIP-PDO-P1701009-T-0130</v>
          </cell>
          <cell r="C182">
            <v>43109</v>
          </cell>
          <cell r="D182" t="str">
            <v>KHF-00-104265-QA-6180-00118-0000</v>
          </cell>
          <cell r="E182" t="str">
            <v>Quality Control Procedure for Holiday Testing, Lowering, Post Padding &amp; Back Filling</v>
          </cell>
          <cell r="F182">
            <v>1</v>
          </cell>
          <cell r="G182" t="str">
            <v>IFR</v>
          </cell>
        </row>
        <row r="183">
          <cell r="A183" t="str">
            <v>KHF-00-104265-AA-6944-20003-0000-1</v>
          </cell>
          <cell r="B183" t="str">
            <v>AIP-PDO-P1701009-T-0131</v>
          </cell>
          <cell r="C183">
            <v>43109</v>
          </cell>
          <cell r="D183" t="str">
            <v>KHF-00-104265-AA-6944-20003-0000</v>
          </cell>
          <cell r="E183" t="str">
            <v>Monthly Progress Report No.003 (Dec 2017)</v>
          </cell>
          <cell r="F183">
            <v>1</v>
          </cell>
          <cell r="G183" t="str">
            <v>IFI</v>
          </cell>
        </row>
        <row r="184">
          <cell r="A184" t="str">
            <v>KHF-00-104265-QA-6050-00105-0000--</v>
          </cell>
          <cell r="B184" t="str">
            <v>AIP-PDO-P1701009-T-0132</v>
          </cell>
          <cell r="C184">
            <v>43109</v>
          </cell>
          <cell r="D184" t="str">
            <v>KHF-00-104265-QA-6050-00105-0000</v>
          </cell>
          <cell r="E184" t="str">
            <v>Quality Control Plan for Welding Class 1 Pipelines</v>
          </cell>
          <cell r="F184" t="str">
            <v>-</v>
          </cell>
          <cell r="G184" t="str">
            <v>Cancelled</v>
          </cell>
        </row>
        <row r="185">
          <cell r="A185" t="str">
            <v>KHF-00-104265-QA-6180-00111-0000--</v>
          </cell>
          <cell r="B185" t="str">
            <v>AIP-PDO-P1701009-T-0132</v>
          </cell>
          <cell r="C185">
            <v>43109</v>
          </cell>
          <cell r="D185" t="str">
            <v>KHF-00-104265-QA-6180-00111-0000</v>
          </cell>
          <cell r="E185" t="str">
            <v>Quality Control Procedure for Row Preparation</v>
          </cell>
          <cell r="F185" t="str">
            <v>-</v>
          </cell>
          <cell r="G185" t="str">
            <v>Cancelled</v>
          </cell>
        </row>
        <row r="186">
          <cell r="A186" t="str">
            <v>KHF-00-104265-QA-6180-00113-0000--</v>
          </cell>
          <cell r="B186" t="str">
            <v>AIP-PDO-P1701009-T-0132</v>
          </cell>
          <cell r="C186">
            <v>43109</v>
          </cell>
          <cell r="D186" t="str">
            <v>KHF-00-104265-QA-6180-00113-0000</v>
          </cell>
          <cell r="E186" t="str">
            <v>Quality Control Procedure for Stringing of the Line Pipes</v>
          </cell>
          <cell r="F186" t="str">
            <v>-</v>
          </cell>
          <cell r="G186" t="str">
            <v>Cancelled</v>
          </cell>
        </row>
        <row r="187">
          <cell r="A187" t="str">
            <v>KHF-00-104265-AA-3347-10013-0000-1</v>
          </cell>
          <cell r="B187" t="str">
            <v>AIP-PDO-P1701009-T-0133</v>
          </cell>
          <cell r="C187">
            <v>43109</v>
          </cell>
          <cell r="D187" t="str">
            <v>KHF-00-104265-AA-3347-10013-0000</v>
          </cell>
          <cell r="E187" t="str">
            <v>Minutes of Meeting - Weekly Review Meeting No.13</v>
          </cell>
          <cell r="F187">
            <v>1</v>
          </cell>
          <cell r="G187" t="str">
            <v>IFI</v>
          </cell>
        </row>
        <row r="188">
          <cell r="A188" t="str">
            <v>KHF-00-104265-AA-3347-10014-0000-1</v>
          </cell>
          <cell r="B188" t="str">
            <v>AIP-PDO-P1701009-T-0133</v>
          </cell>
          <cell r="C188">
            <v>43109</v>
          </cell>
          <cell r="D188" t="str">
            <v>KHF-00-104265-AA-3347-10014-0000</v>
          </cell>
          <cell r="E188" t="str">
            <v>Minutes of Meeting - Weekly Review Meeting No.14</v>
          </cell>
          <cell r="F188">
            <v>1</v>
          </cell>
          <cell r="G188" t="str">
            <v>IFI</v>
          </cell>
        </row>
        <row r="189">
          <cell r="A189" t="str">
            <v>KHF-00-104265-VA-5880-10007-0000-2</v>
          </cell>
          <cell r="B189" t="str">
            <v>AIP-PDO-P1701009-T-0134</v>
          </cell>
          <cell r="C189">
            <v>43109</v>
          </cell>
          <cell r="D189" t="str">
            <v>KHF-00-104265-VA-5880-10007-0000</v>
          </cell>
          <cell r="E189" t="str">
            <v>Contract Logistics Plan</v>
          </cell>
          <cell r="F189">
            <v>2</v>
          </cell>
          <cell r="G189" t="str">
            <v>IFA</v>
          </cell>
        </row>
        <row r="190">
          <cell r="A190" t="str">
            <v>KHF-00-104265-AA-5768-10028-0000-2</v>
          </cell>
          <cell r="B190" t="str">
            <v>AIP-PDO-P1701009-T-0135</v>
          </cell>
          <cell r="C190">
            <v>43109</v>
          </cell>
          <cell r="D190" t="str">
            <v>KHF-00-104265-AA-5768-10028-0000</v>
          </cell>
          <cell r="E190" t="str">
            <v xml:space="preserve">Risk Management Plan and Strategies </v>
          </cell>
          <cell r="F190">
            <v>2</v>
          </cell>
          <cell r="G190" t="str">
            <v>IFA</v>
          </cell>
        </row>
        <row r="191">
          <cell r="A191" t="str">
            <v>withdrawn</v>
          </cell>
          <cell r="B191" t="str">
            <v>AIP-PDO-P1701009-T-0136</v>
          </cell>
          <cell r="C191">
            <v>43110</v>
          </cell>
          <cell r="D191" t="str">
            <v>KHF-00-104265-AA-5804-10091-0000</v>
          </cell>
          <cell r="E191" t="str">
            <v>Progress Measurement Schedule</v>
          </cell>
          <cell r="F191">
            <v>1</v>
          </cell>
          <cell r="G191" t="str">
            <v>wrong title, document cancelled</v>
          </cell>
        </row>
        <row r="192">
          <cell r="A192" t="str">
            <v>KHF-00-104265-VA-6623-10083-0000-1</v>
          </cell>
          <cell r="B192" t="str">
            <v>AIP-PDO-P1701009-T-0137</v>
          </cell>
          <cell r="C192">
            <v>43110</v>
          </cell>
          <cell r="D192" t="str">
            <v>KHF-00-104265-VA-6623-10083-0000</v>
          </cell>
          <cell r="E192" t="str">
            <v>Variation to Contract Register</v>
          </cell>
          <cell r="F192">
            <v>1</v>
          </cell>
          <cell r="G192" t="str">
            <v>IFR</v>
          </cell>
        </row>
        <row r="193">
          <cell r="A193" t="str">
            <v>KHF-00-104265-AA-6944-10010-0000-1</v>
          </cell>
          <cell r="B193" t="str">
            <v>AIP-PDO-P1701009-T-0138</v>
          </cell>
          <cell r="C193">
            <v>43110</v>
          </cell>
          <cell r="D193" t="str">
            <v>KHF-00-104265-AA-6944-10010-0000</v>
          </cell>
          <cell r="E193" t="str">
            <v>Weekly Progress Report No.010</v>
          </cell>
          <cell r="F193">
            <v>1</v>
          </cell>
          <cell r="G193" t="str">
            <v>IFI</v>
          </cell>
        </row>
        <row r="194">
          <cell r="A194" t="str">
            <v>KHF-00-104265-AA-3341-60044-0000-1</v>
          </cell>
          <cell r="B194" t="str">
            <v>AIP-PDO-P1701009-T-0139</v>
          </cell>
          <cell r="C194">
            <v>43114</v>
          </cell>
          <cell r="D194" t="str">
            <v>KHF-00-104265-AA-3341-60044-0000</v>
          </cell>
          <cell r="E194" t="str">
            <v xml:space="preserve">CV of Mr. Shahid Khan - Information Management (IM) Lead </v>
          </cell>
          <cell r="F194">
            <v>1</v>
          </cell>
          <cell r="G194" t="str">
            <v>IFA</v>
          </cell>
        </row>
        <row r="195">
          <cell r="A195" t="str">
            <v>KHF-00-104265-FA-5804-10027-0000-2</v>
          </cell>
          <cell r="B195" t="str">
            <v>AIP-PDO-P1701009-T-0140</v>
          </cell>
          <cell r="C195">
            <v>43114</v>
          </cell>
          <cell r="D195" t="str">
            <v>KHF-00-104265-FA-5804-10027-0000</v>
          </cell>
          <cell r="E195" t="str">
            <v>Project Event Calendar</v>
          </cell>
          <cell r="F195">
            <v>2</v>
          </cell>
          <cell r="G195" t="str">
            <v>IFA</v>
          </cell>
        </row>
        <row r="196">
          <cell r="A196" t="str">
            <v>KHF-00-104265-RA-8241-51009-0000-2</v>
          </cell>
          <cell r="B196" t="str">
            <v>AIP-PDO-P1701009-T-0141</v>
          </cell>
          <cell r="C196">
            <v>43114</v>
          </cell>
          <cell r="D196" t="str">
            <v>KHF-00-104265-RA-8241-51009-0000</v>
          </cell>
          <cell r="E196" t="str">
            <v>Material Approval Sheet for Anneled Binding Wire 16 Guage</v>
          </cell>
          <cell r="F196">
            <v>2</v>
          </cell>
          <cell r="G196" t="str">
            <v>IFA</v>
          </cell>
        </row>
        <row r="197">
          <cell r="A197" t="str">
            <v>KHF-00-104265-QA-6180-00106-0000-1</v>
          </cell>
          <cell r="B197" t="str">
            <v>AIP-PDO-P1701009-T-0142</v>
          </cell>
          <cell r="C197">
            <v>43114</v>
          </cell>
          <cell r="D197" t="str">
            <v>KHF-00-104265-QA-6180-00106-0000</v>
          </cell>
          <cell r="E197" t="str">
            <v>Quality Control Procedure for Welding (Off-Plot)</v>
          </cell>
          <cell r="F197">
            <v>1</v>
          </cell>
          <cell r="G197" t="str">
            <v>IFR</v>
          </cell>
        </row>
        <row r="198">
          <cell r="A198" t="str">
            <v>KHF-00-104265-VA-6036-10008-0000-2</v>
          </cell>
          <cell r="B198" t="str">
            <v>AIP-PDO-P1701009-T-0143</v>
          </cell>
          <cell r="C198">
            <v>43114</v>
          </cell>
          <cell r="D198" t="str">
            <v>KHF-00-104265-VA-6036-10008-0000</v>
          </cell>
          <cell r="E198" t="str">
            <v>Material Control Procedure</v>
          </cell>
          <cell r="F198">
            <v>2</v>
          </cell>
          <cell r="G198" t="str">
            <v>IFA</v>
          </cell>
        </row>
        <row r="199">
          <cell r="A199" t="str">
            <v>KHF-00-104265-RA-8241-51008-0000-2</v>
          </cell>
          <cell r="B199" t="str">
            <v>AIP-PDO-P1701009-T-0144</v>
          </cell>
          <cell r="C199">
            <v>43114</v>
          </cell>
          <cell r="D199" t="str">
            <v>KHF-00-104265-RA-8241-51008-0000</v>
          </cell>
          <cell r="E199" t="str">
            <v>Material Approval Sheet for 1000 Guage Polythene Sheet</v>
          </cell>
          <cell r="F199">
            <v>2</v>
          </cell>
          <cell r="G199" t="str">
            <v>IFA</v>
          </cell>
        </row>
        <row r="200">
          <cell r="A200" t="str">
            <v>KHF-00-104265-AA-6944-10011-0000-1</v>
          </cell>
          <cell r="B200" t="str">
            <v>AIP-PDO-P1701009-T-0145</v>
          </cell>
          <cell r="C200">
            <v>43116</v>
          </cell>
          <cell r="D200" t="str">
            <v>KHF-00-104265-AA-6944-10011-0000</v>
          </cell>
          <cell r="E200" t="str">
            <v>Weekly Progress Report No.011</v>
          </cell>
          <cell r="F200">
            <v>1</v>
          </cell>
          <cell r="G200" t="str">
            <v>IFI</v>
          </cell>
        </row>
        <row r="201">
          <cell r="A201" t="str">
            <v>KHF-00-104265-RA-8241-51011-0000-1</v>
          </cell>
          <cell r="B201" t="str">
            <v>AIP-PDO-P1701009-T-0146</v>
          </cell>
          <cell r="C201">
            <v>43118</v>
          </cell>
          <cell r="D201" t="str">
            <v>KHF-00-104265-RA-8241-51011-0000</v>
          </cell>
          <cell r="E201" t="str">
            <v>Material Approval Sheet for Fiber Glass Mat</v>
          </cell>
          <cell r="F201">
            <v>1</v>
          </cell>
          <cell r="G201" t="str">
            <v>IFA</v>
          </cell>
        </row>
        <row r="202">
          <cell r="A202" t="str">
            <v>KHF-00-104265-QA-6180-00135-0000-2</v>
          </cell>
          <cell r="B202" t="str">
            <v>AIP-PDO-P1701009-T-0147</v>
          </cell>
          <cell r="C202">
            <v>43118</v>
          </cell>
          <cell r="D202" t="str">
            <v>KHF-00-104265-QA-6180-00135-0000</v>
          </cell>
          <cell r="E202" t="str">
            <v>Quality Control Procedure for Welding Consumable Storage Preservation Handling</v>
          </cell>
          <cell r="F202">
            <v>2</v>
          </cell>
          <cell r="G202" t="str">
            <v>IFA</v>
          </cell>
        </row>
        <row r="203">
          <cell r="A203" t="str">
            <v>KHF-00-104265-QA-6050-00101-0000-2</v>
          </cell>
          <cell r="B203" t="str">
            <v>AIP-PDO-P1701009-T-0148</v>
          </cell>
          <cell r="C203">
            <v>43121</v>
          </cell>
          <cell r="D203" t="str">
            <v>KHF-00-104265-QA-6050-00101-0000</v>
          </cell>
          <cell r="E203" t="str">
            <v>Quality Control Plan for Surveying and Setting-out</v>
          </cell>
          <cell r="F203">
            <v>2</v>
          </cell>
          <cell r="G203" t="str">
            <v>IFR</v>
          </cell>
        </row>
        <row r="204">
          <cell r="A204" t="str">
            <v>KHF-00-104265-QA-6050-00102-0000-2</v>
          </cell>
          <cell r="B204" t="str">
            <v>AIP-PDO-P1701009-T-0148</v>
          </cell>
          <cell r="C204">
            <v>43121</v>
          </cell>
          <cell r="D204" t="str">
            <v>KHF-00-104265-QA-6050-00102-0000</v>
          </cell>
          <cell r="E204" t="str">
            <v>Quality Control Plan for Earth Works</v>
          </cell>
          <cell r="F204">
            <v>2</v>
          </cell>
          <cell r="G204" t="str">
            <v>IFR</v>
          </cell>
        </row>
        <row r="205">
          <cell r="A205" t="str">
            <v>KHF-00-104265-QA-6050-00106-0000-2</v>
          </cell>
          <cell r="B205" t="str">
            <v>AIP-PDO-P1701009-T-0148</v>
          </cell>
          <cell r="C205">
            <v>43121</v>
          </cell>
          <cell r="D205" t="str">
            <v>KHF-00-104265-QA-6050-00106-0000</v>
          </cell>
          <cell r="E205" t="str">
            <v>Quality Control Plan for Installation of Pipelines</v>
          </cell>
          <cell r="F205">
            <v>2</v>
          </cell>
          <cell r="G205" t="str">
            <v>IFR</v>
          </cell>
        </row>
        <row r="206">
          <cell r="A206" t="str">
            <v>KHF-00-104265-QA-6180-00119-0000-1</v>
          </cell>
          <cell r="B206" t="str">
            <v>AIP-PDO-P1701009-T-0148</v>
          </cell>
          <cell r="C206">
            <v>43121</v>
          </cell>
          <cell r="D206" t="str">
            <v>KHF-00-104265-QA-6180-00119-0000</v>
          </cell>
          <cell r="E206" t="str">
            <v>Quality Control Procedure for Wadi Crossing Carbon Steel Pipeline</v>
          </cell>
          <cell r="F206">
            <v>1</v>
          </cell>
          <cell r="G206" t="str">
            <v>IFR</v>
          </cell>
        </row>
        <row r="207">
          <cell r="A207" t="str">
            <v>KHF-00-104265-QA-6180-00120-0000-1</v>
          </cell>
          <cell r="B207" t="str">
            <v>AIP-PDO-P1701009-T-0148</v>
          </cell>
          <cell r="C207">
            <v>43121</v>
          </cell>
          <cell r="D207" t="str">
            <v>KHF-00-104265-QA-6180-00120-0000</v>
          </cell>
          <cell r="E207" t="str">
            <v>Quality Control Procedure for Road Crossing Carbon Steel Pipeline</v>
          </cell>
          <cell r="F207">
            <v>1</v>
          </cell>
          <cell r="G207" t="str">
            <v>IFR</v>
          </cell>
        </row>
        <row r="208">
          <cell r="A208" t="str">
            <v>KHF-00-104265-QA-6180-00122-0000-1</v>
          </cell>
          <cell r="B208" t="str">
            <v>AIP-PDO-P1701009-T-0148</v>
          </cell>
          <cell r="C208">
            <v>43121</v>
          </cell>
          <cell r="D208" t="str">
            <v>KHF-00-104265-QA-6180-00122-0000</v>
          </cell>
          <cell r="E208" t="str">
            <v>Quality Control Procedure for Material Handling, Storage &amp; Control</v>
          </cell>
          <cell r="F208">
            <v>1</v>
          </cell>
          <cell r="G208" t="str">
            <v>IFR</v>
          </cell>
        </row>
        <row r="209">
          <cell r="A209" t="str">
            <v>KHF-00-104265-QA-6180-00131-0000-1</v>
          </cell>
          <cell r="B209" t="str">
            <v>AIP-PDO-P1701009-T-0148</v>
          </cell>
          <cell r="C209">
            <v>43121</v>
          </cell>
          <cell r="D209" t="str">
            <v>KHF-00-104265-QA-6180-00131-0000</v>
          </cell>
          <cell r="E209" t="str">
            <v>Quality Control Procedure for Calibration of Welding Machines</v>
          </cell>
          <cell r="F209">
            <v>1</v>
          </cell>
          <cell r="G209" t="str">
            <v>IFR</v>
          </cell>
        </row>
        <row r="210">
          <cell r="A210" t="str">
            <v>KHF-00-104265-RA-8241-51012-0000-1</v>
          </cell>
          <cell r="B210" t="str">
            <v>AIP-PDO-P1701009-T-0149</v>
          </cell>
          <cell r="C210">
            <v>43122</v>
          </cell>
          <cell r="D210" t="str">
            <v>KHF-00-104265-RA-8241-51012-0000</v>
          </cell>
          <cell r="E210" t="str">
            <v>Material Approval Sheet for Mould Oil (Reebol)</v>
          </cell>
          <cell r="F210">
            <v>1</v>
          </cell>
          <cell r="G210" t="str">
            <v>IFA</v>
          </cell>
        </row>
        <row r="211">
          <cell r="A211" t="str">
            <v>KHF-00-104265-RA-8241-51013-0000-1</v>
          </cell>
          <cell r="B211" t="str">
            <v>AIP-PDO-P1701009-T-0149</v>
          </cell>
          <cell r="C211">
            <v>43122</v>
          </cell>
          <cell r="D211" t="str">
            <v>KHF-00-104265-RA-8241-51013-0000</v>
          </cell>
          <cell r="E211" t="str">
            <v>Material Approval Sheet for Concrete Cover Block</v>
          </cell>
          <cell r="F211">
            <v>1</v>
          </cell>
          <cell r="G211" t="str">
            <v>IFA</v>
          </cell>
        </row>
        <row r="212">
          <cell r="A212" t="str">
            <v>KHF-00-104265-QA-5733-21017-0000-3</v>
          </cell>
          <cell r="B212" t="str">
            <v>AIP-PDO-P1701009-T-0150</v>
          </cell>
          <cell r="C212">
            <v>43122</v>
          </cell>
          <cell r="D212" t="str">
            <v>KHF-00-104265-QA-5733-21017-0000</v>
          </cell>
          <cell r="E212" t="str">
            <v>Inspection &amp; Test Plan for Graded Road Works</v>
          </cell>
          <cell r="F212">
            <v>3</v>
          </cell>
          <cell r="G212" t="str">
            <v>IFA</v>
          </cell>
        </row>
        <row r="213">
          <cell r="A213" t="str">
            <v>KHF-00-104265-QA-5733-21018-0000-2</v>
          </cell>
          <cell r="B213" t="str">
            <v>AIP-PDO-P1701009-T-0150</v>
          </cell>
          <cell r="C213">
            <v>43122</v>
          </cell>
          <cell r="D213" t="str">
            <v>KHF-00-104265-QA-5733-21018-0000</v>
          </cell>
          <cell r="E213" t="str">
            <v>Inspection &amp; Test Plan for Service Trench Pipeline Construction</v>
          </cell>
          <cell r="F213">
            <v>2</v>
          </cell>
          <cell r="G213" t="str">
            <v>IFA</v>
          </cell>
        </row>
        <row r="214">
          <cell r="A214" t="str">
            <v>KHF-00-104265-QA-6050-31003-0000-2</v>
          </cell>
          <cell r="B214" t="str">
            <v>AIP-PDO-P1701009-T-0150</v>
          </cell>
          <cell r="C214">
            <v>43122</v>
          </cell>
          <cell r="D214" t="str">
            <v>KHF-00-104265-QA-6050-31003-0000</v>
          </cell>
          <cell r="E214" t="str">
            <v>Quality Control Procedure for Formwork, Reinforcement, Concreting and Grouting Works</v>
          </cell>
          <cell r="F214">
            <v>2</v>
          </cell>
          <cell r="G214" t="str">
            <v>IFA</v>
          </cell>
        </row>
        <row r="215">
          <cell r="A215" t="str">
            <v>KHF-00-104265-QA-6050-32002-0000-2</v>
          </cell>
          <cell r="B215" t="str">
            <v>AIP-PDO-P1701009-T-0150</v>
          </cell>
          <cell r="C215">
            <v>43122</v>
          </cell>
          <cell r="D215" t="str">
            <v>KHF-00-104265-QA-6050-32002-0000</v>
          </cell>
          <cell r="E215" t="str">
            <v>Quality Control Procedure for Inspection of Surface Preparation, Mixing and Painting</v>
          </cell>
          <cell r="F215">
            <v>2</v>
          </cell>
          <cell r="G215" t="str">
            <v>IFA</v>
          </cell>
        </row>
        <row r="216">
          <cell r="A216" t="str">
            <v>KHF-00-104265-BA-6065-00101-0000-1</v>
          </cell>
          <cell r="B216" t="str">
            <v>AIP-PDO-P1701009-T-0151</v>
          </cell>
          <cell r="C216">
            <v>43122</v>
          </cell>
          <cell r="D216" t="str">
            <v>KHF-00-104265-BA-6065-00101-0000</v>
          </cell>
          <cell r="E216" t="str">
            <v>Welding Procedure Specification Register</v>
          </cell>
          <cell r="F216">
            <v>1</v>
          </cell>
          <cell r="G216" t="str">
            <v>IFR</v>
          </cell>
        </row>
        <row r="217">
          <cell r="A217" t="str">
            <v>KHF-00-104265-RA-8241-51007-0000-2</v>
          </cell>
          <cell r="B217" t="str">
            <v>AIP-PDO-P1701009-T-0152</v>
          </cell>
          <cell r="C217">
            <v>43122</v>
          </cell>
          <cell r="D217" t="str">
            <v>KHF-00-104265-RA-8241-51007-0000</v>
          </cell>
          <cell r="E217" t="str">
            <v>Material Approval Sheet for Concrete C-35 and C-10</v>
          </cell>
          <cell r="F217">
            <v>2</v>
          </cell>
          <cell r="G217" t="str">
            <v>IFA</v>
          </cell>
        </row>
        <row r="218">
          <cell r="A218" t="str">
            <v>KHF-00-104265-EA-2384-00301-0001-2</v>
          </cell>
          <cell r="B218" t="str">
            <v>AIP-PDO-P1701009-T-0153</v>
          </cell>
          <cell r="C218">
            <v>43122</v>
          </cell>
          <cell r="D218" t="str">
            <v>KHF-00-104265-EA-2384-00301-0001</v>
          </cell>
          <cell r="E218" t="str">
            <v>Single Line Diagram - Camp Stage 1</v>
          </cell>
          <cell r="F218">
            <v>2</v>
          </cell>
          <cell r="G218" t="str">
            <v>IFA</v>
          </cell>
        </row>
        <row r="219">
          <cell r="A219" t="str">
            <v>KHF-00-104265-EA-4005-00301-0001-2</v>
          </cell>
          <cell r="B219" t="str">
            <v>AIP-PDO-P1701009-T-0153</v>
          </cell>
          <cell r="C219">
            <v>43122</v>
          </cell>
          <cell r="D219" t="str">
            <v>KHF-00-104265-EA-4005-00301-0001</v>
          </cell>
          <cell r="E219" t="str">
            <v>External Cable Route Layout - Camp Stage 1</v>
          </cell>
          <cell r="F219">
            <v>2</v>
          </cell>
          <cell r="G219" t="str">
            <v>IFA</v>
          </cell>
        </row>
        <row r="220">
          <cell r="A220" t="str">
            <v>KHF-00-104265-AA-3341-60045-0000-1</v>
          </cell>
          <cell r="B220" t="str">
            <v>AIP-PDO-P1701009-T-0154</v>
          </cell>
          <cell r="C220">
            <v>43123</v>
          </cell>
          <cell r="D220" t="str">
            <v>KHF-00-104265-AA-3341-60045-0000</v>
          </cell>
          <cell r="E220" t="str">
            <v>CV of Mr. Mani Muruganandan - Lead Field Pipeline Engineer</v>
          </cell>
          <cell r="F220">
            <v>1</v>
          </cell>
          <cell r="G220" t="str">
            <v>IFA</v>
          </cell>
        </row>
        <row r="221">
          <cell r="A221" t="str">
            <v>KHF-00-104265-AA-3341-60046-0000-1</v>
          </cell>
          <cell r="B221" t="str">
            <v>AIP-PDO-P1701009-T-0155</v>
          </cell>
          <cell r="C221">
            <v>43123</v>
          </cell>
          <cell r="D221" t="str">
            <v>KHF-00-104265-AA-3341-60046-0000</v>
          </cell>
          <cell r="E221" t="str">
            <v>CV of Mr. Darren Darley - Flawless Start-up Coordinator</v>
          </cell>
          <cell r="F221">
            <v>1</v>
          </cell>
          <cell r="G221" t="str">
            <v>IFA</v>
          </cell>
        </row>
        <row r="222">
          <cell r="A222" t="str">
            <v>KHF-00-104265-BA-6065-00102-0000-2</v>
          </cell>
          <cell r="B222" t="str">
            <v>AIP-PDO-P1701009-T-0156</v>
          </cell>
          <cell r="C222">
            <v>43123</v>
          </cell>
          <cell r="D222" t="str">
            <v>KHF-00-104265-BA-6065-00102-0000</v>
          </cell>
          <cell r="E222" t="str">
            <v>Proposed Welding Specification (Mainline 16" PL5)</v>
          </cell>
          <cell r="F222">
            <v>2</v>
          </cell>
          <cell r="G222" t="str">
            <v>IFA</v>
          </cell>
        </row>
        <row r="223">
          <cell r="A223" t="str">
            <v>KHF-00-104265-BA-6065-00103-0000-2</v>
          </cell>
          <cell r="B223" t="str">
            <v>AIP-PDO-P1701009-T-0156</v>
          </cell>
          <cell r="C223">
            <v>43123</v>
          </cell>
          <cell r="D223" t="str">
            <v>KHF-00-104265-BA-6065-00103-0000</v>
          </cell>
          <cell r="E223" t="str">
            <v>Proposed Welding Specification (Tie-In 16" PL5)</v>
          </cell>
          <cell r="F223">
            <v>2</v>
          </cell>
          <cell r="G223" t="str">
            <v>IFA</v>
          </cell>
        </row>
        <row r="224">
          <cell r="A224" t="str">
            <v>KHF-00-104265-BA-6065-00104-0000-2</v>
          </cell>
          <cell r="B224" t="str">
            <v>AIP-PDO-P1701009-T-0156</v>
          </cell>
          <cell r="C224">
            <v>43123</v>
          </cell>
          <cell r="D224" t="str">
            <v>KHF-00-104265-BA-6065-00104-0000</v>
          </cell>
          <cell r="E224" t="str">
            <v>Proposed Welding Specification (FP Repair 16" PL5)</v>
          </cell>
          <cell r="F224">
            <v>2</v>
          </cell>
          <cell r="G224" t="str">
            <v>IFA</v>
          </cell>
        </row>
        <row r="225">
          <cell r="A225" t="str">
            <v>KHF-00-104265-BA-6065-00105-0000-2</v>
          </cell>
          <cell r="B225" t="str">
            <v>AIP-PDO-P1701009-T-0156</v>
          </cell>
          <cell r="C225">
            <v>43123</v>
          </cell>
          <cell r="D225" t="str">
            <v>KHF-00-104265-BA-6065-00105-0000</v>
          </cell>
          <cell r="E225" t="str">
            <v>Proposed Welding Specification (PP Repair 16" PL5)</v>
          </cell>
          <cell r="F225">
            <v>2</v>
          </cell>
          <cell r="G225" t="str">
            <v>IFA</v>
          </cell>
        </row>
        <row r="226">
          <cell r="A226" t="str">
            <v>KHF-00-104265-FA-6180-10025-0000-1</v>
          </cell>
          <cell r="B226" t="str">
            <v>AIP-PDO-P1701009-T-0157</v>
          </cell>
          <cell r="C226">
            <v>43124</v>
          </cell>
          <cell r="D226" t="str">
            <v>KHF-00-104265-FA-6180-10025-0000</v>
          </cell>
          <cell r="E226" t="str">
            <v>Planning, Progress measurement and Reporting Procedure</v>
          </cell>
          <cell r="F226">
            <v>1</v>
          </cell>
          <cell r="G226" t="str">
            <v>IFR</v>
          </cell>
        </row>
        <row r="227">
          <cell r="A227" t="str">
            <v>KHF-00-104265-QA-6180-00124-0000-1</v>
          </cell>
          <cell r="B227" t="str">
            <v>AIP-PDO-P1701009-T-0158</v>
          </cell>
          <cell r="C227">
            <v>43124</v>
          </cell>
          <cell r="D227" t="str">
            <v>KHF-00-104265-QA-6180-00124-0000</v>
          </cell>
          <cell r="E227" t="str">
            <v>GRE Material Transportation, Handling, Storage &amp; Control</v>
          </cell>
          <cell r="F227">
            <v>1</v>
          </cell>
          <cell r="G227" t="str">
            <v>IFR</v>
          </cell>
        </row>
        <row r="228">
          <cell r="A228" t="str">
            <v>KHF-00-104265-AA-6944-10012-0000-1</v>
          </cell>
          <cell r="B228" t="str">
            <v>AIP-PDO-P1701009-T-0159</v>
          </cell>
          <cell r="C228">
            <v>43124</v>
          </cell>
          <cell r="D228" t="str">
            <v>KHF-00-104265-AA-6944-10012-0000</v>
          </cell>
          <cell r="E228" t="str">
            <v>Weekly Progress Report No. 012</v>
          </cell>
          <cell r="F228">
            <v>1</v>
          </cell>
          <cell r="G228" t="str">
            <v>IFI</v>
          </cell>
        </row>
        <row r="229">
          <cell r="A229" t="str">
            <v>KHF-00-104265-AA-3341-00101-0000-1</v>
          </cell>
          <cell r="B229" t="str">
            <v>AIP-PDO-P1701009-T-0160</v>
          </cell>
          <cell r="C229">
            <v>43125</v>
          </cell>
          <cell r="D229" t="str">
            <v>KHF-00-104265-AA-3341-00101-0000</v>
          </cell>
          <cell r="E229" t="str">
            <v>CV of Mr. Rathi Manalan - QA/QC Engineer</v>
          </cell>
          <cell r="F229">
            <v>1</v>
          </cell>
          <cell r="G229" t="str">
            <v>IFI</v>
          </cell>
        </row>
        <row r="230">
          <cell r="A230" t="str">
            <v>KHF-00-104265-QA-6180-10018-0000-1</v>
          </cell>
          <cell r="B230" t="str">
            <v>AIP-PDO-P1701009-T-0161</v>
          </cell>
          <cell r="C230">
            <v>43125</v>
          </cell>
          <cell r="D230" t="str">
            <v>KHF-00-104265-QA-6180-10018-0000</v>
          </cell>
          <cell r="E230" t="str">
            <v>Project Audit Procedure</v>
          </cell>
          <cell r="F230">
            <v>1</v>
          </cell>
          <cell r="G230" t="str">
            <v>IFR</v>
          </cell>
        </row>
        <row r="231">
          <cell r="A231" t="str">
            <v>KHF-00-104265-QA-6180-10019-0000-1</v>
          </cell>
          <cell r="B231" t="str">
            <v>AIP-PDO-P1701009-T-0161</v>
          </cell>
          <cell r="C231">
            <v>43125</v>
          </cell>
          <cell r="D231" t="str">
            <v>KHF-00-104265-QA-6180-10019-0000</v>
          </cell>
          <cell r="E231" t="str">
            <v>Material Identification and Traceability Procedure</v>
          </cell>
          <cell r="F231">
            <v>1</v>
          </cell>
          <cell r="G231" t="str">
            <v>IFR</v>
          </cell>
        </row>
        <row r="232">
          <cell r="A232" t="str">
            <v>KHF-00-104265-QA-6180-10077-0000-1</v>
          </cell>
          <cell r="B232" t="str">
            <v>AIP-PDO-P1701009-T-0161</v>
          </cell>
          <cell r="C232">
            <v>43125</v>
          </cell>
          <cell r="D232" t="str">
            <v>KHF-00-104265-QA-6180-10077-0000</v>
          </cell>
          <cell r="E232" t="str">
            <v>Non-Conformance Control Procedure</v>
          </cell>
          <cell r="F232">
            <v>1</v>
          </cell>
          <cell r="G232" t="str">
            <v>IFR</v>
          </cell>
        </row>
        <row r="233">
          <cell r="A233" t="str">
            <v>KHF-00-104265-QA-6180-00114-0000-1</v>
          </cell>
          <cell r="B233" t="str">
            <v>AIP-PDO-P1701009-T-0162</v>
          </cell>
          <cell r="C233">
            <v>43127</v>
          </cell>
          <cell r="D233" t="str">
            <v>KHF-00-104265-QA-6180-00114-0000</v>
          </cell>
          <cell r="E233" t="str">
            <v>Quality Control Procedure for Cold Bending of Line Pipes</v>
          </cell>
          <cell r="F233">
            <v>1</v>
          </cell>
          <cell r="G233" t="str">
            <v>IFR</v>
          </cell>
        </row>
        <row r="234">
          <cell r="A234" t="str">
            <v>KHF-00-104265-QA-6180-00123-0000-1</v>
          </cell>
          <cell r="B234" t="str">
            <v>AIP-PDO-P1701009-T-0162</v>
          </cell>
          <cell r="C234">
            <v>43127</v>
          </cell>
          <cell r="D234" t="str">
            <v>KHF-00-104265-QA-6180-00123-0000</v>
          </cell>
          <cell r="E234" t="str">
            <v>Quality Control Procedure for Adhesive Bonding and Installation of GRE Pipeline</v>
          </cell>
          <cell r="F234">
            <v>1</v>
          </cell>
          <cell r="G234" t="str">
            <v>IFR</v>
          </cell>
        </row>
        <row r="235">
          <cell r="A235" t="str">
            <v>KHF-00-104265-QA-6180-00135-0000-3</v>
          </cell>
          <cell r="B235" t="str">
            <v>AIP-PDO-P1701009-T-0162</v>
          </cell>
          <cell r="C235">
            <v>43127</v>
          </cell>
          <cell r="D235" t="str">
            <v>KHF-00-104265-QA-6180-00135-0000</v>
          </cell>
          <cell r="E235" t="str">
            <v>Quality Control Procedure for Welding Consumable Storage Preservation Handling</v>
          </cell>
          <cell r="F235">
            <v>3</v>
          </cell>
          <cell r="G235" t="str">
            <v>IFR</v>
          </cell>
        </row>
        <row r="236">
          <cell r="A236" t="str">
            <v>KHF-00-104265-QA-5733-22002-0000-1</v>
          </cell>
          <cell r="B236" t="str">
            <v>AIP-PDO-P1701009-T-0163</v>
          </cell>
          <cell r="C236">
            <v>43127</v>
          </cell>
          <cell r="D236" t="str">
            <v>KHF-00-104265-QA-5733-22002-0000</v>
          </cell>
          <cell r="E236" t="str">
            <v>Inspection &amp; Test Plan for Surface Preparation and Painting (PCS-1, PCS-3 &amp; PCS-6)</v>
          </cell>
          <cell r="F236">
            <v>1</v>
          </cell>
          <cell r="G236" t="str">
            <v>IFR</v>
          </cell>
        </row>
        <row r="237">
          <cell r="A237" t="str">
            <v>KHF-00-104265-QA-5733-22003-0000-1</v>
          </cell>
          <cell r="B237" t="str">
            <v>AIP-PDO-P1701009-T-0163</v>
          </cell>
          <cell r="C237">
            <v>43127</v>
          </cell>
          <cell r="D237" t="str">
            <v>KHF-00-104265-QA-5733-22003-0000</v>
          </cell>
          <cell r="E237" t="str">
            <v>Inspection &amp; Test Plan for Steel Structural Fabrication, Welding and Erection</v>
          </cell>
          <cell r="F237">
            <v>1</v>
          </cell>
          <cell r="G237" t="str">
            <v>IFR</v>
          </cell>
        </row>
        <row r="238">
          <cell r="A238" t="str">
            <v>KHF-00-104265-AA-3341-60047-0000-1</v>
          </cell>
          <cell r="B238" t="str">
            <v>AIP-PDO-P1701009-T-0164</v>
          </cell>
          <cell r="C238">
            <v>43128</v>
          </cell>
          <cell r="D238" t="str">
            <v>KHF-00-104265-AA-3341-60047-0000</v>
          </cell>
          <cell r="E238" t="str">
            <v>CV of Mr. Premananda Behera - Lead QC Engineer</v>
          </cell>
          <cell r="F238">
            <v>1</v>
          </cell>
          <cell r="G238" t="str">
            <v>IFA</v>
          </cell>
        </row>
        <row r="239">
          <cell r="A239" t="str">
            <v>KHF-00-104265-RA-8241-51014-0000-1</v>
          </cell>
          <cell r="B239" t="str">
            <v>AIP-PDO-P1701009-T-0165</v>
          </cell>
          <cell r="C239">
            <v>43129</v>
          </cell>
          <cell r="D239" t="str">
            <v>KHF-00-104265-RA-8241-51014-0000</v>
          </cell>
          <cell r="E239" t="str">
            <v>Material Approval Sheet for Granular Fill Material Type A</v>
          </cell>
          <cell r="F239">
            <v>1</v>
          </cell>
          <cell r="G239" t="str">
            <v>IFA</v>
          </cell>
        </row>
        <row r="240">
          <cell r="A240" t="str">
            <v>KHF-00-104265-RA-8241-51015-0000-1</v>
          </cell>
          <cell r="B240" t="str">
            <v>AIP-PDO-P1701009-T-0165</v>
          </cell>
          <cell r="C240">
            <v>43129</v>
          </cell>
          <cell r="D240" t="str">
            <v>KHF-00-104265-RA-8241-51015-0000</v>
          </cell>
          <cell r="E240" t="str">
            <v>Material Approval Sheet for Granular Fill Material Type B</v>
          </cell>
          <cell r="F240">
            <v>1</v>
          </cell>
          <cell r="G240" t="str">
            <v>IFA</v>
          </cell>
        </row>
        <row r="241">
          <cell r="A241" t="str">
            <v>KHF-00-104265-QA-6050-00110-0000-1</v>
          </cell>
          <cell r="B241" t="str">
            <v>AIP-PDO-P1701009-T-0166</v>
          </cell>
          <cell r="C241">
            <v>43129</v>
          </cell>
          <cell r="D241" t="str">
            <v>KHF-00-104265-QA-6050-00110-0000</v>
          </cell>
          <cell r="E241" t="str">
            <v>Quality Control Plan for GRE Pipeline Installation &amp; Testing of Adhesive Bonding</v>
          </cell>
          <cell r="F241">
            <v>1</v>
          </cell>
          <cell r="G241" t="str">
            <v>IFR</v>
          </cell>
        </row>
        <row r="242">
          <cell r="A242" t="str">
            <v>KHF-00-104265-QA-5733-22004-0000-1</v>
          </cell>
          <cell r="B242" t="str">
            <v>AIP-PDO-P1701009-T-0167</v>
          </cell>
          <cell r="C242">
            <v>43130</v>
          </cell>
          <cell r="D242" t="str">
            <v>KHF-00-104265-QA-5733-22004-0000</v>
          </cell>
          <cell r="E242" t="str">
            <v>Inspection &amp; Test Plan for Fabrication, Welding, Erection and Hydrotesting of Piping for CS/LTCS</v>
          </cell>
          <cell r="F242">
            <v>1</v>
          </cell>
          <cell r="G242" t="str">
            <v>IFR</v>
          </cell>
        </row>
        <row r="243">
          <cell r="A243" t="str">
            <v>KHF-00-104265-QA-5733-22011-0000-1</v>
          </cell>
          <cell r="B243" t="str">
            <v>AIP-PDO-P1701009-T-0167</v>
          </cell>
          <cell r="C243">
            <v>43130</v>
          </cell>
          <cell r="D243" t="str">
            <v>KHF-00-104265-QA-5733-22011-0000</v>
          </cell>
          <cell r="E243" t="str">
            <v>Inspection &amp; Test Plan for Static Equipment Installation</v>
          </cell>
          <cell r="F243">
            <v>1</v>
          </cell>
          <cell r="G243" t="str">
            <v>IFR</v>
          </cell>
        </row>
        <row r="244">
          <cell r="A244" t="str">
            <v>KHF-00-104265-LA-7205-00101-0000-1</v>
          </cell>
          <cell r="B244" t="str">
            <v>AIP-PDO-P1701009-T-0168</v>
          </cell>
          <cell r="C244">
            <v>43130</v>
          </cell>
          <cell r="D244" t="str">
            <v>KHF-00-104265-LA-7205-00101-0000</v>
          </cell>
          <cell r="E244" t="str">
            <v>Technical Deviation Request - Specification for Welding of Class 1 Pipelines</v>
          </cell>
          <cell r="F244">
            <v>1</v>
          </cell>
          <cell r="G244" t="str">
            <v>IFR</v>
          </cell>
        </row>
        <row r="245">
          <cell r="A245" t="str">
            <v>KHF-00-104265-CX-4180-10005-0001-5</v>
          </cell>
          <cell r="B245" t="str">
            <v>AIP-PDO-P1701009-T-0169</v>
          </cell>
          <cell r="C245">
            <v>43131</v>
          </cell>
          <cell r="D245" t="str">
            <v>KHF-00-104265-CX-4180-10005-0001</v>
          </cell>
          <cell r="E245" t="str">
            <v>Site Camp Layout</v>
          </cell>
          <cell r="F245">
            <v>5</v>
          </cell>
          <cell r="G245" t="str">
            <v>IFA</v>
          </cell>
        </row>
        <row r="246">
          <cell r="A246" t="str">
            <v>KHF-00-104265-CI-4180-00313-0001-2</v>
          </cell>
          <cell r="B246" t="str">
            <v>AIP-PDO-P1701009-T-0169</v>
          </cell>
          <cell r="C246">
            <v>43131</v>
          </cell>
          <cell r="D246" t="str">
            <v>KHF-00-104265-CI-4180-00313-0001</v>
          </cell>
          <cell r="E246" t="str">
            <v>Clinic Unit Layout</v>
          </cell>
          <cell r="F246">
            <v>2</v>
          </cell>
          <cell r="G246" t="str">
            <v>IFA</v>
          </cell>
        </row>
        <row r="247">
          <cell r="A247" t="str">
            <v>KHF-00-104265-CI-4180-00301-0001-2</v>
          </cell>
          <cell r="B247" t="str">
            <v>AIP-PDO-P1701009-T-0169</v>
          </cell>
          <cell r="C247">
            <v>43131</v>
          </cell>
          <cell r="D247" t="str">
            <v>KHF-00-104265-CI-4180-00301-0001</v>
          </cell>
          <cell r="E247" t="str">
            <v>External Water Supply Layout</v>
          </cell>
          <cell r="F247">
            <v>2</v>
          </cell>
          <cell r="G247" t="str">
            <v>IFA</v>
          </cell>
        </row>
        <row r="248">
          <cell r="A248" t="str">
            <v>KHF-00-104265-CI-4180-00302-0001-2</v>
          </cell>
          <cell r="B248" t="str">
            <v>AIP-PDO-P1701009-T-0169</v>
          </cell>
          <cell r="C248">
            <v>43131</v>
          </cell>
          <cell r="D248" t="str">
            <v>KHF-00-104265-CI-4180-00302-0001</v>
          </cell>
          <cell r="E248" t="str">
            <v>External Drainage Layout</v>
          </cell>
          <cell r="F248">
            <v>2</v>
          </cell>
          <cell r="G248" t="str">
            <v>IFA</v>
          </cell>
        </row>
        <row r="249">
          <cell r="A249" t="str">
            <v>KHF-00-104265-CX-4180-00309-0001-2</v>
          </cell>
          <cell r="B249" t="str">
            <v>AIP-PDO-P1701009-T-0170</v>
          </cell>
          <cell r="C249">
            <v>43131</v>
          </cell>
          <cell r="D249" t="str">
            <v>KHF-00-104265-CX-4180-00309-0001</v>
          </cell>
          <cell r="E249" t="str">
            <v>Site Office Layout</v>
          </cell>
          <cell r="F249">
            <v>2</v>
          </cell>
          <cell r="G249" t="str">
            <v>IFA</v>
          </cell>
        </row>
        <row r="250">
          <cell r="A250" t="str">
            <v>KHF-00-104265-AA-6944-20004-0000-1</v>
          </cell>
          <cell r="B250" t="str">
            <v>AIP-PDO-P1701009-T-0171</v>
          </cell>
          <cell r="C250">
            <v>43131</v>
          </cell>
          <cell r="D250" t="str">
            <v>KHF-00-104265-AA-6944-20004-0000</v>
          </cell>
          <cell r="E250" t="str">
            <v>Monthly Progress Report No.004 (Jan 2018)</v>
          </cell>
          <cell r="F250">
            <v>1</v>
          </cell>
          <cell r="G250" t="str">
            <v>IFI</v>
          </cell>
        </row>
        <row r="251">
          <cell r="A251" t="str">
            <v>KHF-00-104265-AA-6944-10013-0000-1</v>
          </cell>
          <cell r="B251" t="str">
            <v>AIP-PDO-P1701009-T-0172</v>
          </cell>
          <cell r="C251">
            <v>43131</v>
          </cell>
          <cell r="D251" t="str">
            <v>KHF-00-104265-AA-6944-10013-0000</v>
          </cell>
          <cell r="E251" t="str">
            <v>Weekly Progress Report No. 013</v>
          </cell>
          <cell r="F251">
            <v>1</v>
          </cell>
          <cell r="G251" t="str">
            <v>IFI</v>
          </cell>
        </row>
        <row r="252">
          <cell r="A252" t="str">
            <v>KHF-00-104265-QA-6180-10020-0000-1</v>
          </cell>
          <cell r="B252" t="str">
            <v>AIP-PDO-P1701009-T-0173</v>
          </cell>
          <cell r="C252">
            <v>43131</v>
          </cell>
          <cell r="D252" t="str">
            <v>KHF-00-104265-QA-6180-10020-0000</v>
          </cell>
          <cell r="E252" t="str">
            <v>Procedure for Materials Storage and Preservation</v>
          </cell>
          <cell r="F252">
            <v>1</v>
          </cell>
          <cell r="G252" t="str">
            <v>IFR</v>
          </cell>
        </row>
        <row r="253">
          <cell r="A253" t="str">
            <v>KHF-00-104265-QA-5733-22012-0000-1</v>
          </cell>
          <cell r="B253" t="str">
            <v>AIP-PDO-P1701009-T-0173</v>
          </cell>
          <cell r="C253">
            <v>43131</v>
          </cell>
          <cell r="D253" t="str">
            <v>KHF-00-104265-QA-5733-22012-0000</v>
          </cell>
          <cell r="E253" t="str">
            <v>Inspection &amp; Test Plan for Rotating Equipment Installation</v>
          </cell>
          <cell r="F253">
            <v>1</v>
          </cell>
          <cell r="G253" t="str">
            <v>IFR</v>
          </cell>
        </row>
        <row r="254">
          <cell r="A254" t="str">
            <v>KHF-00-104265-AA-3341-60048-0000-1</v>
          </cell>
          <cell r="B254" t="str">
            <v>AIP-PDO-P1701009-T-0174</v>
          </cell>
          <cell r="C254">
            <v>43132</v>
          </cell>
          <cell r="D254" t="str">
            <v>KHF-00-104265-AA-3341-60048-0000</v>
          </cell>
          <cell r="E254" t="str">
            <v>CV of Mr. Govind Singh - NDT Level III</v>
          </cell>
          <cell r="F254">
            <v>1</v>
          </cell>
          <cell r="G254" t="str">
            <v>IFA</v>
          </cell>
        </row>
        <row r="255">
          <cell r="A255" t="str">
            <v>KHF-00-104265-AA-3341-60049-0000-1</v>
          </cell>
          <cell r="B255" t="str">
            <v>AIP-PDO-P1701009-T-0174</v>
          </cell>
          <cell r="C255">
            <v>43132</v>
          </cell>
          <cell r="D255" t="str">
            <v>KHF-00-104265-AA-3341-60049-0000</v>
          </cell>
          <cell r="E255" t="str">
            <v>CV of Mr. Prabahar.C - NDT Level III</v>
          </cell>
          <cell r="F255">
            <v>1</v>
          </cell>
          <cell r="G255" t="str">
            <v>IFA</v>
          </cell>
        </row>
        <row r="256">
          <cell r="A256" t="str">
            <v>KHF-00-104265-QA-5733-22006-0000-1</v>
          </cell>
          <cell r="B256" t="str">
            <v>AIP-PDO-P1701009-T-0175</v>
          </cell>
          <cell r="C256">
            <v>43132</v>
          </cell>
          <cell r="D256" t="str">
            <v>KHF-00-104265-QA-5733-22006-0000</v>
          </cell>
          <cell r="E256" t="str">
            <v>Inspection &amp; Test Plan for Fabrication, Welding, Erection and Hydrotesting of Piping for SS, SDSS &amp; Alloy 825</v>
          </cell>
          <cell r="F256">
            <v>1</v>
          </cell>
          <cell r="G256" t="str">
            <v>IFR</v>
          </cell>
        </row>
        <row r="257">
          <cell r="A257" t="str">
            <v>KHF-00-104265-QA-6050-00105-0000-3</v>
          </cell>
          <cell r="B257" t="str">
            <v>AIP-PDO-P1701009-T-0176</v>
          </cell>
          <cell r="C257">
            <v>43132</v>
          </cell>
          <cell r="D257" t="str">
            <v>KHF-00-104265-QA-6050-00105-0000</v>
          </cell>
          <cell r="E257" t="str">
            <v>Quality Control Plan for Welding Class 1 Pipelines</v>
          </cell>
          <cell r="F257">
            <v>3</v>
          </cell>
          <cell r="G257" t="str">
            <v>IFA</v>
          </cell>
        </row>
        <row r="258">
          <cell r="A258" t="str">
            <v>KHF-00-104265-QA-6180-00111-0000-3</v>
          </cell>
          <cell r="B258" t="str">
            <v>AIP-PDO-P1701009-T-0176</v>
          </cell>
          <cell r="C258">
            <v>43132</v>
          </cell>
          <cell r="D258" t="str">
            <v>KHF-00-104265-QA-6180-00111-0000</v>
          </cell>
          <cell r="E258" t="str">
            <v>Quality Control Procedure for Row Preparation</v>
          </cell>
          <cell r="F258">
            <v>3</v>
          </cell>
          <cell r="G258" t="str">
            <v>IFA</v>
          </cell>
        </row>
        <row r="259">
          <cell r="A259" t="str">
            <v>KHF-00-104265-QA-6180-00113-0000-3</v>
          </cell>
          <cell r="B259" t="str">
            <v>AIP-PDO-P1701009-T-0176</v>
          </cell>
          <cell r="C259">
            <v>43132</v>
          </cell>
          <cell r="D259" t="str">
            <v>KHF-00-104265-QA-6180-00113-0000</v>
          </cell>
          <cell r="E259" t="str">
            <v>Quality Control Procedure for Stringing of the Line Pipes</v>
          </cell>
          <cell r="F259">
            <v>3</v>
          </cell>
          <cell r="G259" t="str">
            <v>IFA</v>
          </cell>
        </row>
        <row r="260">
          <cell r="A260" t="str">
            <v>KHF-00-104265-AA-3341-60050-0000-1</v>
          </cell>
          <cell r="B260" t="str">
            <v>AIP-PDO-P1701009-T-0177</v>
          </cell>
          <cell r="C260">
            <v>43135</v>
          </cell>
          <cell r="D260" t="str">
            <v>KHF-00-104265-AA-3341-60050-0000</v>
          </cell>
          <cell r="E260" t="str">
            <v>CV of  Mr. Ravi Varma Dandu - Project Controls Manager</v>
          </cell>
          <cell r="F260">
            <v>1</v>
          </cell>
          <cell r="G260" t="str">
            <v>IFA</v>
          </cell>
        </row>
        <row r="261">
          <cell r="A261" t="str">
            <v>KHF-00-104265-AA-3341-60051-0000-1</v>
          </cell>
          <cell r="B261" t="str">
            <v>AIP-PDO-P1701009-T-0178</v>
          </cell>
          <cell r="C261">
            <v>43135</v>
          </cell>
          <cell r="D261" t="str">
            <v>KHF-00-104265-AA-3341-60051-0000</v>
          </cell>
          <cell r="E261" t="str">
            <v>CV of  Mr. S. Senthil Kumar - Lead Piping Engineer</v>
          </cell>
          <cell r="F261">
            <v>1</v>
          </cell>
          <cell r="G261" t="str">
            <v>IFA</v>
          </cell>
        </row>
        <row r="262">
          <cell r="A262" t="str">
            <v>KHF-00-104265-QA-6050-00107-0000-2</v>
          </cell>
          <cell r="B262" t="str">
            <v>AIP-PDO-P1701009-T-0179</v>
          </cell>
          <cell r="C262">
            <v>43136</v>
          </cell>
          <cell r="D262" t="str">
            <v>KHF-00-104265-QA-6050-00107-0000</v>
          </cell>
          <cell r="E262" t="str">
            <v>Quality Control Plan for Painting (PCS 01)</v>
          </cell>
          <cell r="F262">
            <v>2</v>
          </cell>
          <cell r="G262" t="str">
            <v>IFA</v>
          </cell>
        </row>
        <row r="263">
          <cell r="A263" t="str">
            <v>KHF-00-104265-QA-6050-00108-0000-1</v>
          </cell>
          <cell r="B263" t="str">
            <v>AIP-PDO-P1701009-T-0179</v>
          </cell>
          <cell r="C263">
            <v>43136</v>
          </cell>
          <cell r="D263" t="str">
            <v>KHF-00-104265-QA-6050-00108-0000</v>
          </cell>
          <cell r="E263" t="str">
            <v>Quality Control Plan for Coating (PCS 02A)</v>
          </cell>
          <cell r="F263">
            <v>1</v>
          </cell>
          <cell r="G263" t="str">
            <v>IFR</v>
          </cell>
        </row>
        <row r="264">
          <cell r="A264" t="str">
            <v>KHF-00-104265-QA-6180-00125-0000-1</v>
          </cell>
          <cell r="B264" t="str">
            <v>AIP-PDO-P1701009-T-0179</v>
          </cell>
          <cell r="C264">
            <v>43136</v>
          </cell>
          <cell r="D264" t="str">
            <v>KHF-00-104265-QA-6180-00125-0000</v>
          </cell>
          <cell r="E264" t="str">
            <v>Quality Control Procedure for Wadi Crossing - GRE Pipeline</v>
          </cell>
          <cell r="F264">
            <v>1</v>
          </cell>
          <cell r="G264" t="str">
            <v>IFR</v>
          </cell>
        </row>
        <row r="265">
          <cell r="A265" t="str">
            <v>KHF-00-104265-QA-6180-00126-0000-1</v>
          </cell>
          <cell r="B265" t="str">
            <v>AIP-PDO-P1701009-T-0179</v>
          </cell>
          <cell r="C265">
            <v>43136</v>
          </cell>
          <cell r="D265" t="str">
            <v>KHF-00-104265-QA-6180-00126-0000</v>
          </cell>
          <cell r="E265" t="str">
            <v>Quality Control Procedure for Road Crossing Procedure - GRE P/L</v>
          </cell>
          <cell r="F265">
            <v>1</v>
          </cell>
          <cell r="G265" t="str">
            <v>IFR</v>
          </cell>
        </row>
        <row r="266">
          <cell r="A266" t="str">
            <v>KHF-00-104265-AA-3347-10017-0000-1</v>
          </cell>
          <cell r="B266" t="str">
            <v>AIP-PDO-P1701009-T-0180</v>
          </cell>
          <cell r="C266">
            <v>43136</v>
          </cell>
          <cell r="D266" t="str">
            <v>KHF-00-104265-AA-3347-10017-0000</v>
          </cell>
          <cell r="E266" t="str">
            <v>Minutes of Meeting - Weekly Review Meeting No.17</v>
          </cell>
          <cell r="F266">
            <v>1</v>
          </cell>
          <cell r="G266" t="str">
            <v>IFI</v>
          </cell>
        </row>
        <row r="267">
          <cell r="A267" t="str">
            <v>KHF-00-104265-LA-5009-00101-0000-1</v>
          </cell>
          <cell r="B267" t="str">
            <v>AIP-PDO-P1701009-T-0181</v>
          </cell>
          <cell r="C267">
            <v>43137</v>
          </cell>
          <cell r="D267" t="str">
            <v>KHF-00-104265-LA-5009-00101-0000</v>
          </cell>
          <cell r="E267" t="str">
            <v>Material Approval Sheet (MAS) for Heat Shrink Sleeve Material</v>
          </cell>
          <cell r="F267">
            <v>1</v>
          </cell>
          <cell r="G267" t="str">
            <v>IFA</v>
          </cell>
        </row>
        <row r="268">
          <cell r="A268" t="str">
            <v>KHF-00-104265-QA-6180-00134-0000--</v>
          </cell>
          <cell r="B268" t="str">
            <v>AIP-PDO-P1701009-T-0182</v>
          </cell>
          <cell r="C268">
            <v>43137</v>
          </cell>
          <cell r="D268" t="str">
            <v>KHF-00-104265-QA-6180-00134-0000</v>
          </cell>
          <cell r="E268" t="str">
            <v>Quality Control Procedure for Application of STOPAQ</v>
          </cell>
          <cell r="F268" t="str">
            <v>-</v>
          </cell>
          <cell r="G268" t="str">
            <v>Rejected by PDO</v>
          </cell>
        </row>
        <row r="269">
          <cell r="A269" t="str">
            <v>KHF-00-104265-QA-6180-00132-0000--</v>
          </cell>
          <cell r="B269" t="str">
            <v>AIP-PDO-P1701009-T-0182</v>
          </cell>
          <cell r="C269">
            <v>43137</v>
          </cell>
          <cell r="D269" t="str">
            <v>KHF-00-104265-QA-6180-00132-0000</v>
          </cell>
          <cell r="E269" t="str">
            <v>Quality Control Procedure for Painting PCS-01</v>
          </cell>
          <cell r="F269" t="str">
            <v>-</v>
          </cell>
          <cell r="G269" t="str">
            <v>Rejected by PDO</v>
          </cell>
        </row>
        <row r="270">
          <cell r="A270" t="str">
            <v>KHF-00-104265-LA-1580-00138-0000-1</v>
          </cell>
          <cell r="B270" t="str">
            <v>AIP-PDO-P1701009-T-0183</v>
          </cell>
          <cell r="C270">
            <v>43138</v>
          </cell>
          <cell r="D270" t="str">
            <v>KHF-00-104265-LA-1580-00138-0000</v>
          </cell>
          <cell r="E270" t="str">
            <v>List of GRE Bonders/Laminators &amp; Qualification Card of PDO/BP</v>
          </cell>
          <cell r="F270">
            <v>1</v>
          </cell>
          <cell r="G270" t="str">
            <v>IFR</v>
          </cell>
        </row>
        <row r="271">
          <cell r="A271" t="str">
            <v>KHF-00-104265-CG-8417-10021-0000-1</v>
          </cell>
          <cell r="B271" t="str">
            <v>AIP-PDO-P1701009-T-0184</v>
          </cell>
          <cell r="C271">
            <v>43139</v>
          </cell>
          <cell r="D271" t="str">
            <v>KHF-00-104265-CG-8417-10021-0000</v>
          </cell>
          <cell r="E271" t="str">
            <v>Survey Report on Benchmark and GIS/GTG Substation Setting-out</v>
          </cell>
          <cell r="F271">
            <v>1</v>
          </cell>
          <cell r="G271" t="str">
            <v>IFI</v>
          </cell>
        </row>
        <row r="272">
          <cell r="A272" t="str">
            <v>KHF-00-104265-QA-5733-22009-0000-1</v>
          </cell>
          <cell r="B272" t="str">
            <v>AIP-PDO-P1701009-T-0185</v>
          </cell>
          <cell r="C272">
            <v>43139</v>
          </cell>
          <cell r="D272" t="str">
            <v>KHF-00-104265-QA-5733-22009-0000</v>
          </cell>
          <cell r="E272" t="str">
            <v>Inspection &amp; Test Plan for Fabrication and Testing of Piping for Threaded Screwed Types</v>
          </cell>
          <cell r="F272">
            <v>1</v>
          </cell>
          <cell r="G272" t="str">
            <v>IFR</v>
          </cell>
        </row>
        <row r="273">
          <cell r="A273" t="str">
            <v>KHF-00-104265-AA-3341-60052-0000-1</v>
          </cell>
          <cell r="B273" t="str">
            <v>AIP-PDO-P1701009-T-0186</v>
          </cell>
          <cell r="C273">
            <v>43139</v>
          </cell>
          <cell r="D273" t="str">
            <v>KHF-00-104265-AA-3341-60052-0000</v>
          </cell>
          <cell r="E273" t="str">
            <v>CV of Mr. Prathap Prabhakaran - Information Management Lead</v>
          </cell>
          <cell r="F273">
            <v>1</v>
          </cell>
          <cell r="G273" t="str">
            <v>IFA</v>
          </cell>
        </row>
        <row r="274">
          <cell r="A274" t="str">
            <v>KHF-00-104265-AA-3341-60053-0000-1</v>
          </cell>
          <cell r="B274" t="str">
            <v>AIP-PDO-P1701009-T-0186</v>
          </cell>
          <cell r="C274">
            <v>43139</v>
          </cell>
          <cell r="D274" t="str">
            <v>KHF-00-104265-AA-3341-60053-0000</v>
          </cell>
          <cell r="E274" t="str">
            <v>CV of Mr. Alok Kumar - Information Management Lead</v>
          </cell>
          <cell r="F274">
            <v>1</v>
          </cell>
          <cell r="G274" t="str">
            <v>IFA</v>
          </cell>
        </row>
        <row r="275">
          <cell r="A275" t="str">
            <v>KHF-00-104265-QA-5798-10009-0000-3</v>
          </cell>
          <cell r="B275" t="str">
            <v>AIP-PDO-P1701009-T-0187</v>
          </cell>
          <cell r="C275">
            <v>43139</v>
          </cell>
          <cell r="D275" t="str">
            <v>KHF-00-104265-QA-5798-10009-0000</v>
          </cell>
          <cell r="E275" t="str">
            <v>Contract Quality Plan</v>
          </cell>
          <cell r="F275">
            <v>3</v>
          </cell>
          <cell r="G275" t="str">
            <v>IFA</v>
          </cell>
        </row>
        <row r="276">
          <cell r="A276" t="str">
            <v>KHF-00-104265-AA-6944-10014-0000-1</v>
          </cell>
          <cell r="B276" t="str">
            <v>AIP-PDO-P1701009-T-0188</v>
          </cell>
          <cell r="C276">
            <v>43139</v>
          </cell>
          <cell r="D276" t="str">
            <v>KHF-00-104265-AA-6944-10014-0000</v>
          </cell>
          <cell r="E276" t="str">
            <v>Weekly Progress Report No. 014</v>
          </cell>
          <cell r="F276">
            <v>1</v>
          </cell>
          <cell r="G276" t="str">
            <v>IFI</v>
          </cell>
        </row>
        <row r="277">
          <cell r="A277" t="str">
            <v>KHF-00-104265-AA-3341-60054-0000-1</v>
          </cell>
          <cell r="B277" t="str">
            <v>AIP-PDO-P1701009-T-0189</v>
          </cell>
          <cell r="C277">
            <v>43140</v>
          </cell>
          <cell r="D277" t="str">
            <v>KHF-00-104265-AA-3341-60054-0000</v>
          </cell>
          <cell r="E277" t="str">
            <v>CV of Mr.Vinay Sagar - Instrumentation Construction Engineer</v>
          </cell>
          <cell r="F277">
            <v>1</v>
          </cell>
          <cell r="G277" t="str">
            <v>IFA</v>
          </cell>
        </row>
        <row r="278">
          <cell r="A278" t="str">
            <v>KHF-00-104265-AA-5980-10022-0000-1</v>
          </cell>
          <cell r="B278" t="str">
            <v>AIP-PDO-P1701009-T-0190</v>
          </cell>
          <cell r="C278">
            <v>43142</v>
          </cell>
          <cell r="D278" t="str">
            <v>KHF-00-104265-AA-5980-10022-0000</v>
          </cell>
          <cell r="E278" t="str">
            <v>VOWD-Weightage Scheme Reconciliation &amp; Proposed Measurement Sheet</v>
          </cell>
          <cell r="F278">
            <v>1</v>
          </cell>
          <cell r="G278" t="str">
            <v>IFR</v>
          </cell>
        </row>
        <row r="279">
          <cell r="A279" t="str">
            <v>KHF-00-104265-AA-3341-00102-0000-1</v>
          </cell>
          <cell r="B279" t="str">
            <v>AIP-PDO-P1701009-T-0191</v>
          </cell>
          <cell r="C279">
            <v>43142</v>
          </cell>
          <cell r="D279" t="str">
            <v>KHF-00-104265-AA-3341-00102-0000</v>
          </cell>
          <cell r="E279" t="str">
            <v>CV of Tarique Ahmad - Sr. HSE Advisor</v>
          </cell>
          <cell r="F279">
            <v>1</v>
          </cell>
          <cell r="G279" t="str">
            <v>IFA</v>
          </cell>
        </row>
        <row r="280">
          <cell r="A280" t="str">
            <v>KHF-00-104265-AA-3341-60055-0000-1</v>
          </cell>
          <cell r="B280" t="str">
            <v>AIP-PDO-P1701009-T-0192</v>
          </cell>
          <cell r="C280">
            <v>43143</v>
          </cell>
          <cell r="D280" t="str">
            <v>KHF-00-104265-AA-3341-60055-0000</v>
          </cell>
          <cell r="E280" t="str">
            <v>CV of Mr. Sankar Velisetty - AIP Site based HSE Advisor</v>
          </cell>
          <cell r="F280">
            <v>1</v>
          </cell>
          <cell r="G280" t="str">
            <v>IFA</v>
          </cell>
        </row>
        <row r="281">
          <cell r="A281" t="str">
            <v>KHF-00-104265-CI-4180-00301-0001-3</v>
          </cell>
          <cell r="B281" t="str">
            <v>AIP-PDO-P1701009-T-0193</v>
          </cell>
          <cell r="C281">
            <v>43143</v>
          </cell>
          <cell r="D281" t="str">
            <v>KHF-00-104265-CI-4180-00301-0001</v>
          </cell>
          <cell r="E281" t="str">
            <v>External Water Supply Layout</v>
          </cell>
          <cell r="F281">
            <v>3</v>
          </cell>
          <cell r="G281" t="str">
            <v>IFA</v>
          </cell>
        </row>
        <row r="282">
          <cell r="A282" t="str">
            <v>KHF-00-104265-LA-8408-00101-0000-1</v>
          </cell>
          <cell r="B282" t="str">
            <v>AIP-PDO-P1701009-T-0194</v>
          </cell>
          <cell r="C282">
            <v>43143</v>
          </cell>
          <cell r="D282" t="str">
            <v>KHF-00-104265-LA-8408-00101-0000</v>
          </cell>
          <cell r="E282" t="str">
            <v>Pipeline Survey Report - 6 Inch CS Fuel Gas PL from CPF to East RMS - PL-09</v>
          </cell>
          <cell r="F282">
            <v>1</v>
          </cell>
          <cell r="G282" t="str">
            <v>IFA</v>
          </cell>
        </row>
        <row r="283">
          <cell r="A283" t="str">
            <v>KHF-00-104265-LA-8408-00102-0000-1</v>
          </cell>
          <cell r="B283" t="str">
            <v>AIP-PDO-P1701009-T-0194</v>
          </cell>
          <cell r="C283">
            <v>43143</v>
          </cell>
          <cell r="D283" t="str">
            <v>KHF-00-104265-LA-8408-00102-0000</v>
          </cell>
          <cell r="E283" t="str">
            <v>Pipeline Survey Report - 6 Inch CS Fuel Gas PL from CPF to South RMS - PL-09A</v>
          </cell>
          <cell r="F283">
            <v>1</v>
          </cell>
          <cell r="G283" t="str">
            <v>IFA</v>
          </cell>
        </row>
        <row r="284">
          <cell r="A284" t="str">
            <v>KHF-00-104265-LA-8408-00103-0000-1</v>
          </cell>
          <cell r="B284" t="str">
            <v>AIP-PDO-P1701009-T-0194</v>
          </cell>
          <cell r="C284">
            <v>43143</v>
          </cell>
          <cell r="D284" t="str">
            <v>KHF-00-104265-LA-8408-00103-0000</v>
          </cell>
          <cell r="E284" t="str">
            <v>Pipeline Survey Report - 6 Inch CS Fuel Gas PL from CPF to West RMS - PL-08</v>
          </cell>
          <cell r="F284">
            <v>1</v>
          </cell>
          <cell r="G284" t="str">
            <v>IFA</v>
          </cell>
        </row>
        <row r="285">
          <cell r="A285" t="str">
            <v>KHF-00-104265-LA-8408-00104-0000-1</v>
          </cell>
          <cell r="B285" t="str">
            <v>AIP-PDO-P1701009-T-0194</v>
          </cell>
          <cell r="C285">
            <v>43143</v>
          </cell>
          <cell r="D285" t="str">
            <v>KHF-00-104265-LA-8408-00104-0000</v>
          </cell>
          <cell r="E285" t="str">
            <v>Pipeline Survey Report - 8 Inch Oil Export Pipeline from CPF to Yibal-A (PL-07)</v>
          </cell>
          <cell r="F285">
            <v>1</v>
          </cell>
          <cell r="G285" t="str">
            <v>IFA</v>
          </cell>
        </row>
        <row r="286">
          <cell r="A286" t="str">
            <v>KHF-00-104265-LA-8408-00105-0000-1</v>
          </cell>
          <cell r="B286" t="str">
            <v>AIP-PDO-P1701009-T-0194</v>
          </cell>
          <cell r="C286">
            <v>43143</v>
          </cell>
          <cell r="D286" t="str">
            <v>KHF-00-104265-LA-8408-00105-0000</v>
          </cell>
          <cell r="E286" t="str">
            <v>Pipeline Survey Report - 10 Inch GRE Water Pipeline from CPF to Yibal A (PL-06)</v>
          </cell>
          <cell r="F286">
            <v>1</v>
          </cell>
          <cell r="G286" t="str">
            <v>IFA</v>
          </cell>
        </row>
        <row r="287">
          <cell r="A287" t="str">
            <v>KHF-00-104265-LA-8408-00106-0000-1</v>
          </cell>
          <cell r="B287" t="str">
            <v>AIP-PDO-P1701009-T-0194</v>
          </cell>
          <cell r="C287">
            <v>43143</v>
          </cell>
          <cell r="D287" t="str">
            <v>KHF-00-104265-LA-8408-00106-0000</v>
          </cell>
          <cell r="E287" t="str">
            <v>Pipeline Survey Report - 16 Inch CS Gas Pipeline from CPF to Yibal GGP (PL-05)</v>
          </cell>
          <cell r="F287">
            <v>1</v>
          </cell>
          <cell r="G287" t="str">
            <v>IFA</v>
          </cell>
        </row>
        <row r="288">
          <cell r="A288" t="str">
            <v>KHF-00-104265-LA-8408-00107-0000-1</v>
          </cell>
          <cell r="B288" t="str">
            <v>AIP-PDO-P1701009-T-0194</v>
          </cell>
          <cell r="C288">
            <v>43143</v>
          </cell>
          <cell r="D288" t="str">
            <v>KHF-00-104265-LA-8408-00107-0000</v>
          </cell>
          <cell r="E288" t="str">
            <v>Pipeline Survey Report - 16 Inch CS Trunkline PL-01 from West RMS to CPF (PL-01)</v>
          </cell>
          <cell r="F288">
            <v>1</v>
          </cell>
          <cell r="G288" t="str">
            <v>IFA</v>
          </cell>
        </row>
        <row r="289">
          <cell r="A289" t="str">
            <v>KHF-00-104265-QA-5798-00101-0000-2</v>
          </cell>
          <cell r="B289" t="str">
            <v>AIP-PDO-P1701009-T-0195</v>
          </cell>
          <cell r="C289">
            <v>43144</v>
          </cell>
          <cell r="D289" t="str">
            <v>KHF-00-104265-QA-5798-00101-0000</v>
          </cell>
          <cell r="E289" t="str">
            <v>Project Quality Plan</v>
          </cell>
          <cell r="F289">
            <v>2</v>
          </cell>
          <cell r="G289" t="str">
            <v>IFA</v>
          </cell>
        </row>
        <row r="290">
          <cell r="A290" t="str">
            <v>KHF-00-104265-LA-7205-00102-0000-1</v>
          </cell>
          <cell r="B290" t="str">
            <v>AIP-PDO-P1701009-T-0196</v>
          </cell>
          <cell r="C290">
            <v>43144</v>
          </cell>
          <cell r="D290" t="str">
            <v>KHF-00-104265-LA-7205-00102-0000</v>
          </cell>
          <cell r="E290" t="str">
            <v>Technical Deviation Request for Electrode class</v>
          </cell>
          <cell r="F290">
            <v>1</v>
          </cell>
          <cell r="G290" t="str">
            <v>IFA</v>
          </cell>
        </row>
        <row r="291">
          <cell r="A291" t="str">
            <v>KHF-00-104265-MP-6180-00134-0000-1</v>
          </cell>
          <cell r="B291" t="str">
            <v>AIP-PDO-P1701009-T-0197</v>
          </cell>
          <cell r="C291">
            <v>43145</v>
          </cell>
          <cell r="D291" t="str">
            <v>KHF-00-104265-MP-6180-00134-0000</v>
          </cell>
          <cell r="E291" t="str">
            <v>Method Statement for Application of STOPAQ</v>
          </cell>
          <cell r="F291">
            <v>1</v>
          </cell>
          <cell r="G291" t="str">
            <v>IFR</v>
          </cell>
        </row>
        <row r="292">
          <cell r="A292" t="str">
            <v>KHF-00-104265-MP-6180-00132-0000-1</v>
          </cell>
          <cell r="B292" t="str">
            <v>AIP-PDO-P1701009-T-0197</v>
          </cell>
          <cell r="C292">
            <v>43145</v>
          </cell>
          <cell r="D292" t="str">
            <v>KHF-00-104265-MP-6180-00132-0000</v>
          </cell>
          <cell r="E292" t="str">
            <v>Method Statement for Painting PCS-01</v>
          </cell>
          <cell r="F292">
            <v>1</v>
          </cell>
          <cell r="G292" t="str">
            <v>IFR</v>
          </cell>
        </row>
        <row r="293">
          <cell r="A293" t="str">
            <v>KHF-00-104265-CX-4180-10005-0001-6</v>
          </cell>
          <cell r="B293" t="str">
            <v>AIP-PDO-P1701009-T-0198</v>
          </cell>
          <cell r="C293">
            <v>43145</v>
          </cell>
          <cell r="D293" t="str">
            <v>KHF-00-104265-CX-4180-10005-0001</v>
          </cell>
          <cell r="E293" t="str">
            <v>Site Camp Layout</v>
          </cell>
          <cell r="F293">
            <v>6</v>
          </cell>
          <cell r="G293" t="str">
            <v>IFA</v>
          </cell>
        </row>
        <row r="294">
          <cell r="A294" t="str">
            <v>KHF-00-104265-QA-5733-22010-0000-1</v>
          </cell>
          <cell r="B294" t="str">
            <v>AIP-PDO-P1701009-T-0199</v>
          </cell>
          <cell r="C294">
            <v>43145</v>
          </cell>
          <cell r="D294" t="str">
            <v>KHF-00-104265-QA-5733-22010-0000</v>
          </cell>
          <cell r="E294" t="str">
            <v>Inspection &amp; Test Plan for Installation of Flare Stack</v>
          </cell>
          <cell r="F294">
            <v>1</v>
          </cell>
          <cell r="G294" t="str">
            <v>IFR</v>
          </cell>
        </row>
        <row r="295">
          <cell r="A295" t="str">
            <v>KHF-00-104265-AA-3347-10019-0000-1</v>
          </cell>
          <cell r="B295" t="str">
            <v>AIP-PDO-P1701009-T-0200</v>
          </cell>
          <cell r="C295">
            <v>43148</v>
          </cell>
          <cell r="D295" t="str">
            <v>KHF-00-104265-AA-3347-10019-0000</v>
          </cell>
          <cell r="E295" t="str">
            <v>Minutes of Meeting - Weekly Review Meeting No.19</v>
          </cell>
          <cell r="F295">
            <v>1</v>
          </cell>
          <cell r="G295" t="str">
            <v>IFI</v>
          </cell>
        </row>
        <row r="296">
          <cell r="A296" t="str">
            <v>KHF-00-104265-AA-6944-10015-0000-1</v>
          </cell>
          <cell r="B296" t="str">
            <v>AIP-PDO-P1701009-T-0201</v>
          </cell>
          <cell r="C296">
            <v>43149</v>
          </cell>
          <cell r="D296" t="str">
            <v>KHF-00-104265-AA-6944-10015-0000</v>
          </cell>
          <cell r="E296" t="str">
            <v>Weekly Progress Report No. 015</v>
          </cell>
          <cell r="F296">
            <v>1</v>
          </cell>
          <cell r="G296" t="str">
            <v>IFI</v>
          </cell>
        </row>
        <row r="297">
          <cell r="A297" t="str">
            <v>KHF-00-104265-HX-5798-10004-0000-4</v>
          </cell>
          <cell r="B297" t="str">
            <v>AIP-PDO-P1701009-T-0202</v>
          </cell>
          <cell r="C297">
            <v>43149</v>
          </cell>
          <cell r="D297" t="str">
            <v>KHF-00-104265-HX-5798-10004-0000</v>
          </cell>
          <cell r="E297" t="str">
            <v>Contract HSE Plan</v>
          </cell>
          <cell r="F297">
            <v>4</v>
          </cell>
          <cell r="G297" t="str">
            <v>IFA</v>
          </cell>
        </row>
        <row r="298">
          <cell r="A298" t="str">
            <v>KHF-00-104265-QA-6050-32005-0000-2</v>
          </cell>
          <cell r="B298" t="str">
            <v>AIP-PDO-P1701009-T-0203</v>
          </cell>
          <cell r="C298">
            <v>43149</v>
          </cell>
          <cell r="D298" t="str">
            <v>KHF-00-104265-QA-6050-32005-0000</v>
          </cell>
          <cell r="E298" t="str">
            <v xml:space="preserve">Quality Control Procedure for Handling of Welding Consumables </v>
          </cell>
          <cell r="F298">
            <v>2</v>
          </cell>
          <cell r="G298" t="str">
            <v>IFA</v>
          </cell>
        </row>
        <row r="299">
          <cell r="A299" t="str">
            <v>KHF-00-104265-CX-4180-00309-0001-3</v>
          </cell>
          <cell r="B299" t="str">
            <v>AIP-PDO-P1701009-T-0204</v>
          </cell>
          <cell r="C299">
            <v>43149</v>
          </cell>
          <cell r="D299" t="str">
            <v>KHF-00-104265-CX-4180-00309-0001</v>
          </cell>
          <cell r="E299" t="str">
            <v>Site Office Layout</v>
          </cell>
          <cell r="F299">
            <v>3</v>
          </cell>
          <cell r="G299" t="str">
            <v>IFA</v>
          </cell>
        </row>
        <row r="300">
          <cell r="A300" t="str">
            <v>KHF-00-104265-MP-6180-00133-0000-1</v>
          </cell>
          <cell r="B300" t="str">
            <v>AIP-PDO-P1701009-T-0205</v>
          </cell>
          <cell r="C300">
            <v>43150</v>
          </cell>
          <cell r="D300" t="str">
            <v>KHF-00-104265-MP-6180-00133-0000</v>
          </cell>
          <cell r="E300" t="str">
            <v>Method Statement for Coating with HEMPADUR 85531 (PCS 02A)</v>
          </cell>
          <cell r="F300">
            <v>1</v>
          </cell>
          <cell r="G300" t="str">
            <v>IFR</v>
          </cell>
        </row>
        <row r="301">
          <cell r="A301" t="str">
            <v>KHF-00-104265-QA-5733-23001-0000-1</v>
          </cell>
          <cell r="B301" t="str">
            <v>AIP-PDO-P1701009-T-0206</v>
          </cell>
          <cell r="C301">
            <v>43150</v>
          </cell>
          <cell r="D301" t="str">
            <v>KHF-00-104265-QA-5733-23001-0000</v>
          </cell>
          <cell r="E301" t="str">
            <v>Inspection &amp; Test Plan for HV/LV Cable Laying &amp; Testing</v>
          </cell>
          <cell r="F301">
            <v>1</v>
          </cell>
          <cell r="G301" t="str">
            <v>IFR</v>
          </cell>
        </row>
        <row r="302">
          <cell r="A302" t="str">
            <v>KHF-00-104265-QA-5733-23005-0000-1</v>
          </cell>
          <cell r="B302" t="str">
            <v>AIP-PDO-P1701009-T-0206</v>
          </cell>
          <cell r="C302">
            <v>43150</v>
          </cell>
          <cell r="D302" t="str">
            <v>KHF-00-104265-QA-5733-23005-0000</v>
          </cell>
          <cell r="E302" t="str">
            <v>Inspection &amp; Test Plan for Earthing Works</v>
          </cell>
          <cell r="F302">
            <v>1</v>
          </cell>
          <cell r="G302" t="str">
            <v>IFR</v>
          </cell>
        </row>
        <row r="303">
          <cell r="A303" t="str">
            <v>KHF-00-104265-BA-6065-00102-0000-3</v>
          </cell>
          <cell r="B303" t="str">
            <v>AIP-PDO-P1701009-T-0207</v>
          </cell>
          <cell r="C303">
            <v>43151</v>
          </cell>
          <cell r="D303" t="str">
            <v>KHF-00-104265-BA-6065-00102-0000</v>
          </cell>
          <cell r="E303" t="str">
            <v>Proposed Welding Specification (Mainline 16" PL5)</v>
          </cell>
          <cell r="F303">
            <v>3</v>
          </cell>
          <cell r="G303" t="str">
            <v>IFA</v>
          </cell>
        </row>
        <row r="304">
          <cell r="A304" t="str">
            <v>KHF-00-104265-BA-6065-00103-0000-3</v>
          </cell>
          <cell r="B304" t="str">
            <v>AIP-PDO-P1701009-T-0207</v>
          </cell>
          <cell r="C304">
            <v>43151</v>
          </cell>
          <cell r="D304" t="str">
            <v>KHF-00-104265-BA-6065-00103-0000</v>
          </cell>
          <cell r="E304" t="str">
            <v>Proposed Welding Specification (Tie-In 16" PL5)</v>
          </cell>
          <cell r="F304">
            <v>3</v>
          </cell>
          <cell r="G304" t="str">
            <v>IFA</v>
          </cell>
        </row>
        <row r="305">
          <cell r="A305" t="str">
            <v>KHF-00-104265-BA-6065-00104-0000-3</v>
          </cell>
          <cell r="B305" t="str">
            <v>AIP-PDO-P1701009-T-0207</v>
          </cell>
          <cell r="C305">
            <v>43151</v>
          </cell>
          <cell r="D305" t="str">
            <v>KHF-00-104265-BA-6065-00104-0000</v>
          </cell>
          <cell r="E305" t="str">
            <v>Proposed Welding Specification (FP Repair 16" PL5)</v>
          </cell>
          <cell r="F305">
            <v>3</v>
          </cell>
          <cell r="G305" t="str">
            <v>IFA</v>
          </cell>
        </row>
        <row r="306">
          <cell r="A306" t="str">
            <v>KHF-00-104265-BA-6065-00105-0000-3</v>
          </cell>
          <cell r="B306" t="str">
            <v>AIP-PDO-P1701009-T-0207</v>
          </cell>
          <cell r="C306">
            <v>43151</v>
          </cell>
          <cell r="D306" t="str">
            <v>KHF-00-104265-BA-6065-00105-0000</v>
          </cell>
          <cell r="E306" t="str">
            <v>Proposed Welding Specification (PP Repair 16" PL5)</v>
          </cell>
          <cell r="F306">
            <v>3</v>
          </cell>
          <cell r="G306" t="str">
            <v>IFA</v>
          </cell>
        </row>
        <row r="307">
          <cell r="A307" t="str">
            <v>KHF-00-104265-LA-8408-00108-0000-1</v>
          </cell>
          <cell r="B307" t="str">
            <v>AIP-PDO-P1701009-T-0208</v>
          </cell>
          <cell r="C307">
            <v>43151</v>
          </cell>
          <cell r="D307" t="str">
            <v>KHF-00-104265-LA-8408-00108-0000</v>
          </cell>
          <cell r="E307" t="str">
            <v>Pipeline Survey Report - 12 Inch CS Trunk line from East RMS to CPF - PL-02</v>
          </cell>
          <cell r="F307">
            <v>1</v>
          </cell>
          <cell r="G307" t="str">
            <v>IFA</v>
          </cell>
        </row>
        <row r="308">
          <cell r="A308" t="str">
            <v>KHF-00-104265-LA-8408-00109-0000-1</v>
          </cell>
          <cell r="B308" t="str">
            <v>AIP-PDO-P1701009-T-0208</v>
          </cell>
          <cell r="C308">
            <v>43151</v>
          </cell>
          <cell r="D308" t="str">
            <v>KHF-00-104265-LA-8408-00109-0000</v>
          </cell>
          <cell r="E308" t="str">
            <v>Pipeline Survey Report - 12 Inch CS Trunk line from East RMS to CPF -PL-03</v>
          </cell>
          <cell r="F308">
            <v>1</v>
          </cell>
          <cell r="G308" t="str">
            <v>IFA</v>
          </cell>
        </row>
        <row r="309">
          <cell r="A309" t="str">
            <v>KHF-00-104265-LA-8408-00110-0000-1</v>
          </cell>
          <cell r="B309" t="str">
            <v>AIP-PDO-P1701009-T-0208</v>
          </cell>
          <cell r="C309">
            <v>43151</v>
          </cell>
          <cell r="D309" t="str">
            <v>KHF-00-104265-LA-8408-00110-0000</v>
          </cell>
          <cell r="E309" t="str">
            <v>Pipeline Survey Report - 16 Inch CS Trunk line from South RMS to CPF -PL-04</v>
          </cell>
          <cell r="F309">
            <v>1</v>
          </cell>
          <cell r="G309" t="str">
            <v>IFA</v>
          </cell>
        </row>
        <row r="310">
          <cell r="A310" t="str">
            <v>KHF-00-104265-EA-1380-10024-0000-1</v>
          </cell>
          <cell r="B310" t="str">
            <v>AIP-PDO-P1701009-T-0209</v>
          </cell>
          <cell r="C310">
            <v>43151</v>
          </cell>
          <cell r="D310" t="str">
            <v>KHF-00-104265-EA-1380-10024-0000</v>
          </cell>
          <cell r="E310" t="str">
            <v>Voltage Drop Calculation for HC Cable for SS-08</v>
          </cell>
          <cell r="F310">
            <v>1</v>
          </cell>
          <cell r="G310" t="str">
            <v>IFA</v>
          </cell>
        </row>
        <row r="311">
          <cell r="A311" t="str">
            <v>KHF-00-104265-EA-4006-00001-0001-1</v>
          </cell>
          <cell r="B311" t="str">
            <v>AIP-PDO-P1701009-T-0209</v>
          </cell>
          <cell r="C311">
            <v>43151</v>
          </cell>
          <cell r="D311" t="str">
            <v>KHF-00-104265-EA-4006-00001-0001</v>
          </cell>
          <cell r="E311" t="str">
            <v>33KV HV Cable Trench D5/175 Pole to Substation -08</v>
          </cell>
          <cell r="F311">
            <v>1</v>
          </cell>
          <cell r="G311" t="str">
            <v>IFA</v>
          </cell>
        </row>
        <row r="312">
          <cell r="A312" t="str">
            <v>KHF-00-104265-RA-6038-00104-0000-1</v>
          </cell>
          <cell r="B312" t="str">
            <v>AIP-PDO-P1701009-T-0210</v>
          </cell>
          <cell r="C312">
            <v>43152</v>
          </cell>
          <cell r="D312" t="str">
            <v>KHF-00-104265-RA-6038-00104-0000</v>
          </cell>
          <cell r="E312" t="str">
            <v>Procedure for Ultrasonic Testing for Lamination  for Pipelines</v>
          </cell>
          <cell r="F312">
            <v>1</v>
          </cell>
          <cell r="G312" t="str">
            <v>IFA</v>
          </cell>
        </row>
        <row r="313">
          <cell r="A313" t="str">
            <v>KHF-00-104265-QA-5733-22004-0000-2</v>
          </cell>
          <cell r="B313" t="str">
            <v>AIP-PDO-P1701009-T-0211</v>
          </cell>
          <cell r="C313">
            <v>43152</v>
          </cell>
          <cell r="D313" t="str">
            <v>KHF-00-104265-QA-5733-22004-0000</v>
          </cell>
          <cell r="E313" t="str">
            <v>Inspection and Test Plan for Fabrication, Welding, Erection and Hydrotesting of Piping for CS/LTCS</v>
          </cell>
          <cell r="F313">
            <v>2</v>
          </cell>
          <cell r="G313" t="str">
            <v>IFA</v>
          </cell>
        </row>
        <row r="314">
          <cell r="A314" t="str">
            <v>KHF-00-104265-QA-5733-22006-0000-2</v>
          </cell>
          <cell r="B314" t="str">
            <v>AIP-PDO-P1701009-T-0211</v>
          </cell>
          <cell r="C314">
            <v>43152</v>
          </cell>
          <cell r="D314" t="str">
            <v>KHF-00-104265-QA-5733-22006-0000</v>
          </cell>
          <cell r="E314" t="str">
            <v>Inspection &amp; Test Plan for Fabrication, Welding, Erection and Hydrotesting of Piping for SS, SDSS &amp; Alloy 825</v>
          </cell>
          <cell r="F314">
            <v>2</v>
          </cell>
          <cell r="G314" t="str">
            <v>IFA</v>
          </cell>
        </row>
        <row r="315">
          <cell r="A315" t="str">
            <v>KHF-00-104265-QA-5733-22012-0000-2</v>
          </cell>
          <cell r="B315" t="str">
            <v>AIP-PDO-P1701009-T-0211</v>
          </cell>
          <cell r="C315">
            <v>43152</v>
          </cell>
          <cell r="D315" t="str">
            <v>KHF-00-104265-QA-5733-22012-0000</v>
          </cell>
          <cell r="E315" t="str">
            <v>Inspection &amp; Test Plan for Rotating Equipment Installation</v>
          </cell>
          <cell r="F315">
            <v>2</v>
          </cell>
          <cell r="G315" t="str">
            <v>IFA</v>
          </cell>
        </row>
        <row r="316">
          <cell r="A316" t="str">
            <v>KHF-00-104265-RA-8241-51016-0000-1</v>
          </cell>
          <cell r="B316" t="str">
            <v>AIP-PDO-P1701009-T-0212</v>
          </cell>
          <cell r="C316">
            <v>43152</v>
          </cell>
          <cell r="D316" t="str">
            <v>KHF-00-104265-RA-8241-51016-0000</v>
          </cell>
          <cell r="E316" t="str">
            <v>Material Approval Sheet for Concrete Protective Coating</v>
          </cell>
          <cell r="F316">
            <v>1</v>
          </cell>
          <cell r="G316" t="str">
            <v>IFR</v>
          </cell>
        </row>
        <row r="317">
          <cell r="A317" t="str">
            <v>KHF-00-104265-RA-6038-00103-0000-1</v>
          </cell>
          <cell r="B317" t="str">
            <v>AIP-PDO-P1701009-T-0213</v>
          </cell>
          <cell r="C317">
            <v>43153</v>
          </cell>
          <cell r="D317" t="str">
            <v>KHF-00-104265-RA-6038-00103-0000</v>
          </cell>
          <cell r="E317" t="str">
            <v>Procedure for Magnetic Particle Testing for Pipelines</v>
          </cell>
          <cell r="F317">
            <v>1</v>
          </cell>
          <cell r="G317" t="str">
            <v>IFA</v>
          </cell>
        </row>
        <row r="318">
          <cell r="A318" t="str">
            <v>KHF-00-104265-RA-8241-51017-0000-1</v>
          </cell>
          <cell r="B318" t="str">
            <v>AIP-PDO-P1701009-T-0214</v>
          </cell>
          <cell r="C318">
            <v>43153</v>
          </cell>
          <cell r="D318" t="str">
            <v>KHF-00-104265-RA-8241-51017-0000</v>
          </cell>
          <cell r="E318" t="str">
            <v>Material Approval Sheet - Agency for Structural Fabrication, Coating and Galvanizing</v>
          </cell>
          <cell r="F318">
            <v>1</v>
          </cell>
          <cell r="G318" t="str">
            <v>IFA</v>
          </cell>
        </row>
        <row r="319">
          <cell r="A319" t="str">
            <v>KHF-00-104265-RA-6038-00101-0000-1</v>
          </cell>
          <cell r="B319" t="str">
            <v>AIP-PDO-P1701009-T-0215</v>
          </cell>
          <cell r="C319">
            <v>43153</v>
          </cell>
          <cell r="D319" t="str">
            <v>KHF-00-104265-RA-6038-00101-0000</v>
          </cell>
          <cell r="E319" t="str">
            <v>Procedure for X-Ray Radiographic Testing of Pipelines</v>
          </cell>
          <cell r="F319">
            <v>1</v>
          </cell>
          <cell r="G319" t="str">
            <v>IFA</v>
          </cell>
        </row>
        <row r="320">
          <cell r="A320" t="str">
            <v>KHF-00-104265-AA-6944-10016-0000-1</v>
          </cell>
          <cell r="B320" t="str">
            <v>AIP-PDO-P1701009-T-0216</v>
          </cell>
          <cell r="C320">
            <v>43156</v>
          </cell>
          <cell r="D320" t="str">
            <v>KHF-00-104265-AA-6944-10016-0000</v>
          </cell>
          <cell r="E320" t="str">
            <v>Weekly Progress Report No. 016</v>
          </cell>
          <cell r="F320">
            <v>1</v>
          </cell>
          <cell r="G320" t="str">
            <v>IFI</v>
          </cell>
        </row>
        <row r="321">
          <cell r="A321" t="str">
            <v>KHF-00-104265-AA-5768-10028-0000-3</v>
          </cell>
          <cell r="B321" t="str">
            <v>AIP-PDO-P1701009-T-0217</v>
          </cell>
          <cell r="C321">
            <v>43156</v>
          </cell>
          <cell r="D321" t="str">
            <v>KHF-00-104265-AA-5768-10028-0000</v>
          </cell>
          <cell r="E321" t="str">
            <v xml:space="preserve">Risk Management Plan and Strategies </v>
          </cell>
          <cell r="F321">
            <v>3</v>
          </cell>
          <cell r="G321" t="str">
            <v>IFA</v>
          </cell>
        </row>
        <row r="322">
          <cell r="A322" t="str">
            <v>KHF-00-104265-QA-5733-22002-0000-2</v>
          </cell>
          <cell r="B322" t="str">
            <v>AIP-PDO-P1701009-T-0218</v>
          </cell>
          <cell r="C322">
            <v>43156</v>
          </cell>
          <cell r="D322" t="str">
            <v>KHF-00-104265-QA-5733-22002-0000</v>
          </cell>
          <cell r="E322" t="str">
            <v>Inspection &amp; Test Plan - Surface Preparation and Painting (PCS-1, PCS-3 &amp; PCS-6)</v>
          </cell>
          <cell r="F322">
            <v>2</v>
          </cell>
          <cell r="G322" t="str">
            <v>IFA</v>
          </cell>
        </row>
        <row r="323">
          <cell r="A323" t="str">
            <v>KHF-00-104265-QA-5733-22009-0000-2</v>
          </cell>
          <cell r="B323" t="str">
            <v>AIP-PDO-P1701009-T-0218</v>
          </cell>
          <cell r="C323">
            <v>43156</v>
          </cell>
          <cell r="D323" t="str">
            <v>KHF-00-104265-QA-5733-22009-0000</v>
          </cell>
          <cell r="E323" t="str">
            <v>Inspection &amp; Test Plan - Fabrication and Testing of Utilities Piping for Threaded - Screwed type</v>
          </cell>
          <cell r="F323">
            <v>2</v>
          </cell>
          <cell r="G323" t="str">
            <v>IFA</v>
          </cell>
        </row>
        <row r="324">
          <cell r="A324" t="str">
            <v>KHF-00-104265-QA-5733-23002-0000-1</v>
          </cell>
          <cell r="B324" t="str">
            <v>AIP-PDO-P1701009-T-0218</v>
          </cell>
          <cell r="C324">
            <v>43156</v>
          </cell>
          <cell r="D324" t="str">
            <v>KHF-00-104265-QA-5733-23002-0000</v>
          </cell>
          <cell r="E324" t="str">
            <v>Inspection &amp; Test Plan for HV/LV Cable Glanding &amp; Termination</v>
          </cell>
          <cell r="F324">
            <v>1</v>
          </cell>
          <cell r="G324" t="str">
            <v>IFR</v>
          </cell>
        </row>
        <row r="325">
          <cell r="A325" t="str">
            <v>KHF-00-104265-RA-6038-00102-0000-1</v>
          </cell>
          <cell r="B325" t="str">
            <v>AIP-PDO-P1701009-T-0219</v>
          </cell>
          <cell r="C325">
            <v>43156</v>
          </cell>
          <cell r="D325" t="str">
            <v>KHF-00-104265-RA-6038-00102-0000</v>
          </cell>
          <cell r="E325" t="str">
            <v>Procedure for External X-Ray Radiographic Testing of Pipelines</v>
          </cell>
          <cell r="F325">
            <v>1</v>
          </cell>
          <cell r="G325" t="str">
            <v>IFA</v>
          </cell>
        </row>
        <row r="326">
          <cell r="A326" t="str">
            <v>KHF-00-104265-AA-3341-60056-0000-1</v>
          </cell>
          <cell r="B326" t="str">
            <v>AIP-PDO-P1701009-T-0220</v>
          </cell>
          <cell r="C326">
            <v>43157</v>
          </cell>
          <cell r="D326" t="str">
            <v>KHF-00-104265-AA-3341-60056-0000</v>
          </cell>
          <cell r="E326" t="str">
            <v>CV of Mr. Joao Fernando Marques Pereira - Lead Field Pipeline Engineer</v>
          </cell>
          <cell r="F326">
            <v>1</v>
          </cell>
          <cell r="G326" t="str">
            <v>IFA</v>
          </cell>
        </row>
        <row r="327">
          <cell r="A327" t="str">
            <v>KHF-00-104265-QA-5733-23007-0000-1</v>
          </cell>
          <cell r="B327" t="str">
            <v>AIP-PDO-P1701009-T-0221</v>
          </cell>
          <cell r="C327">
            <v>43157</v>
          </cell>
          <cell r="D327" t="str">
            <v>KHF-00-104265-QA-5733-23007-0000</v>
          </cell>
          <cell r="E327" t="str">
            <v>Inspection &amp; Test Plan - Transformer Installation &amp; Testing</v>
          </cell>
          <cell r="F327">
            <v>1</v>
          </cell>
          <cell r="G327" t="str">
            <v>IFR</v>
          </cell>
        </row>
        <row r="328">
          <cell r="A328" t="str">
            <v>KHF-00-104265-QA-5733-23004-0000-1</v>
          </cell>
          <cell r="B328" t="str">
            <v>AIP-PDO-P1701009-T-0221</v>
          </cell>
          <cell r="C328">
            <v>43157</v>
          </cell>
          <cell r="D328" t="str">
            <v>KHF-00-104265-QA-5733-23004-0000</v>
          </cell>
          <cell r="E328" t="str">
            <v>Inspection &amp; Test Plan - Cable Tray and Supports Installation</v>
          </cell>
          <cell r="F328">
            <v>1</v>
          </cell>
          <cell r="G328" t="str">
            <v>IFR</v>
          </cell>
        </row>
        <row r="329">
          <cell r="A329" t="str">
            <v>KHF-00-104265-RA-8241-51018-0000-1</v>
          </cell>
          <cell r="B329" t="str">
            <v>AIP-PDO-P1701009-T-0222</v>
          </cell>
          <cell r="C329">
            <v>43158</v>
          </cell>
          <cell r="D329" t="str">
            <v>KHF-00-104265-RA-8241-51018-0000</v>
          </cell>
          <cell r="E329" t="str">
            <v>Material Approval Sheet for Anchor Bolt</v>
          </cell>
          <cell r="F329">
            <v>1</v>
          </cell>
          <cell r="G329" t="str">
            <v>IFA</v>
          </cell>
        </row>
        <row r="330">
          <cell r="A330" t="str">
            <v>KHF-00-104265-AA-3341-60048-0000-2</v>
          </cell>
          <cell r="B330" t="str">
            <v>AIP-PDO-P1701009-T-0223</v>
          </cell>
          <cell r="C330">
            <v>43158</v>
          </cell>
          <cell r="D330" t="str">
            <v>KHF-00-104265-AA-3341-60048-0000</v>
          </cell>
          <cell r="E330" t="str">
            <v>CV of Mr. Govind Singh - NDT Level III</v>
          </cell>
          <cell r="F330">
            <v>2</v>
          </cell>
          <cell r="G330" t="str">
            <v>IFA</v>
          </cell>
        </row>
        <row r="331">
          <cell r="A331" t="str">
            <v>KHF-00-104265-AA-3341-00103-0000-1</v>
          </cell>
          <cell r="B331" t="str">
            <v>AIP-PDO-P1701009-T-0224</v>
          </cell>
          <cell r="C331">
            <v>43158</v>
          </cell>
          <cell r="D331" t="str">
            <v>KHF-00-104265-AA-3341-00103-0000</v>
          </cell>
          <cell r="E331" t="str">
            <v>CV of Mr. Ramesh Parmar - GRE Inspector</v>
          </cell>
          <cell r="F331">
            <v>1</v>
          </cell>
          <cell r="G331" t="str">
            <v>IFA</v>
          </cell>
        </row>
        <row r="332">
          <cell r="A332" t="str">
            <v>KHF-00-104265-AA-8502-00102-0000-1</v>
          </cell>
          <cell r="B332" t="str">
            <v>AIP-PDO-P1701009-T-0225</v>
          </cell>
          <cell r="C332">
            <v>43158</v>
          </cell>
          <cell r="D332" t="str">
            <v>KHF-00-104265-AA-8502-00102-0000</v>
          </cell>
          <cell r="E332" t="str">
            <v xml:space="preserve">Technical Query for External Field Joint and Rehabilitation Coating Systems for Line Pipe </v>
          </cell>
          <cell r="F332">
            <v>1</v>
          </cell>
          <cell r="G332" t="str">
            <v>IFA</v>
          </cell>
        </row>
        <row r="333">
          <cell r="A333" t="str">
            <v>KHF-00-104265-MP-6180-00133-0000-2</v>
          </cell>
          <cell r="B333" t="str">
            <v>AIP-PDO-P1701009-T-0226</v>
          </cell>
          <cell r="C333">
            <v>43158</v>
          </cell>
          <cell r="D333" t="str">
            <v>KHF-00-104265-MP-6180-00133-0000</v>
          </cell>
          <cell r="E333" t="str">
            <v>Method Statement for Coating with HEMPADUR 85531 (PCS 02A)</v>
          </cell>
          <cell r="F333">
            <v>2</v>
          </cell>
          <cell r="G333" t="str">
            <v>IFA</v>
          </cell>
        </row>
        <row r="334">
          <cell r="A334" t="str">
            <v>KHF-00-104265-RA-8241-51026-0000-1</v>
          </cell>
          <cell r="B334" t="str">
            <v>AIP-PDO-P1701009-T-0227</v>
          </cell>
          <cell r="C334">
            <v>43158</v>
          </cell>
          <cell r="D334" t="str">
            <v>KHF-00-104265-RA-8241-51026-0000</v>
          </cell>
          <cell r="E334" t="str">
            <v>Material Approval Sheet for Fencing</v>
          </cell>
          <cell r="F334">
            <v>1</v>
          </cell>
          <cell r="G334" t="str">
            <v>IFA</v>
          </cell>
        </row>
        <row r="335">
          <cell r="A335" t="str">
            <v>KHF-00-104265-BA-6070-00101-0000-1</v>
          </cell>
          <cell r="B335" t="str">
            <v>AIP-PDO-P1701009-T-0228</v>
          </cell>
          <cell r="C335">
            <v>43159</v>
          </cell>
          <cell r="D335" t="str">
            <v>KHF-00-104265-BA-6070-00101-0000</v>
          </cell>
          <cell r="E335" t="str">
            <v>Method Statement for Surveying and setting out</v>
          </cell>
          <cell r="F335">
            <v>1</v>
          </cell>
          <cell r="G335" t="str">
            <v>IFR</v>
          </cell>
        </row>
        <row r="336">
          <cell r="A336" t="str">
            <v>KHF-00-104265-BA-6070-00104-0000-1</v>
          </cell>
          <cell r="B336" t="str">
            <v>AIP-PDO-P1701009-T-0228</v>
          </cell>
          <cell r="C336">
            <v>43159</v>
          </cell>
          <cell r="D336" t="str">
            <v>KHF-00-104265-BA-6070-00104-0000</v>
          </cell>
          <cell r="E336" t="str">
            <v>Method Statement for Welding - Offplot</v>
          </cell>
          <cell r="F336">
            <v>1</v>
          </cell>
          <cell r="G336" t="str">
            <v>IFR</v>
          </cell>
        </row>
        <row r="337">
          <cell r="A337" t="str">
            <v>KHF-00-104265-BA-6070-00105-0000-1</v>
          </cell>
          <cell r="B337" t="str">
            <v>AIP-PDO-P1701009-T-0228</v>
          </cell>
          <cell r="C337">
            <v>43159</v>
          </cell>
          <cell r="D337" t="str">
            <v>KHF-00-104265-BA-6070-00105-0000</v>
          </cell>
          <cell r="E337" t="str">
            <v>Method Statement for ROW Preparation</v>
          </cell>
          <cell r="F337">
            <v>1</v>
          </cell>
          <cell r="G337" t="str">
            <v>IFR</v>
          </cell>
        </row>
        <row r="338">
          <cell r="A338" t="str">
            <v>KHF-00-104265-BA-6070-00106-0000-1</v>
          </cell>
          <cell r="B338" t="str">
            <v>AIP-PDO-P1701009-T-0228</v>
          </cell>
          <cell r="C338">
            <v>43159</v>
          </cell>
          <cell r="D338" t="str">
            <v>KHF-00-104265-BA-6070-00106-0000</v>
          </cell>
          <cell r="E338" t="str">
            <v>Method Statement for Stringing of line pipes</v>
          </cell>
          <cell r="F338">
            <v>1</v>
          </cell>
          <cell r="G338" t="str">
            <v>IFR</v>
          </cell>
        </row>
        <row r="339">
          <cell r="A339" t="str">
            <v>KHF-00-104265-BA-6070-00107-0000-1</v>
          </cell>
          <cell r="B339" t="str">
            <v>AIP-PDO-P1701009-T-0228</v>
          </cell>
          <cell r="C339">
            <v>43159</v>
          </cell>
          <cell r="D339" t="str">
            <v>KHF-00-104265-BA-6070-00107-0000</v>
          </cell>
          <cell r="E339" t="str">
            <v>Method Statement for Trenching    </v>
          </cell>
          <cell r="F339">
            <v>1</v>
          </cell>
          <cell r="G339" t="str">
            <v>IFR</v>
          </cell>
        </row>
        <row r="340">
          <cell r="A340" t="str">
            <v>KHF-00-104265-BA-6070-00108-0000-1</v>
          </cell>
          <cell r="B340" t="str">
            <v>AIP-PDO-P1701009-T-0228</v>
          </cell>
          <cell r="C340">
            <v>43159</v>
          </cell>
          <cell r="D340" t="str">
            <v>KHF-00-104265-BA-6070-00108-0000</v>
          </cell>
          <cell r="E340" t="str">
            <v>Method Statement for Cold Bending of Line Pipes</v>
          </cell>
          <cell r="F340">
            <v>1</v>
          </cell>
          <cell r="G340" t="str">
            <v>IFR</v>
          </cell>
        </row>
        <row r="341">
          <cell r="A341" t="str">
            <v>KHF-00-104265-BA-6070-00111-0000-1</v>
          </cell>
          <cell r="B341" t="str">
            <v>AIP-PDO-P1701009-T-0228</v>
          </cell>
          <cell r="C341">
            <v>43159</v>
          </cell>
          <cell r="D341" t="str">
            <v>KHF-00-104265-BA-6070-00111-0000</v>
          </cell>
          <cell r="E341" t="str">
            <v>Method Statement for Pre-padding of trench</v>
          </cell>
          <cell r="F341">
            <v>1</v>
          </cell>
          <cell r="G341" t="str">
            <v>IFR</v>
          </cell>
        </row>
        <row r="342">
          <cell r="A342" t="str">
            <v>KHF-00-104265-BA-6070-00112-0000-1</v>
          </cell>
          <cell r="B342" t="str">
            <v>AIP-PDO-P1701009-T-0228</v>
          </cell>
          <cell r="C342">
            <v>43159</v>
          </cell>
          <cell r="D342" t="str">
            <v>KHF-00-104265-BA-6070-00112-0000</v>
          </cell>
          <cell r="E342" t="str">
            <v>Method Statement for Holiday testing, lowering, post padding &amp; back filling</v>
          </cell>
          <cell r="F342">
            <v>1</v>
          </cell>
          <cell r="G342" t="str">
            <v>IFR</v>
          </cell>
        </row>
        <row r="343">
          <cell r="A343" t="str">
            <v>KHF-00-104265-BA-6070-00113-0000-1</v>
          </cell>
          <cell r="B343" t="str">
            <v>AIP-PDO-P1701009-T-0228</v>
          </cell>
          <cell r="C343">
            <v>43159</v>
          </cell>
          <cell r="D343" t="str">
            <v>KHF-00-104265-BA-6070-00113-0000</v>
          </cell>
          <cell r="E343" t="str">
            <v>Method Statement for Wadi Crossing - CS P/L</v>
          </cell>
          <cell r="F343">
            <v>1</v>
          </cell>
          <cell r="G343" t="str">
            <v>IFR</v>
          </cell>
        </row>
        <row r="344">
          <cell r="A344" t="str">
            <v>KHF-00-104265-BA-6070-00114-0000-1</v>
          </cell>
          <cell r="B344" t="str">
            <v>AIP-PDO-P1701009-T-0228</v>
          </cell>
          <cell r="C344">
            <v>43159</v>
          </cell>
          <cell r="D344" t="str">
            <v>KHF-00-104265-BA-6070-00114-0000</v>
          </cell>
          <cell r="E344" t="str">
            <v>Method Statement for Road Crossing -CS P/L</v>
          </cell>
          <cell r="F344">
            <v>1</v>
          </cell>
          <cell r="G344" t="str">
            <v>IFR</v>
          </cell>
        </row>
        <row r="345">
          <cell r="A345" t="str">
            <v>KHF-00-104265-BA-6070-00116-0000-1</v>
          </cell>
          <cell r="B345" t="str">
            <v>AIP-PDO-P1701009-T-0228</v>
          </cell>
          <cell r="C345">
            <v>43159</v>
          </cell>
          <cell r="D345" t="str">
            <v>KHF-00-104265-BA-6070-00116-0000</v>
          </cell>
          <cell r="E345" t="str">
            <v>Method Statement for Adhesive Bonding and installation of GRE pipelines</v>
          </cell>
          <cell r="F345">
            <v>1</v>
          </cell>
          <cell r="G345" t="str">
            <v>IFR</v>
          </cell>
        </row>
        <row r="346">
          <cell r="A346" t="str">
            <v>KHF-00-104265-BA-6070-00117-0000-1</v>
          </cell>
          <cell r="B346" t="str">
            <v>AIP-PDO-P1701009-T-0228</v>
          </cell>
          <cell r="C346">
            <v>43159</v>
          </cell>
          <cell r="D346" t="str">
            <v>KHF-00-104265-BA-6070-00117-0000</v>
          </cell>
          <cell r="E346" t="str">
            <v>Method Statement for GRE material transportation, handling, storage and control</v>
          </cell>
          <cell r="F346">
            <v>1</v>
          </cell>
          <cell r="G346" t="str">
            <v>IFR</v>
          </cell>
        </row>
        <row r="347">
          <cell r="A347" t="str">
            <v>KHF-00-104265-BA-6070-00118-0000-1</v>
          </cell>
          <cell r="B347" t="str">
            <v>AIP-PDO-P1701009-T-0228</v>
          </cell>
          <cell r="C347">
            <v>43159</v>
          </cell>
          <cell r="D347" t="str">
            <v>KHF-00-104265-BA-6070-00118-0000</v>
          </cell>
          <cell r="E347" t="str">
            <v>Method Statement for Wadi Crossing Procedure- GRE  P/L</v>
          </cell>
          <cell r="F347">
            <v>1</v>
          </cell>
          <cell r="G347" t="str">
            <v>IFR</v>
          </cell>
        </row>
        <row r="348">
          <cell r="A348" t="str">
            <v>KHF-00-104265-BA-6070-00119-0000-1</v>
          </cell>
          <cell r="B348" t="str">
            <v>AIP-PDO-P1701009-T-0228</v>
          </cell>
          <cell r="C348">
            <v>43159</v>
          </cell>
          <cell r="D348" t="str">
            <v>KHF-00-104265-BA-6070-00119-0000</v>
          </cell>
          <cell r="E348" t="str">
            <v>Method Statement for Road Crossing Procedure- GRE  P/L</v>
          </cell>
          <cell r="F348">
            <v>1</v>
          </cell>
          <cell r="G348" t="str">
            <v>IFR</v>
          </cell>
        </row>
        <row r="349">
          <cell r="A349" t="str">
            <v>KHF-00-104265-AA-3341-60057-0000-1</v>
          </cell>
          <cell r="B349" t="str">
            <v>AIP-PDO-P1701009-T-0229</v>
          </cell>
          <cell r="C349">
            <v>43159</v>
          </cell>
          <cell r="D349" t="str">
            <v>KHF-00-104265-AA-3341-60057-0000</v>
          </cell>
          <cell r="E349" t="str">
            <v>CV of Mr. Arun Babu - HSE Advisor</v>
          </cell>
          <cell r="F349">
            <v>1</v>
          </cell>
          <cell r="G349" t="str">
            <v>IFA</v>
          </cell>
        </row>
        <row r="350">
          <cell r="A350" t="str">
            <v>KHF-00-104265-AA-3341-60058-0000-1</v>
          </cell>
          <cell r="B350" t="str">
            <v>AIP-PDO-P1701009-T-0229</v>
          </cell>
          <cell r="C350">
            <v>43159</v>
          </cell>
          <cell r="D350" t="str">
            <v>KHF-00-104265-AA-3341-60058-0000</v>
          </cell>
          <cell r="E350" t="str">
            <v xml:space="preserve">CV of Mr. Ram Naresh Gajuala - HSE Advisor </v>
          </cell>
          <cell r="F350">
            <v>1</v>
          </cell>
          <cell r="G350" t="str">
            <v>IFA</v>
          </cell>
        </row>
        <row r="351">
          <cell r="A351" t="str">
            <v>KHF-00-104265-AA-3341-60059-0000-1</v>
          </cell>
          <cell r="B351" t="str">
            <v>AIP-PDO-P1701009-T-0229</v>
          </cell>
          <cell r="C351">
            <v>43159</v>
          </cell>
          <cell r="D351" t="str">
            <v>KHF-00-104265-AA-3341-60059-0000</v>
          </cell>
          <cell r="E351" t="str">
            <v>CV of Mr. Manoj Nageshwar Sharma - HSE Advisor</v>
          </cell>
          <cell r="F351">
            <v>1</v>
          </cell>
          <cell r="G351" t="str">
            <v>IFA</v>
          </cell>
        </row>
        <row r="352">
          <cell r="A352" t="str">
            <v>KHF-00-104265-QA-6180-10018-0000-2</v>
          </cell>
          <cell r="B352" t="str">
            <v>AIP-PDO-P1701009-T-0230</v>
          </cell>
          <cell r="C352">
            <v>43159</v>
          </cell>
          <cell r="D352" t="str">
            <v>KHF-00-104265-QA-6180-10018-0000</v>
          </cell>
          <cell r="E352" t="str">
            <v>Project Audit Procedure</v>
          </cell>
          <cell r="F352">
            <v>2</v>
          </cell>
          <cell r="G352" t="str">
            <v>IFA</v>
          </cell>
        </row>
        <row r="353">
          <cell r="A353" t="str">
            <v>KHF-00-104265-QA-6180-10019-0000-2</v>
          </cell>
          <cell r="B353" t="str">
            <v>AIP-PDO-P1701009-T-0230</v>
          </cell>
          <cell r="C353">
            <v>43159</v>
          </cell>
          <cell r="D353" t="str">
            <v>KHF-00-104265-QA-6180-10019-0000</v>
          </cell>
          <cell r="E353" t="str">
            <v>Material Identification and Traceability Procedure</v>
          </cell>
          <cell r="F353">
            <v>2</v>
          </cell>
          <cell r="G353" t="str">
            <v>IFA</v>
          </cell>
        </row>
        <row r="354">
          <cell r="A354" t="str">
            <v>KHF-00-104265-RA-8241-51019-0000-1</v>
          </cell>
          <cell r="B354" t="str">
            <v>AIP-PDO-P1701009-T-0231</v>
          </cell>
          <cell r="C354">
            <v>43159</v>
          </cell>
          <cell r="D354" t="str">
            <v>KHF-00-104265-RA-8241-51019-0000</v>
          </cell>
          <cell r="E354" t="str">
            <v>Material Approval Sheet for Anchor Bolt (Asia Bolt Industries , Dubai)</v>
          </cell>
          <cell r="F354">
            <v>1</v>
          </cell>
          <cell r="G354" t="str">
            <v>IFA</v>
          </cell>
        </row>
        <row r="355">
          <cell r="A355" t="str">
            <v>KHF-00-104265-VA-6047-10006-0000-3</v>
          </cell>
          <cell r="B355" t="str">
            <v>AIP-PDO-P1701009-T-0232</v>
          </cell>
          <cell r="C355">
            <v>43160</v>
          </cell>
          <cell r="D355" t="str">
            <v>KHF-00-104265-VA-6047-10006-0000</v>
          </cell>
          <cell r="E355" t="str">
            <v>Contract Procurement Plan</v>
          </cell>
          <cell r="F355">
            <v>3</v>
          </cell>
          <cell r="G355" t="str">
            <v>IFA</v>
          </cell>
        </row>
        <row r="356">
          <cell r="A356" t="str">
            <v>KHF-00-104265-AA-3347-10020-0000-1</v>
          </cell>
          <cell r="B356" t="str">
            <v>AIP-PDO-P1701009-T-0233</v>
          </cell>
          <cell r="C356">
            <v>43160</v>
          </cell>
          <cell r="D356" t="str">
            <v>KHF-00-104265-AA-3347-10020-0000</v>
          </cell>
          <cell r="E356" t="str">
            <v>Minutes of Meeting - Weekly Review Meeting No.20</v>
          </cell>
          <cell r="F356">
            <v>1</v>
          </cell>
          <cell r="G356" t="str">
            <v>IFI</v>
          </cell>
        </row>
        <row r="357">
          <cell r="A357" t="str">
            <v>KHF-00-104265-AA-6944-20005-0000-1</v>
          </cell>
          <cell r="B357" t="str">
            <v>AIP-PDO-P1701009-T-0234</v>
          </cell>
          <cell r="C357">
            <v>43160</v>
          </cell>
          <cell r="D357" t="str">
            <v>KHF-00-104265-AA-6944-20005-0000</v>
          </cell>
          <cell r="E357" t="str">
            <v>Monthly Progress Report No.005 (Feb  2018)</v>
          </cell>
          <cell r="F357">
            <v>1</v>
          </cell>
          <cell r="G357" t="str">
            <v>IFI</v>
          </cell>
        </row>
        <row r="358">
          <cell r="A358" t="str">
            <v>KHF-00-104265-AA-6944-10017-0000-1</v>
          </cell>
          <cell r="B358" t="str">
            <v>AIP-PDO-P1701009-T-0235</v>
          </cell>
          <cell r="C358">
            <v>43160</v>
          </cell>
          <cell r="D358" t="str">
            <v>KHF-00-104265-AA-6944-10017-0000</v>
          </cell>
          <cell r="E358" t="str">
            <v>Weekly Progress Report No. 017</v>
          </cell>
          <cell r="F358">
            <v>1</v>
          </cell>
          <cell r="G358" t="str">
            <v>IFI</v>
          </cell>
        </row>
        <row r="359">
          <cell r="A359" t="str">
            <v>KHF-00-104265-RA-8241-51021-0000-1</v>
          </cell>
          <cell r="B359" t="str">
            <v>AIP-PDO-P1701009-T-0236</v>
          </cell>
          <cell r="C359">
            <v>43160</v>
          </cell>
          <cell r="D359" t="str">
            <v>KHF-00-104265-RA-8241-51021-0000</v>
          </cell>
          <cell r="E359" t="str">
            <v>Material Approval Sheet for Non-Shrink Cementitious Grout</v>
          </cell>
          <cell r="F359">
            <v>1</v>
          </cell>
          <cell r="G359" t="str">
            <v>IFA</v>
          </cell>
        </row>
        <row r="360">
          <cell r="A360" t="str">
            <v>KHF-00-104265-RA-8241-51022-0000-1</v>
          </cell>
          <cell r="B360" t="str">
            <v>AIP-PDO-P1701009-T-0236</v>
          </cell>
          <cell r="C360">
            <v>43160</v>
          </cell>
          <cell r="D360" t="str">
            <v>KHF-00-104265-RA-8241-51022-0000</v>
          </cell>
          <cell r="E360" t="str">
            <v>Material Approval Sheet for Epoxy Grout</v>
          </cell>
          <cell r="F360">
            <v>1</v>
          </cell>
          <cell r="G360" t="str">
            <v>IFA</v>
          </cell>
        </row>
        <row r="361">
          <cell r="A361" t="str">
            <v>KHF-00-104265-QA-6180-00122-0000-2</v>
          </cell>
          <cell r="B361" t="str">
            <v>AIP-PDO-P1701009-T-0237</v>
          </cell>
          <cell r="C361">
            <v>43160</v>
          </cell>
          <cell r="D361" t="str">
            <v>KHF-00-104265-QA-6180-00122-0000</v>
          </cell>
          <cell r="E361" t="str">
            <v>Quality Control Procedure for Material Handling, Storage &amp; Control</v>
          </cell>
          <cell r="F361">
            <v>2</v>
          </cell>
          <cell r="G361" t="str">
            <v>IFA</v>
          </cell>
        </row>
        <row r="362">
          <cell r="A362" t="str">
            <v>KHF-00-104265-RA-8241-51023-0000-1</v>
          </cell>
          <cell r="B362" t="str">
            <v>AIP-PDO-P1701009-T-0238</v>
          </cell>
          <cell r="C362">
            <v>43160</v>
          </cell>
          <cell r="D362" t="str">
            <v>KHF-00-104265-RA-8241-51023-0000</v>
          </cell>
          <cell r="E362" t="str">
            <v>Material Approval Sheet for Concrete Repair Mortar</v>
          </cell>
          <cell r="F362">
            <v>1</v>
          </cell>
          <cell r="G362" t="str">
            <v>IFA</v>
          </cell>
        </row>
        <row r="363">
          <cell r="A363" t="str">
            <v>KHF-00-104265-AA-3347-10021-0000-1</v>
          </cell>
          <cell r="B363" t="str">
            <v>AIP-PDO-P1701009-T-0239</v>
          </cell>
          <cell r="C363">
            <v>43163</v>
          </cell>
          <cell r="D363" t="str">
            <v>KHF-00-104265-AA-3347-10021-0000</v>
          </cell>
          <cell r="E363" t="str">
            <v>Minutes of Meeting - Weekly Review Meeting No.21</v>
          </cell>
          <cell r="F363">
            <v>1</v>
          </cell>
          <cell r="G363" t="str">
            <v>IFI</v>
          </cell>
        </row>
        <row r="364">
          <cell r="A364" t="str">
            <v>KHF-00-104265-QA-6180-00135-0000-4</v>
          </cell>
          <cell r="B364" t="str">
            <v>AIP-PDO-P1701009-T-0240</v>
          </cell>
          <cell r="C364">
            <v>43163</v>
          </cell>
          <cell r="D364" t="str">
            <v>KHF-00-104265-QA-6180-00135-0000</v>
          </cell>
          <cell r="E364" t="str">
            <v>Quality Control Procedure for Welding Consumable Storage Preservation Handling</v>
          </cell>
          <cell r="F364">
            <v>4</v>
          </cell>
          <cell r="G364" t="str">
            <v>IFA</v>
          </cell>
        </row>
        <row r="365">
          <cell r="A365" t="str">
            <v>KHF-00-104265-AA-3341-60060-0000-1</v>
          </cell>
          <cell r="B365" t="str">
            <v>AIP-PDO-P1701009-T-0241</v>
          </cell>
          <cell r="C365">
            <v>43164</v>
          </cell>
          <cell r="D365" t="str">
            <v>KHF-00-104265-AA-3341-60060-0000</v>
          </cell>
          <cell r="E365" t="str">
            <v>CV of Mr. Sushil Kadam - Information Management Lead</v>
          </cell>
          <cell r="F365">
            <v>1</v>
          </cell>
          <cell r="G365" t="str">
            <v>IFA</v>
          </cell>
        </row>
        <row r="366">
          <cell r="A366" t="str">
            <v>KHF-00-104265-JA-6017-10010-0000-2</v>
          </cell>
          <cell r="B366" t="str">
            <v>AIP-PDO-P1701009-T-0242</v>
          </cell>
          <cell r="C366">
            <v>43164</v>
          </cell>
          <cell r="D366" t="str">
            <v>KHF-00-104265-JA-6017-10010-0000</v>
          </cell>
          <cell r="E366" t="str">
            <v>Information Management Plan</v>
          </cell>
          <cell r="F366">
            <v>2</v>
          </cell>
          <cell r="G366" t="str">
            <v>IFA</v>
          </cell>
        </row>
        <row r="367">
          <cell r="A367" t="str">
            <v>KHF-00-104265-JA-6017-10026-0000-1</v>
          </cell>
          <cell r="B367" t="str">
            <v>AIP-PDO-P1701009-T-0243</v>
          </cell>
          <cell r="C367">
            <v>43164</v>
          </cell>
          <cell r="D367" t="str">
            <v>KHF-00-104265-JA-6017-10026-0000</v>
          </cell>
          <cell r="E367" t="str">
            <v>Document Control Procedure</v>
          </cell>
          <cell r="F367">
            <v>1</v>
          </cell>
          <cell r="G367" t="str">
            <v>IFR</v>
          </cell>
        </row>
        <row r="368">
          <cell r="A368" t="str">
            <v>KHF-00-104265-BA-6070-00102-0000-1</v>
          </cell>
          <cell r="B368" t="str">
            <v>AIP-PDO-P1701009-T-0244</v>
          </cell>
          <cell r="C368">
            <v>43165</v>
          </cell>
          <cell r="D368" t="str">
            <v>KHF-00-104265-BA-6070-00102-0000</v>
          </cell>
          <cell r="E368" t="str">
            <v>Method Statement for Concrete Works</v>
          </cell>
          <cell r="F368">
            <v>1</v>
          </cell>
          <cell r="G368" t="str">
            <v>IFA</v>
          </cell>
        </row>
        <row r="369">
          <cell r="A369" t="str">
            <v>KHF-00-104265-RA-8241-51016-0000-2</v>
          </cell>
          <cell r="B369" t="str">
            <v>AIP-PDO-P1701009-T-0245</v>
          </cell>
          <cell r="C369">
            <v>43165</v>
          </cell>
          <cell r="D369" t="str">
            <v>KHF-00-104265-RA-8241-51016-0000</v>
          </cell>
          <cell r="E369" t="str">
            <v>Material Approval Sheet for Concrete Protective Coating</v>
          </cell>
          <cell r="F369">
            <v>2</v>
          </cell>
          <cell r="G369" t="str">
            <v>IFA</v>
          </cell>
        </row>
        <row r="370">
          <cell r="A370" t="str">
            <v>KHF-00-104265-RA-8241-51024-0000-1</v>
          </cell>
          <cell r="B370" t="str">
            <v>AIP-PDO-P1701009-T-0245</v>
          </cell>
          <cell r="C370">
            <v>43165</v>
          </cell>
          <cell r="D370" t="str">
            <v>KHF-00-104265-RA-8241-51024-0000</v>
          </cell>
          <cell r="E370" t="str">
            <v>Material Approval Sheet for Tritocell 20/25MM</v>
          </cell>
          <cell r="F370">
            <v>1</v>
          </cell>
          <cell r="G370" t="str">
            <v>IFA</v>
          </cell>
        </row>
        <row r="371">
          <cell r="A371" t="str">
            <v>KHF-00-104265-QA-5733-24001-0000-1</v>
          </cell>
          <cell r="B371" t="str">
            <v>AIP-PDO-P1701009-T-0246</v>
          </cell>
          <cell r="C371">
            <v>43165</v>
          </cell>
          <cell r="D371" t="str">
            <v>KHF-00-104265-QA-5733-24001-0000</v>
          </cell>
          <cell r="E371" t="str">
            <v>Inspection &amp; Test Plan - Instrument Cable Laying &amp; Cable Tray Installation</v>
          </cell>
          <cell r="F371">
            <v>1</v>
          </cell>
          <cell r="G371" t="str">
            <v>IFR</v>
          </cell>
        </row>
        <row r="372">
          <cell r="A372" t="str">
            <v>KHF-00-104265-BA-6065-00110-0000-1</v>
          </cell>
          <cell r="B372" t="str">
            <v>AIP-PDO-P1701009-T-0247</v>
          </cell>
          <cell r="C372">
            <v>43166</v>
          </cell>
          <cell r="D372" t="str">
            <v>KHF-00-104265-BA-6065-00110-0000</v>
          </cell>
          <cell r="E372" t="str">
            <v>Proposed Welding Procedure Specification for Mainline 16" PL 1 &amp; PL 2</v>
          </cell>
          <cell r="F372">
            <v>1</v>
          </cell>
          <cell r="G372" t="str">
            <v>IFR</v>
          </cell>
        </row>
        <row r="373">
          <cell r="A373" t="str">
            <v>KHF-00-104265-BA-6065-00111-0000-1</v>
          </cell>
          <cell r="B373" t="str">
            <v>AIP-PDO-P1701009-T-0247</v>
          </cell>
          <cell r="C373">
            <v>43166</v>
          </cell>
          <cell r="D373" t="str">
            <v>KHF-00-104265-BA-6065-00111-0000</v>
          </cell>
          <cell r="E373" t="str">
            <v>Proposed Welding Procedure Specification for Tie-in 16" PL 1 &amp; PL 2</v>
          </cell>
          <cell r="F373">
            <v>1</v>
          </cell>
          <cell r="G373" t="str">
            <v>IFR</v>
          </cell>
        </row>
        <row r="374">
          <cell r="A374" t="str">
            <v>KHF-00-104265-BA-6065-00112-0000-1</v>
          </cell>
          <cell r="B374" t="str">
            <v>AIP-PDO-P1701009-T-0247</v>
          </cell>
          <cell r="C374">
            <v>43166</v>
          </cell>
          <cell r="D374" t="str">
            <v>KHF-00-104265-BA-6065-00112-0000</v>
          </cell>
          <cell r="E374" t="str">
            <v>Proposed Welding Procedure Specification for FP Repair 16" PL 1 &amp; PL 2</v>
          </cell>
          <cell r="F374">
            <v>1</v>
          </cell>
          <cell r="G374" t="str">
            <v>IFR</v>
          </cell>
        </row>
        <row r="375">
          <cell r="A375" t="str">
            <v>KHF-00-104265-BA-6065-00113-0000-1</v>
          </cell>
          <cell r="B375" t="str">
            <v>AIP-PDO-P1701009-T-0247</v>
          </cell>
          <cell r="C375">
            <v>43166</v>
          </cell>
          <cell r="D375" t="str">
            <v>KHF-00-104265-BA-6065-00113-0000</v>
          </cell>
          <cell r="E375" t="str">
            <v>Proposed Welding Procedure Specification for PP Repair 16" PL 1 &amp; PL 2</v>
          </cell>
          <cell r="F375">
            <v>1</v>
          </cell>
          <cell r="G375" t="str">
            <v>IFR</v>
          </cell>
        </row>
        <row r="376">
          <cell r="A376" t="str">
            <v>KHF-00-104265-CX-4180-10005-0001-7</v>
          </cell>
          <cell r="B376" t="str">
            <v>AIP-PDO-P1701009-T-0248</v>
          </cell>
          <cell r="C376">
            <v>43166</v>
          </cell>
          <cell r="D376" t="str">
            <v>KHF-00-104265-CX-4180-10005-0001</v>
          </cell>
          <cell r="E376" t="str">
            <v>Site Camp Layout</v>
          </cell>
          <cell r="F376">
            <v>7</v>
          </cell>
          <cell r="G376" t="str">
            <v>IFA</v>
          </cell>
        </row>
        <row r="377">
          <cell r="A377" t="str">
            <v>KHF-00-104265-EA-4016-00301-0001-1</v>
          </cell>
          <cell r="B377" t="str">
            <v>AIP-PDO-P1701009-T-0249</v>
          </cell>
          <cell r="C377">
            <v>43166</v>
          </cell>
          <cell r="D377" t="str">
            <v>KHF-00-104265-EA-4016-00301-0001</v>
          </cell>
          <cell r="E377" t="str">
            <v>Fire Alarm Layout</v>
          </cell>
          <cell r="F377">
            <v>1</v>
          </cell>
          <cell r="G377" t="str">
            <v>IFR</v>
          </cell>
        </row>
        <row r="378">
          <cell r="A378" t="str">
            <v>KHF-00-104265-EA-4025-00301-0001-1</v>
          </cell>
          <cell r="B378" t="str">
            <v>AIP-PDO-P1701009-T-0249</v>
          </cell>
          <cell r="C378">
            <v>43166</v>
          </cell>
          <cell r="D378" t="str">
            <v>KHF-00-104265-EA-4025-00301-0001</v>
          </cell>
          <cell r="E378" t="str">
            <v>Street Light Layout</v>
          </cell>
          <cell r="F378">
            <v>1</v>
          </cell>
          <cell r="G378" t="str">
            <v>IFR</v>
          </cell>
        </row>
        <row r="379">
          <cell r="A379" t="str">
            <v>KHF-00-104265-EA-4005-00301-0001-3</v>
          </cell>
          <cell r="B379" t="str">
            <v>AIP-PDO-P1701009-T-0249</v>
          </cell>
          <cell r="C379">
            <v>43166</v>
          </cell>
          <cell r="D379" t="str">
            <v>KHF-00-104265-EA-4005-00301-0001</v>
          </cell>
          <cell r="E379" t="str">
            <v>External Cable Route Layout - Site Camp (Stage 1)</v>
          </cell>
          <cell r="F379">
            <v>3</v>
          </cell>
          <cell r="G379" t="str">
            <v>IFA</v>
          </cell>
        </row>
        <row r="380">
          <cell r="A380" t="str">
            <v>KHF-00-104265-EA-8809-00301-0001-2</v>
          </cell>
          <cell r="B380" t="str">
            <v>AIP-PDO-P1701009-T-0249</v>
          </cell>
          <cell r="C380">
            <v>43166</v>
          </cell>
          <cell r="D380" t="str">
            <v>KHF-00-104265-EA-8809-00301-0001</v>
          </cell>
          <cell r="E380" t="str">
            <v>Earthing Layout - Stage 1 Camp</v>
          </cell>
          <cell r="F380">
            <v>2</v>
          </cell>
          <cell r="G380" t="str">
            <v>IFA</v>
          </cell>
        </row>
        <row r="381">
          <cell r="A381" t="str">
            <v>KHF-00-104265-CX-4180-00309-0001-4</v>
          </cell>
          <cell r="B381" t="str">
            <v>AIP-PDO-P1701009-T-0250</v>
          </cell>
          <cell r="C381">
            <v>43166</v>
          </cell>
          <cell r="D381" t="str">
            <v>KHF-00-104265-CX-4180-00309-0001</v>
          </cell>
          <cell r="E381" t="str">
            <v>Site Office Layout</v>
          </cell>
          <cell r="F381">
            <v>4</v>
          </cell>
          <cell r="G381" t="str">
            <v>IFA</v>
          </cell>
        </row>
        <row r="382">
          <cell r="A382" t="str">
            <v>KHF-00-104265-CI-4180-00301-0001-4</v>
          </cell>
          <cell r="B382" t="str">
            <v>AIP-PDO-P1701009-T-0251</v>
          </cell>
          <cell r="C382">
            <v>43166</v>
          </cell>
          <cell r="D382" t="str">
            <v>KHF-00-104265-CI-4180-00301-0001</v>
          </cell>
          <cell r="E382" t="str">
            <v>External Water Supply Layout</v>
          </cell>
          <cell r="F382">
            <v>4</v>
          </cell>
          <cell r="G382" t="str">
            <v>IFA</v>
          </cell>
        </row>
        <row r="383">
          <cell r="A383" t="str">
            <v>KHF-00-104265-QA-5733-24002-0000-1</v>
          </cell>
          <cell r="B383" t="str">
            <v>AIP-PDO-P1701009-T-0252</v>
          </cell>
          <cell r="C383">
            <v>43166</v>
          </cell>
          <cell r="D383" t="str">
            <v>KHF-00-104265-QA-5733-24002-0000</v>
          </cell>
          <cell r="E383" t="str">
            <v>Inspection &amp; Test Plan for Instrument Cable Glanding, Termination  &amp; Earthing</v>
          </cell>
          <cell r="F383">
            <v>1</v>
          </cell>
          <cell r="G383" t="str">
            <v>IFR</v>
          </cell>
        </row>
        <row r="384">
          <cell r="A384" t="str">
            <v>KHF-00-104265-RA-8241-51020-0000-1</v>
          </cell>
          <cell r="B384" t="str">
            <v>AIP-PDO-P1701009-T-0253</v>
          </cell>
          <cell r="C384">
            <v>43166</v>
          </cell>
          <cell r="D384" t="str">
            <v>KHF-00-104265-RA-8241-51020-0000</v>
          </cell>
          <cell r="E384" t="str">
            <v>Material Approval Sheet for PVC Waterstoper (Supercast Watafoil sections - 250 mm)</v>
          </cell>
          <cell r="F384">
            <v>1</v>
          </cell>
          <cell r="G384" t="str">
            <v>IFA</v>
          </cell>
        </row>
        <row r="385">
          <cell r="A385" t="str">
            <v>KHF-00-104265-AA-6180-10023-0000-1</v>
          </cell>
          <cell r="B385" t="str">
            <v>AIP-PDO-P1701009-T-0254</v>
          </cell>
          <cell r="C385">
            <v>43167</v>
          </cell>
          <cell r="D385" t="str">
            <v>KHF-00-104265-AA-6180-10023-0000</v>
          </cell>
          <cell r="E385" t="str">
            <v>Procedure for Technical Deviation and Technical Query</v>
          </cell>
          <cell r="F385">
            <v>1</v>
          </cell>
          <cell r="G385" t="str">
            <v>IFR</v>
          </cell>
        </row>
        <row r="386">
          <cell r="A386" t="str">
            <v>KHF-00-104265-AA-6944-10018-0000-1</v>
          </cell>
          <cell r="B386" t="str">
            <v>AIP-PDO-P1701009-T-0255</v>
          </cell>
          <cell r="C386">
            <v>43167</v>
          </cell>
          <cell r="D386" t="str">
            <v>KHF-00-104265-AA-6944-10018-0000</v>
          </cell>
          <cell r="E386" t="str">
            <v>Weekly Progress Report No. 018</v>
          </cell>
          <cell r="F386">
            <v>1</v>
          </cell>
          <cell r="G386" t="str">
            <v>IFI</v>
          </cell>
        </row>
        <row r="387">
          <cell r="A387" t="str">
            <v>KHF-00-104265-HX-0709-10035-0000-1</v>
          </cell>
          <cell r="B387" t="str">
            <v>AIP-PDO-P1701009-T-0256</v>
          </cell>
          <cell r="C387">
            <v>43172</v>
          </cell>
          <cell r="D387" t="str">
            <v>KHF-00-104265-HX-0709-10035-0000</v>
          </cell>
          <cell r="E387" t="str">
            <v>Health Risk Assessment Report</v>
          </cell>
          <cell r="F387">
            <v>1</v>
          </cell>
          <cell r="G387" t="str">
            <v>IFR</v>
          </cell>
        </row>
        <row r="388">
          <cell r="A388" t="str">
            <v>KHF-00-104265-FA-6180-10025-0000-2</v>
          </cell>
          <cell r="B388" t="str">
            <v>AIP-PDO-P1701009-T-0257</v>
          </cell>
          <cell r="C388">
            <v>43171</v>
          </cell>
          <cell r="D388" t="str">
            <v>KHF-00-104265-FA-6180-10025-0000</v>
          </cell>
          <cell r="E388" t="str">
            <v>Planning, Progress measurement and Reporting Procedure</v>
          </cell>
          <cell r="F388">
            <v>2</v>
          </cell>
          <cell r="G388" t="str">
            <v>IFA</v>
          </cell>
        </row>
        <row r="389">
          <cell r="A389" t="str">
            <v>KHF-00-104265-QA-5733-24003-0000-1</v>
          </cell>
          <cell r="B389" t="str">
            <v>AIP-PDO-P1701009-T-0258</v>
          </cell>
          <cell r="C389">
            <v>43172</v>
          </cell>
          <cell r="D389" t="str">
            <v>KHF-00-104265-QA-5733-24003-0000</v>
          </cell>
          <cell r="E389" t="str">
            <v>Inspection &amp; Test Plan for Installation of Field Instruments, Instrument Panels, Junction Boxes &amp; Supports</v>
          </cell>
          <cell r="F389">
            <v>1</v>
          </cell>
          <cell r="G389" t="str">
            <v>IFR</v>
          </cell>
        </row>
        <row r="390">
          <cell r="A390" t="str">
            <v>KHF-00-104265-BA-6070-00116-0000-2</v>
          </cell>
          <cell r="B390" t="str">
            <v>AIP-PDO-P1701009-T-0259</v>
          </cell>
          <cell r="C390">
            <v>43172</v>
          </cell>
          <cell r="D390" t="str">
            <v>KHF-00-104265-BA-6070-00116-0000</v>
          </cell>
          <cell r="E390" t="str">
            <v>Method Statement for Adhesive Bonding and installation of GRE pipelines</v>
          </cell>
          <cell r="F390">
            <v>2</v>
          </cell>
          <cell r="G390" t="str">
            <v>IFA</v>
          </cell>
        </row>
        <row r="391">
          <cell r="A391" t="str">
            <v>KHF-00-104265-BA-6070-00117-0000-2</v>
          </cell>
          <cell r="B391" t="str">
            <v>AIP-PDO-P1701009-T-0259</v>
          </cell>
          <cell r="C391">
            <v>43172</v>
          </cell>
          <cell r="D391" t="str">
            <v>KHF-00-104265-BA-6070-00117-0000</v>
          </cell>
          <cell r="E391" t="str">
            <v>Method Statement for GRE material transportation, handling, storage and control</v>
          </cell>
          <cell r="F391">
            <v>2</v>
          </cell>
          <cell r="G391" t="str">
            <v>IFA</v>
          </cell>
        </row>
        <row r="392">
          <cell r="A392" t="str">
            <v>KHF-00-104265-BA-6070-00118-0000-2</v>
          </cell>
          <cell r="B392" t="str">
            <v>AIP-PDO-P1701009-T-0259</v>
          </cell>
          <cell r="C392">
            <v>43172</v>
          </cell>
          <cell r="D392" t="str">
            <v>KHF-00-104265-BA-6070-00118-0000</v>
          </cell>
          <cell r="E392" t="str">
            <v>Method Statement for Wadi Crossing Procedure- GRE  P/L</v>
          </cell>
          <cell r="F392">
            <v>2</v>
          </cell>
          <cell r="G392" t="str">
            <v>IFA</v>
          </cell>
        </row>
        <row r="393">
          <cell r="A393" t="str">
            <v>KHF-00-104265-BA-6070-00119-0000-2</v>
          </cell>
          <cell r="B393" t="str">
            <v>AIP-PDO-P1701009-T-0259</v>
          </cell>
          <cell r="C393">
            <v>43172</v>
          </cell>
          <cell r="D393" t="str">
            <v>KHF-00-104265-BA-6070-00119-0000</v>
          </cell>
          <cell r="E393" t="str">
            <v>Method Statement for Road Crossing Procedure- GRE  P/L</v>
          </cell>
          <cell r="F393">
            <v>2</v>
          </cell>
          <cell r="G393" t="str">
            <v>IFA</v>
          </cell>
        </row>
        <row r="394">
          <cell r="A394" t="str">
            <v>KHF-00-104265-EA-4005-00301-0001-4</v>
          </cell>
          <cell r="B394" t="str">
            <v>AIP-PDO-P1701009-T-0260</v>
          </cell>
          <cell r="C394">
            <v>43173</v>
          </cell>
          <cell r="D394" t="str">
            <v>KHF-00-104265-EA-4005-00301-0001</v>
          </cell>
          <cell r="E394" t="str">
            <v>External Cable Route Layout - Camp (Stage 1)</v>
          </cell>
          <cell r="F394">
            <v>4</v>
          </cell>
          <cell r="G394" t="str">
            <v>IFA</v>
          </cell>
        </row>
        <row r="395">
          <cell r="A395" t="str">
            <v>KHF-00-104265-EA-4016-00301-0001-2</v>
          </cell>
          <cell r="B395" t="str">
            <v>AIP-PDO-P1701009-T-0260</v>
          </cell>
          <cell r="C395">
            <v>43173</v>
          </cell>
          <cell r="D395" t="str">
            <v>KHF-00-104265-EA-4016-00301-0001</v>
          </cell>
          <cell r="E395" t="str">
            <v>Fire Alarm Layout - Camp (Stage 1)</v>
          </cell>
          <cell r="F395">
            <v>2</v>
          </cell>
          <cell r="G395" t="str">
            <v>IFA</v>
          </cell>
        </row>
        <row r="396">
          <cell r="A396" t="str">
            <v>KHF-00-104265-EA-4025-00301-0001-2</v>
          </cell>
          <cell r="B396" t="str">
            <v>AIP-PDO-P1701009-T-0260</v>
          </cell>
          <cell r="C396">
            <v>43173</v>
          </cell>
          <cell r="D396" t="str">
            <v>KHF-00-104265-EA-4025-00301-0001</v>
          </cell>
          <cell r="E396" t="str">
            <v>Camp Lighting System - Camp (Stage 1)</v>
          </cell>
          <cell r="F396">
            <v>2</v>
          </cell>
          <cell r="G396" t="str">
            <v>IFA</v>
          </cell>
        </row>
        <row r="397">
          <cell r="A397" t="str">
            <v>KHF-00-104265-EA-8809-00301-0001-3</v>
          </cell>
          <cell r="B397" t="str">
            <v>AIP-PDO-P1701009-T-0260</v>
          </cell>
          <cell r="C397">
            <v>43173</v>
          </cell>
          <cell r="D397" t="str">
            <v>KHF-00-104265-EA-8809-00301-0001</v>
          </cell>
          <cell r="E397" t="str">
            <v>Earthing Layout -  Camp (Stage 1)</v>
          </cell>
          <cell r="F397">
            <v>3</v>
          </cell>
          <cell r="G397" t="str">
            <v>IFA</v>
          </cell>
        </row>
        <row r="398">
          <cell r="A398" t="str">
            <v>KHF-00-104265-QA-5733-24006-0000-1</v>
          </cell>
          <cell r="B398" t="str">
            <v>AIP-PDO-P1701009-T-0261</v>
          </cell>
          <cell r="C398">
            <v>43173</v>
          </cell>
          <cell r="D398" t="str">
            <v>KHF-00-104265-QA-5733-24006-0000</v>
          </cell>
          <cell r="E398" t="str">
            <v>Inspection &amp; Test Plan for Calibration of Instruments (Gauges/Transmitters/F&amp;G Instruments)</v>
          </cell>
          <cell r="F398">
            <v>1</v>
          </cell>
          <cell r="G398" t="str">
            <v>IFR</v>
          </cell>
        </row>
        <row r="399">
          <cell r="A399" t="str">
            <v>KHF-00-104265-AA-6944-10019-0000-1</v>
          </cell>
          <cell r="B399" t="str">
            <v>AIP-PDO-P1701009-T-0262</v>
          </cell>
          <cell r="C399">
            <v>43176</v>
          </cell>
          <cell r="D399" t="str">
            <v>KHF-00-104265-AA-6944-10019-0000</v>
          </cell>
          <cell r="E399" t="str">
            <v>Weekly Progress Report No.019</v>
          </cell>
          <cell r="F399">
            <v>1</v>
          </cell>
          <cell r="G399" t="str">
            <v>IFI</v>
          </cell>
        </row>
        <row r="400">
          <cell r="A400" t="str">
            <v>KHF-00-104265-MP-6180-00134-0000-2</v>
          </cell>
          <cell r="B400" t="str">
            <v>AIP-PDO-P1701009-T-0263</v>
          </cell>
          <cell r="C400">
            <v>43177</v>
          </cell>
          <cell r="D400" t="str">
            <v>KHF-00-104265-MP-6180-00134-0000</v>
          </cell>
          <cell r="E400" t="str">
            <v>Method Statement for Application of STOPAQ</v>
          </cell>
          <cell r="F400">
            <v>2</v>
          </cell>
          <cell r="G400" t="str">
            <v>IFA</v>
          </cell>
        </row>
        <row r="401">
          <cell r="A401" t="str">
            <v>KHF-00-104265-AA-3341-60061-0000-1</v>
          </cell>
          <cell r="B401" t="str">
            <v>AIP-PDO-P1701009-T-0264</v>
          </cell>
          <cell r="C401">
            <v>43177</v>
          </cell>
          <cell r="D401" t="str">
            <v>KHF-00-104265-AA-3341-60061-0000</v>
          </cell>
          <cell r="E401" t="str">
            <v>CV of Mr. Vimalraj. V - Male Nurse</v>
          </cell>
          <cell r="F401">
            <v>1</v>
          </cell>
          <cell r="G401" t="str">
            <v>IFA</v>
          </cell>
        </row>
        <row r="402">
          <cell r="A402" t="str">
            <v>KHF-00-104265-RA-8241-51025-0000-1</v>
          </cell>
          <cell r="B402" t="str">
            <v>AIP-PDO-P1701009-T-0265</v>
          </cell>
          <cell r="C402">
            <v>43178</v>
          </cell>
          <cell r="D402" t="str">
            <v>KHF-00-104265-RA-8241-51025-0000</v>
          </cell>
          <cell r="E402" t="str">
            <v>Material Approval Sheet for Rendroc FC</v>
          </cell>
          <cell r="F402">
            <v>1</v>
          </cell>
          <cell r="G402" t="str">
            <v>IFA</v>
          </cell>
        </row>
        <row r="403">
          <cell r="A403" t="str">
            <v>KHF-00-104265-AA-3341-00104-0000-1</v>
          </cell>
          <cell r="B403" t="str">
            <v>AIP-PDO-P1701009-T-0266</v>
          </cell>
          <cell r="C403">
            <v>43178</v>
          </cell>
          <cell r="D403" t="str">
            <v>KHF-00-104265-AA-3341-00104-0000</v>
          </cell>
          <cell r="E403" t="str">
            <v>CV of Mr. Vijay Kumar Satav - Sr. HSE Advisor</v>
          </cell>
          <cell r="F403">
            <v>1</v>
          </cell>
          <cell r="G403" t="str">
            <v>IFA</v>
          </cell>
        </row>
        <row r="404">
          <cell r="A404" t="str">
            <v>KHF-00-104265-AA-3347-10024-0000-1</v>
          </cell>
          <cell r="B404" t="str">
            <v>AIP-PDO-P1701009-T-0267</v>
          </cell>
          <cell r="C404">
            <v>43179</v>
          </cell>
          <cell r="D404" t="str">
            <v>KHF-00-104265-AA-3347-10024-0000</v>
          </cell>
          <cell r="E404" t="str">
            <v>Minutes of Meeting - Weekly Review Meeting No.24 (18th March 2018)</v>
          </cell>
          <cell r="F404">
            <v>1</v>
          </cell>
          <cell r="G404" t="str">
            <v>IFI</v>
          </cell>
        </row>
        <row r="405">
          <cell r="A405" t="str">
            <v>KHF-00-104265-BA-6070-00101-0000-2</v>
          </cell>
          <cell r="B405" t="str">
            <v>AIP-PDO-P1701009-T-0268</v>
          </cell>
          <cell r="C405">
            <v>43179</v>
          </cell>
          <cell r="D405" t="str">
            <v>KHF-00-104265-BA-6070-00101-0000</v>
          </cell>
          <cell r="E405" t="str">
            <v>Method Statement for Surveying and setting out</v>
          </cell>
          <cell r="F405">
            <v>2</v>
          </cell>
          <cell r="G405" t="str">
            <v>IFA</v>
          </cell>
        </row>
        <row r="406">
          <cell r="A406" t="str">
            <v>KHF-00-104265-BA-6070-00107-0000-2</v>
          </cell>
          <cell r="B406" t="str">
            <v>AIP-PDO-P1701009-T-0268</v>
          </cell>
          <cell r="C406">
            <v>43179</v>
          </cell>
          <cell r="D406" t="str">
            <v>KHF-00-104265-BA-6070-00107-0000</v>
          </cell>
          <cell r="E406" t="str">
            <v>Method Statement for Trenching    </v>
          </cell>
          <cell r="F406">
            <v>2</v>
          </cell>
          <cell r="G406" t="str">
            <v>IFA</v>
          </cell>
        </row>
        <row r="407">
          <cell r="A407" t="str">
            <v>KHF-00-104265-BA-6070-00111-0000-2</v>
          </cell>
          <cell r="B407" t="str">
            <v>AIP-PDO-P1701009-T-0268</v>
          </cell>
          <cell r="C407">
            <v>43179</v>
          </cell>
          <cell r="D407" t="str">
            <v>KHF-00-104265-BA-6070-00111-0000</v>
          </cell>
          <cell r="E407" t="str">
            <v>Method Statement for Pre-padding of trench</v>
          </cell>
          <cell r="F407">
            <v>2</v>
          </cell>
          <cell r="G407" t="str">
            <v>IFA</v>
          </cell>
        </row>
        <row r="408">
          <cell r="A408" t="str">
            <v>KHF-00-104265-HX-6180-10044-0000-1</v>
          </cell>
          <cell r="B408" t="str">
            <v>AIP-PDO-P1701009-T-0269</v>
          </cell>
          <cell r="C408">
            <v>43179</v>
          </cell>
          <cell r="D408" t="str">
            <v>KHF-00-104265-HX-6180-10044-0000</v>
          </cell>
          <cell r="E408" t="str">
            <v>Procedure for Undertaking Night Working for Civil Works of Buildings</v>
          </cell>
          <cell r="F408">
            <v>1</v>
          </cell>
          <cell r="G408" t="str">
            <v>IFR</v>
          </cell>
        </row>
        <row r="409">
          <cell r="A409" t="str">
            <v>KHF-00-104265-QA-5733-22010-0000-2</v>
          </cell>
          <cell r="B409" t="str">
            <v>AIP-PDO-P1701009-T-0270</v>
          </cell>
          <cell r="C409">
            <v>43180</v>
          </cell>
          <cell r="D409" t="str">
            <v>KHF-00-104265-QA-5733-22010-0000</v>
          </cell>
          <cell r="E409" t="str">
            <v>Inspection &amp; Test Plan for Installation of HRSG Stacks</v>
          </cell>
          <cell r="F409">
            <v>2</v>
          </cell>
          <cell r="G409" t="str">
            <v>IFA</v>
          </cell>
        </row>
        <row r="410">
          <cell r="A410" t="str">
            <v>KHF-00-104265-QA-5733-23003-0000-1</v>
          </cell>
          <cell r="B410" t="str">
            <v>AIP-PDO-P1701009-T-0271</v>
          </cell>
          <cell r="C410">
            <v>43180</v>
          </cell>
          <cell r="D410" t="str">
            <v>KHF-00-104265-QA-5733-23003-0000</v>
          </cell>
          <cell r="E410" t="str">
            <v>Inspection &amp; Test Plan - Switchgear Installation Works</v>
          </cell>
          <cell r="F410">
            <v>1</v>
          </cell>
          <cell r="G410" t="str">
            <v>IFR</v>
          </cell>
        </row>
        <row r="411">
          <cell r="A411" t="str">
            <v>KHF-00-104265-BA-6065-50051-0000-1</v>
          </cell>
          <cell r="B411" t="str">
            <v>AIP-PDO-P1701009-T-0272</v>
          </cell>
          <cell r="C411">
            <v>43180</v>
          </cell>
          <cell r="D411" t="str">
            <v>KHF-00-104265-BA-6065-50051-0000</v>
          </cell>
          <cell r="E411" t="str">
            <v>WPS Register - On-Plot Piping</v>
          </cell>
          <cell r="F411">
            <v>1</v>
          </cell>
          <cell r="G411" t="str">
            <v>IFR</v>
          </cell>
        </row>
        <row r="412">
          <cell r="A412" t="str">
            <v>KHF-00-104265-BA-6065-50052-0000-1</v>
          </cell>
          <cell r="B412" t="str">
            <v>AIP-PDO-P1701009-T-0272</v>
          </cell>
          <cell r="C412">
            <v>43180</v>
          </cell>
          <cell r="D412" t="str">
            <v>KHF-00-104265-BA-6065-50052-0000</v>
          </cell>
          <cell r="E412" t="str">
            <v>Welding Procedure Specification - (AIP-WPS-T-077 (C311527)) Carbon Steel &amp; LTCS: 2.77mm to 12.0mm</v>
          </cell>
          <cell r="F412">
            <v>1</v>
          </cell>
          <cell r="G412" t="str">
            <v>IFR</v>
          </cell>
        </row>
        <row r="413">
          <cell r="A413" t="str">
            <v>KHF-00-104265-BA-6065-50053-0000-1</v>
          </cell>
          <cell r="B413" t="str">
            <v>AIP-PDO-P1701009-T-0272</v>
          </cell>
          <cell r="C413">
            <v>43180</v>
          </cell>
          <cell r="D413" t="str">
            <v>KHF-00-104265-BA-6065-50053-0000</v>
          </cell>
          <cell r="E413" t="str">
            <v>Welding Procedure Specification - (AIP-WPS-TM-549 (C311527)) Carbon Steel &amp; LTCS: 5.0mm to 20.0mm</v>
          </cell>
          <cell r="F413">
            <v>1</v>
          </cell>
          <cell r="G413" t="str">
            <v>IFR</v>
          </cell>
        </row>
        <row r="414">
          <cell r="A414" t="str">
            <v>KHF-00-104265-BA-6065-50054-0000-1</v>
          </cell>
          <cell r="B414" t="str">
            <v>AIP-PDO-P1701009-T-0272</v>
          </cell>
          <cell r="C414">
            <v>43180</v>
          </cell>
          <cell r="D414" t="str">
            <v>KHF-00-104265-BA-6065-50054-0000</v>
          </cell>
          <cell r="E414" t="str">
            <v>Welding Procedure Specification - (AIP-WPS-T-065 (C311527)) Stainless Steel: 2.77mm to 6.10mm</v>
          </cell>
          <cell r="F414">
            <v>1</v>
          </cell>
          <cell r="G414" t="str">
            <v>IFR</v>
          </cell>
        </row>
        <row r="415">
          <cell r="A415" t="str">
            <v>KHF-00-104265-BA-6065-50055-0000-1</v>
          </cell>
          <cell r="B415" t="str">
            <v>AIP-PDO-P1701009-T-0272</v>
          </cell>
          <cell r="C415">
            <v>43180</v>
          </cell>
          <cell r="D415" t="str">
            <v>KHF-00-104265-BA-6065-50055-0000</v>
          </cell>
          <cell r="E415" t="str">
            <v>Welding Procedure Specification - (AIP-WPS-TM-196 (C311527)) Stainless Steel: 5.0mm to 40.0mm</v>
          </cell>
          <cell r="F415">
            <v>1</v>
          </cell>
          <cell r="G415" t="str">
            <v>IFR</v>
          </cell>
        </row>
        <row r="416">
          <cell r="A416" t="str">
            <v>KHF-00-104265-RA-8241-51027-0000-1</v>
          </cell>
          <cell r="B416" t="str">
            <v>AIP-PDO-P1701009-T-0273</v>
          </cell>
          <cell r="C416">
            <v>43181</v>
          </cell>
          <cell r="D416" t="str">
            <v>KHF-00-104265-RA-8241-51027-0000</v>
          </cell>
          <cell r="E416" t="str">
            <v>Material Approval Sheet for Water proof Membrane / Tanking System</v>
          </cell>
          <cell r="F416">
            <v>1</v>
          </cell>
          <cell r="G416" t="str">
            <v>IFA</v>
          </cell>
        </row>
        <row r="417">
          <cell r="A417" t="str">
            <v>KHF-00-104265-RA-8241-51028-0000-1</v>
          </cell>
          <cell r="B417" t="str">
            <v>AIP-PDO-P1701009-T-0273</v>
          </cell>
          <cell r="C417">
            <v>43181</v>
          </cell>
          <cell r="D417" t="str">
            <v>KHF-00-104265-RA-8241-51028-0000</v>
          </cell>
          <cell r="E417" t="str">
            <v>Material Approval Sheet for 18MM &amp; 25MM Thick Expansion Joint Filler Boards</v>
          </cell>
          <cell r="F417">
            <v>1</v>
          </cell>
          <cell r="G417" t="str">
            <v>IFA</v>
          </cell>
        </row>
        <row r="418">
          <cell r="A418" t="str">
            <v>KHF-00-104265-RA-8241-51029-0000-1</v>
          </cell>
          <cell r="B418" t="str">
            <v>AIP-PDO-P1701009-T-0273</v>
          </cell>
          <cell r="C418">
            <v>43181</v>
          </cell>
          <cell r="D418" t="str">
            <v>KHF-00-104265-RA-8241-51029-0000</v>
          </cell>
          <cell r="E418" t="str">
            <v>Material Approval Sheet for SS Butter Fly Ties</v>
          </cell>
          <cell r="F418">
            <v>1</v>
          </cell>
          <cell r="G418" t="str">
            <v>IFA</v>
          </cell>
        </row>
        <row r="419">
          <cell r="A419" t="str">
            <v>KHF-00-104265-AA-6944-10020-0000-1</v>
          </cell>
          <cell r="B419" t="str">
            <v>AIP-PDO-P1701009-T-0274</v>
          </cell>
          <cell r="C419">
            <v>43181</v>
          </cell>
          <cell r="D419" t="str">
            <v>KHF-00-104265-AA-6944-10020-0000</v>
          </cell>
          <cell r="E419" t="str">
            <v>Weekly Progress Report No.020</v>
          </cell>
          <cell r="F419">
            <v>1</v>
          </cell>
          <cell r="G419" t="str">
            <v>IFI</v>
          </cell>
        </row>
        <row r="420">
          <cell r="A420" t="str">
            <v>KHF-00-104265-FA-5765-10040-0000-2</v>
          </cell>
          <cell r="B420" t="str">
            <v>AIP-PDO-P1701009-T-0275</v>
          </cell>
          <cell r="C420">
            <v>43184</v>
          </cell>
          <cell r="D420" t="str">
            <v>KHF-00-104265-FA-5765-10040-0000</v>
          </cell>
          <cell r="E420" t="str">
            <v>Project Schedule - Level 04</v>
          </cell>
          <cell r="F420">
            <v>2</v>
          </cell>
          <cell r="G420" t="str">
            <v>IFA</v>
          </cell>
        </row>
        <row r="421">
          <cell r="A421" t="str">
            <v>KHF-00-104265-RA-8241-51030-0000-1</v>
          </cell>
          <cell r="B421" t="str">
            <v>AIP-PDO-P1701009-T-0276</v>
          </cell>
          <cell r="C421">
            <v>43185</v>
          </cell>
          <cell r="D421" t="str">
            <v>KHF-00-104265-RA-8241-51030-0000</v>
          </cell>
          <cell r="E421" t="str">
            <v>Material Approval Sheet for Chain Link Type-B Fence with Standard Gates Type-3, Type-20 and Type-22</v>
          </cell>
          <cell r="F421">
            <v>1</v>
          </cell>
          <cell r="G421" t="str">
            <v>IFA</v>
          </cell>
        </row>
        <row r="422">
          <cell r="A422" t="str">
            <v>KHF-00-104265-BA-6070-00115-0000-1</v>
          </cell>
          <cell r="B422" t="str">
            <v>AIP-PDO-P1701009-T-0277</v>
          </cell>
          <cell r="C422">
            <v>43185</v>
          </cell>
          <cell r="D422" t="str">
            <v>KHF-00-104265-BA-6070-00115-0000</v>
          </cell>
          <cell r="E422" t="str">
            <v>Method Statement for Hydrotesting of CS Pipelines</v>
          </cell>
          <cell r="F422">
            <v>1</v>
          </cell>
          <cell r="G422" t="str">
            <v>IFR</v>
          </cell>
        </row>
        <row r="423">
          <cell r="A423" t="str">
            <v>KHF-00-104265-RA-8241-51031-0000-1</v>
          </cell>
          <cell r="B423" t="str">
            <v>AIP-PDO-P1701009-T-0278</v>
          </cell>
          <cell r="C423">
            <v>43187</v>
          </cell>
          <cell r="D423" t="str">
            <v>KHF-00-104265-RA-8241-51031-0000</v>
          </cell>
          <cell r="E423" t="str">
            <v>Material Approval Sheet for GIC Release Agent</v>
          </cell>
          <cell r="F423">
            <v>1</v>
          </cell>
          <cell r="G423" t="str">
            <v>IFA</v>
          </cell>
        </row>
        <row r="424">
          <cell r="A424" t="str">
            <v>KHF-00-104265-RA-8241-51032-0000-1</v>
          </cell>
          <cell r="B424" t="str">
            <v>AIP-PDO-P1701009-T-0278</v>
          </cell>
          <cell r="C424">
            <v>43187</v>
          </cell>
          <cell r="D424" t="str">
            <v>KHF-00-104265-RA-8241-51032-0000</v>
          </cell>
          <cell r="E424" t="str">
            <v>Material Approval Sheet for UPVC Pipes Sleeves</v>
          </cell>
          <cell r="F424">
            <v>1</v>
          </cell>
          <cell r="G424" t="str">
            <v>IFA</v>
          </cell>
        </row>
        <row r="425">
          <cell r="A425" t="str">
            <v>KHF-00-104265-RA-8241-51033-0000-1</v>
          </cell>
          <cell r="B425" t="str">
            <v>AIP-PDO-P1701009-T-0278</v>
          </cell>
          <cell r="C425">
            <v>43187</v>
          </cell>
          <cell r="D425" t="str">
            <v>KHF-00-104265-RA-8241-51033-0000</v>
          </cell>
          <cell r="E425" t="str">
            <v>Material Approval Sheet for Tufflex PS 250 GG Joint Sealant</v>
          </cell>
          <cell r="F425">
            <v>1</v>
          </cell>
          <cell r="G425" t="str">
            <v>IFA</v>
          </cell>
        </row>
        <row r="426">
          <cell r="A426" t="str">
            <v>KHF-00-104265-AA-6944-10021-0000-1</v>
          </cell>
          <cell r="B426" t="str">
            <v>AIP-PDO-P1701009-T-0279</v>
          </cell>
          <cell r="C426">
            <v>43187</v>
          </cell>
          <cell r="D426" t="str">
            <v>KHF-00-104265-AA-6944-10021-0000</v>
          </cell>
          <cell r="E426" t="str">
            <v>Weekly Progress Report No.021</v>
          </cell>
          <cell r="F426">
            <v>1</v>
          </cell>
          <cell r="G426" t="str">
            <v>IFI</v>
          </cell>
        </row>
        <row r="427">
          <cell r="A427" t="str">
            <v>KHF-00-104265-AA-5800-10042-0000-1</v>
          </cell>
          <cell r="B427" t="str">
            <v>AIP-PDO-P1701009-T-0280</v>
          </cell>
          <cell r="C427">
            <v>43188</v>
          </cell>
          <cell r="D427" t="str">
            <v>KHF-00-104265-AA-5800-10042-0000</v>
          </cell>
          <cell r="E427" t="str">
            <v>Interface Management Plan</v>
          </cell>
          <cell r="F427">
            <v>1</v>
          </cell>
          <cell r="G427" t="str">
            <v>IFR</v>
          </cell>
        </row>
        <row r="428">
          <cell r="A428" t="str">
            <v>KHF-00-104265-EA-2384-00301-0001-3</v>
          </cell>
          <cell r="B428" t="str">
            <v>AIP-PDO-P1701009-T-0281</v>
          </cell>
          <cell r="C428">
            <v>43188</v>
          </cell>
          <cell r="D428" t="str">
            <v>KHF-00-104265-EA-2384-00301-0001</v>
          </cell>
          <cell r="E428" t="str">
            <v>Single Line Diagram - Camp (Stage 1)</v>
          </cell>
          <cell r="F428">
            <v>3</v>
          </cell>
          <cell r="G428" t="str">
            <v>IFA</v>
          </cell>
        </row>
        <row r="429">
          <cell r="A429" t="str">
            <v>KHF-00-104265-EA-4016-00301-0001-3</v>
          </cell>
          <cell r="B429" t="str">
            <v>AIP-PDO-P1701009-T-0281</v>
          </cell>
          <cell r="C429">
            <v>43188</v>
          </cell>
          <cell r="D429" t="str">
            <v>KHF-00-104265-EA-4016-00301-0001</v>
          </cell>
          <cell r="E429" t="str">
            <v>Fire Alarm Layout - Camp  (Stage 1)</v>
          </cell>
          <cell r="F429">
            <v>3</v>
          </cell>
          <cell r="G429" t="str">
            <v>IFR</v>
          </cell>
        </row>
        <row r="430">
          <cell r="A430" t="str">
            <v>KHF-00-104265-BA-6070-00105-0000-2</v>
          </cell>
          <cell r="B430" t="str">
            <v>AIP-PDO-P1701009-T-0282</v>
          </cell>
          <cell r="C430">
            <v>43191</v>
          </cell>
          <cell r="D430" t="str">
            <v>KHF-00-104265-BA-6070-00105-0000</v>
          </cell>
          <cell r="E430" t="str">
            <v>Method Statement for ROW Preparation</v>
          </cell>
          <cell r="F430">
            <v>2</v>
          </cell>
          <cell r="G430" t="str">
            <v>IFA</v>
          </cell>
        </row>
        <row r="431">
          <cell r="A431" t="str">
            <v>KHF-00-104265-AA-3341-00105-0000-1</v>
          </cell>
          <cell r="B431" t="str">
            <v>AIP-PDO-P1701009-T-0283</v>
          </cell>
          <cell r="C431">
            <v>43191</v>
          </cell>
          <cell r="D431" t="str">
            <v>KHF-00-104265-AA-3341-00105-0000</v>
          </cell>
          <cell r="E431" t="str">
            <v>CV of Mr. Mohammd Akber - HSE Advisor</v>
          </cell>
          <cell r="F431">
            <v>1</v>
          </cell>
          <cell r="G431" t="str">
            <v>IFA</v>
          </cell>
        </row>
        <row r="432">
          <cell r="A432" t="str">
            <v>KHF-00-104265-QA-5733-24001-0000-2</v>
          </cell>
          <cell r="B432" t="str">
            <v>AIP-PDO-P1701009-T-0284</v>
          </cell>
          <cell r="C432">
            <v>43193</v>
          </cell>
          <cell r="D432" t="str">
            <v>KHF-00-104265-QA-5733-24001-0000</v>
          </cell>
          <cell r="E432" t="str">
            <v>Inspection &amp; Test Plan - Instrument Cable Laying &amp; Cable Tray Installation</v>
          </cell>
          <cell r="F432">
            <v>2</v>
          </cell>
          <cell r="G432" t="str">
            <v>IFA</v>
          </cell>
        </row>
        <row r="433">
          <cell r="A433" t="str">
            <v>KHF-00-104265-AA-3341-60062-0000-1</v>
          </cell>
          <cell r="B433" t="str">
            <v>AIP-PDO-P1701009-T-0285</v>
          </cell>
          <cell r="C433">
            <v>43191</v>
          </cell>
          <cell r="D433" t="str">
            <v>KHF-00-104265-AA-3341-60062-0000</v>
          </cell>
          <cell r="E433" t="str">
            <v>CV of Mr. Raja Sundar C - QC Inspector Civil</v>
          </cell>
          <cell r="F433">
            <v>1</v>
          </cell>
          <cell r="G433" t="str">
            <v>IFA</v>
          </cell>
        </row>
        <row r="434">
          <cell r="A434" t="str">
            <v>KHF-00-104265-RA-8241-51034-0000-1</v>
          </cell>
          <cell r="B434" t="str">
            <v>AIP-PDO-P1701009-T-0286</v>
          </cell>
          <cell r="C434">
            <v>43193</v>
          </cell>
          <cell r="D434" t="str">
            <v>KHF-00-104265-RA-8241-51034-0000</v>
          </cell>
          <cell r="E434" t="str">
            <v>Material Approval Sheet for Concrete Grade C-10</v>
          </cell>
          <cell r="F434">
            <v>1</v>
          </cell>
          <cell r="G434" t="str">
            <v>IFR</v>
          </cell>
        </row>
        <row r="435">
          <cell r="A435" t="str">
            <v>KHF-00-104265-RA-8241-51035-0000-1</v>
          </cell>
          <cell r="B435" t="str">
            <v>AIP-PDO-P1701009-T-0286</v>
          </cell>
          <cell r="C435">
            <v>43193</v>
          </cell>
          <cell r="D435" t="str">
            <v>KHF-00-104265-RA-8241-51035-0000</v>
          </cell>
          <cell r="E435" t="str">
            <v>Material Approval Sheet for Concrete Grade C-35</v>
          </cell>
          <cell r="F435">
            <v>1</v>
          </cell>
          <cell r="G435" t="str">
            <v>IFR</v>
          </cell>
        </row>
        <row r="436">
          <cell r="A436" t="str">
            <v>KHF-00-104265-AA-6944-10022-0000-1</v>
          </cell>
          <cell r="B436" t="str">
            <v>AIP-PDO-P1701009-T-0287</v>
          </cell>
          <cell r="C436">
            <v>43198</v>
          </cell>
          <cell r="D436" t="str">
            <v>KHF-00-104265-AA-6944-10022-0000</v>
          </cell>
          <cell r="E436" t="str">
            <v>Weekly Progress Report No.022</v>
          </cell>
          <cell r="F436">
            <v>1</v>
          </cell>
          <cell r="G436" t="str">
            <v>IFI</v>
          </cell>
        </row>
        <row r="437">
          <cell r="A437" t="str">
            <v>KHF-00-104265-AA-6944-20006-0000-1</v>
          </cell>
          <cell r="B437" t="str">
            <v>AIP-PDO-P1701009-T-0288</v>
          </cell>
          <cell r="C437">
            <v>43198</v>
          </cell>
          <cell r="D437" t="str">
            <v>KHF-00-104265-AA-6944-20006-0000</v>
          </cell>
          <cell r="E437" t="str">
            <v>Monthly Progress Report No.006 (March 2018)</v>
          </cell>
          <cell r="F437">
            <v>1</v>
          </cell>
          <cell r="G437" t="str">
            <v>IFI</v>
          </cell>
        </row>
        <row r="438">
          <cell r="A438" t="str">
            <v>KHF-00-104265-BA-6065-00106-0000-1</v>
          </cell>
          <cell r="B438" t="str">
            <v>AIP-PDO-P1701009-T-0289</v>
          </cell>
          <cell r="C438">
            <v>43198</v>
          </cell>
          <cell r="D438" t="str">
            <v>KHF-00-104265-BA-6065-00106-0000</v>
          </cell>
          <cell r="E438" t="str">
            <v>Proposed Welding Procedure Specification Mainline 8" Applicable for PL 7 , PL8, PL 9 &amp; 9A</v>
          </cell>
          <cell r="F438">
            <v>1</v>
          </cell>
          <cell r="G438" t="str">
            <v>IFR</v>
          </cell>
        </row>
        <row r="439">
          <cell r="A439" t="str">
            <v>KHF-00-104265-BA-6065-00107-0000-1</v>
          </cell>
          <cell r="B439" t="str">
            <v>AIP-PDO-P1701009-T-0289</v>
          </cell>
          <cell r="C439">
            <v>43198</v>
          </cell>
          <cell r="D439" t="str">
            <v>KHF-00-104265-BA-6065-00107-0000</v>
          </cell>
          <cell r="E439" t="str">
            <v>Proposed Welding Procedure Specification Tie-in  8" Applicable for PL 7, PL8, PL 9 &amp; 9A</v>
          </cell>
          <cell r="F439">
            <v>1</v>
          </cell>
          <cell r="G439" t="str">
            <v>IFR</v>
          </cell>
        </row>
        <row r="440">
          <cell r="A440" t="str">
            <v>KHF-00-104265-BA-6065-00108-0000-1</v>
          </cell>
          <cell r="B440" t="str">
            <v>AIP-PDO-P1701009-T-0289</v>
          </cell>
          <cell r="C440">
            <v>43198</v>
          </cell>
          <cell r="D440" t="str">
            <v>KHF-00-104265-BA-6065-00108-0000</v>
          </cell>
          <cell r="E440" t="str">
            <v>Proposed Welding Procedure Specification FP Repair 8" Applicable for PL 7 , PL8, PL 9 &amp; 9A</v>
          </cell>
          <cell r="F440">
            <v>1</v>
          </cell>
          <cell r="G440" t="str">
            <v>IFR</v>
          </cell>
        </row>
        <row r="441">
          <cell r="A441" t="str">
            <v>KHF-00-104265-BA-6065-00109-0000-1</v>
          </cell>
          <cell r="B441" t="str">
            <v>AIP-PDO-P1701009-T-0289</v>
          </cell>
          <cell r="C441">
            <v>43198</v>
          </cell>
          <cell r="D441" t="str">
            <v>KHF-00-104265-BA-6065-00109-0000</v>
          </cell>
          <cell r="E441" t="str">
            <v>Proposed Welding Procedure Specification PP Repair 8" Applicable for PL 7 , PL8, PL 9 &amp; 9A</v>
          </cell>
          <cell r="F441">
            <v>1</v>
          </cell>
          <cell r="G441" t="str">
            <v>IFR</v>
          </cell>
        </row>
        <row r="442">
          <cell r="A442" t="str">
            <v>KHF-00-104265-QA-6180-10018-0000-3</v>
          </cell>
          <cell r="B442" t="str">
            <v>AIP-PDO-P1701009-T-0290</v>
          </cell>
          <cell r="C442">
            <v>43198</v>
          </cell>
          <cell r="D442" t="str">
            <v>KHF-00-104265-QA-6180-10018-0000</v>
          </cell>
          <cell r="E442" t="str">
            <v>Project Audit Procedure</v>
          </cell>
          <cell r="F442">
            <v>3</v>
          </cell>
          <cell r="G442" t="str">
            <v>IFA</v>
          </cell>
        </row>
        <row r="443">
          <cell r="A443" t="str">
            <v>KHF-00-104265-AA-3341-60063-0000-1</v>
          </cell>
          <cell r="B443" t="str">
            <v>AIP-PDO-P1701009-T-0291</v>
          </cell>
          <cell r="C443">
            <v>43199</v>
          </cell>
          <cell r="D443" t="str">
            <v>KHF-00-104265-AA-3341-60063-0000</v>
          </cell>
          <cell r="E443" t="str">
            <v>CV of Mr. Arnel P. Gozon - QC Inspector Civil</v>
          </cell>
          <cell r="F443">
            <v>1</v>
          </cell>
          <cell r="G443" t="str">
            <v>IFA</v>
          </cell>
        </row>
        <row r="444">
          <cell r="A444" t="str">
            <v>KHF-00-104265-RA-8241-51015-0000-2</v>
          </cell>
          <cell r="B444" t="str">
            <v>AIP-PDO-P1701009-T-0292</v>
          </cell>
          <cell r="C444">
            <v>43199</v>
          </cell>
          <cell r="D444" t="str">
            <v>KHF-00-104265-RA-8241-51015-0000</v>
          </cell>
          <cell r="E444" t="str">
            <v>Material Approval Sheet for Granular Fill Material Type-B</v>
          </cell>
          <cell r="F444">
            <v>2</v>
          </cell>
          <cell r="G444" t="str">
            <v>IFA</v>
          </cell>
        </row>
        <row r="445">
          <cell r="A445" t="str">
            <v>KHF-00-104265-AA-3341-60064-0000-1</v>
          </cell>
          <cell r="B445" t="str">
            <v>AIP-PDO-P1701009-T-0293</v>
          </cell>
          <cell r="C445">
            <v>43200</v>
          </cell>
          <cell r="D445" t="str">
            <v>KHF-00-104265-AA-3341-60064-0000</v>
          </cell>
          <cell r="E445" t="str">
            <v>CV of Mr. Balendran S - Lead QA/QC Engineer</v>
          </cell>
          <cell r="F445">
            <v>1</v>
          </cell>
          <cell r="G445" t="str">
            <v>IFA</v>
          </cell>
        </row>
        <row r="446">
          <cell r="A446" t="str">
            <v>KHF-00-104265-AA-5768-10028-0000-4</v>
          </cell>
          <cell r="B446" t="str">
            <v>AIP-PDO-P1701009-T-0294</v>
          </cell>
          <cell r="C446">
            <v>43201</v>
          </cell>
          <cell r="D446" t="str">
            <v>KHF-00-104265-AA-5768-10028-0000</v>
          </cell>
          <cell r="E446" t="str">
            <v xml:space="preserve">Risk Management Plan and Strategies </v>
          </cell>
          <cell r="F446">
            <v>4</v>
          </cell>
          <cell r="G446" t="str">
            <v>IFA</v>
          </cell>
        </row>
        <row r="447">
          <cell r="A447" t="str">
            <v>KHF-00-104265-QA-6050-32005-0000-3</v>
          </cell>
          <cell r="B447" t="str">
            <v>AIP-PDO-P1701009-T-0295</v>
          </cell>
          <cell r="C447">
            <v>43201</v>
          </cell>
          <cell r="D447" t="str">
            <v>KHF-00-104265-QA-6050-32005-0000</v>
          </cell>
          <cell r="E447" t="str">
            <v xml:space="preserve">Quality Control Procedure for Handling of Welding Consumables </v>
          </cell>
          <cell r="F447">
            <v>3</v>
          </cell>
          <cell r="G447" t="str">
            <v>IFA</v>
          </cell>
        </row>
        <row r="448">
          <cell r="A448" t="str">
            <v>KHF-00-104265-AA-3341-00106-0000-1</v>
          </cell>
          <cell r="B448" t="str">
            <v>AIP-PDO-P1701009-T-0296</v>
          </cell>
          <cell r="C448">
            <v>43201</v>
          </cell>
          <cell r="D448" t="str">
            <v>KHF-00-104265-AA-3341-00106-0000</v>
          </cell>
          <cell r="E448" t="str">
            <v>CV of Mr. Natarajan - QC Inspector-Civil</v>
          </cell>
          <cell r="F448">
            <v>1</v>
          </cell>
          <cell r="G448" t="str">
            <v>IFA</v>
          </cell>
        </row>
        <row r="449">
          <cell r="A449" t="str">
            <v>KHF-00-104265-AA-3341-60065-0000-1</v>
          </cell>
          <cell r="B449" t="str">
            <v>AIP-PDO-P1701009-T-0297</v>
          </cell>
          <cell r="C449">
            <v>43201</v>
          </cell>
          <cell r="D449" t="str">
            <v>KHF-00-104265-AA-3341-60065-0000</v>
          </cell>
          <cell r="E449" t="str">
            <v>CV of Mr. Haril Krishna - GRE Inspector</v>
          </cell>
          <cell r="F449">
            <v>1</v>
          </cell>
          <cell r="G449" t="str">
            <v>IFA</v>
          </cell>
        </row>
        <row r="450">
          <cell r="A450" t="str">
            <v>KHF-00-104265-AA-3341-60066-0000-1</v>
          </cell>
          <cell r="B450" t="str">
            <v>AIP-PDO-P1701009-T-0298</v>
          </cell>
          <cell r="C450">
            <v>43201</v>
          </cell>
          <cell r="D450" t="str">
            <v>KHF-00-104265-AA-3341-60066-0000</v>
          </cell>
          <cell r="E450" t="str">
            <v xml:space="preserve">CV of Mr. Gangireddi Srinivasa Rao - Construction Engineer-Electrical </v>
          </cell>
          <cell r="F450">
            <v>1</v>
          </cell>
          <cell r="G450" t="str">
            <v>IFA</v>
          </cell>
        </row>
        <row r="451">
          <cell r="A451" t="str">
            <v>KHF-00-104265-RA-8241-00401-0000-1</v>
          </cell>
          <cell r="B451" t="str">
            <v>AIP-PDO-P1701009-T-0299</v>
          </cell>
          <cell r="C451">
            <v>43201</v>
          </cell>
          <cell r="D451" t="str">
            <v>KHF-00-104265-RA-8241-00401-0000</v>
          </cell>
          <cell r="E451" t="str">
            <v>Material Approval Sheet for Hot Rolled Sections - Angles, Rods &amp; Plates</v>
          </cell>
          <cell r="F451">
            <v>1</v>
          </cell>
          <cell r="G451" t="str">
            <v>IFA</v>
          </cell>
        </row>
        <row r="452">
          <cell r="A452" t="str">
            <v>KHF-00-104265-VA-6047-10006-0000-4</v>
          </cell>
          <cell r="B452" t="str">
            <v>AIP-PDO-P1701009-T-0300</v>
          </cell>
          <cell r="C452">
            <v>43202</v>
          </cell>
          <cell r="D452" t="str">
            <v>KHF-00-104265-VA-6047-10006-0000</v>
          </cell>
          <cell r="E452" t="str">
            <v>Contract Procurement Plan</v>
          </cell>
          <cell r="F452">
            <v>4</v>
          </cell>
          <cell r="G452" t="str">
            <v>IFA</v>
          </cell>
        </row>
        <row r="453">
          <cell r="A453" t="str">
            <v>KHF-00-104265-HE-7180-10034-0000-1</v>
          </cell>
          <cell r="B453" t="str">
            <v>AIP-PDO-P1701009-T-0301</v>
          </cell>
          <cell r="C453">
            <v>43202</v>
          </cell>
          <cell r="D453" t="str">
            <v>KHF-00-104265-HE-7180-10034-0000</v>
          </cell>
          <cell r="E453" t="str">
            <v>YKP Environmental Management Plan / Impact Matrix</v>
          </cell>
          <cell r="F453">
            <v>1</v>
          </cell>
          <cell r="G453" t="str">
            <v>IFR</v>
          </cell>
        </row>
        <row r="454">
          <cell r="A454" t="str">
            <v>KHF-00-104265-QA-6050-00110-0000-2</v>
          </cell>
          <cell r="B454" t="str">
            <v>AIP-PDO-P1701009-T-0302</v>
          </cell>
          <cell r="C454">
            <v>43202</v>
          </cell>
          <cell r="D454" t="str">
            <v>KHF-00-104265-QA-6050-00110-0000</v>
          </cell>
          <cell r="E454" t="str">
            <v>Quality Control Plan for GRE Pipeline Installation &amp; Testing of Adhesive Bonding</v>
          </cell>
          <cell r="F454">
            <v>2</v>
          </cell>
          <cell r="G454" t="str">
            <v>IFA</v>
          </cell>
        </row>
        <row r="455">
          <cell r="A455" t="str">
            <v>KHF-00-104265-AA-3341-60067-0000-1</v>
          </cell>
          <cell r="B455" t="str">
            <v>AIP-PDO-P1701009-T-0303</v>
          </cell>
          <cell r="C455">
            <v>43202</v>
          </cell>
          <cell r="D455" t="str">
            <v>KHF-00-104265-AA-3341-60067-0000</v>
          </cell>
          <cell r="E455" t="str">
            <v>CV of Mr. Vishnu.CK  - Project Controls Manager</v>
          </cell>
          <cell r="F455">
            <v>1</v>
          </cell>
          <cell r="G455" t="str">
            <v>IFA</v>
          </cell>
        </row>
        <row r="456">
          <cell r="A456" t="str">
            <v>KHF-00-104265-AA-3347-20005-0000-1</v>
          </cell>
          <cell r="B456" t="str">
            <v>AIP-PDO-P1701009-T-0304</v>
          </cell>
          <cell r="C456">
            <v>43202</v>
          </cell>
          <cell r="D456" t="str">
            <v>KHF-00-104265-AA-3347-20005-0000</v>
          </cell>
          <cell r="E456" t="str">
            <v>Minutes of Meeting - Monthly Progress Meeting No.05</v>
          </cell>
          <cell r="F456">
            <v>1</v>
          </cell>
          <cell r="G456" t="str">
            <v>IFI</v>
          </cell>
        </row>
        <row r="457">
          <cell r="A457" t="str">
            <v>KHF-00-104265-AA-6944-10023-0000-1</v>
          </cell>
          <cell r="B457" t="str">
            <v>AIP-PDO-P1701009-T-0305</v>
          </cell>
          <cell r="C457">
            <v>43206</v>
          </cell>
          <cell r="D457" t="str">
            <v>KHF-00-104265-AA-6944-10023-0000</v>
          </cell>
          <cell r="E457" t="str">
            <v>Weekly Progress Report No.023</v>
          </cell>
          <cell r="F457">
            <v>1</v>
          </cell>
          <cell r="G457" t="str">
            <v>IFI</v>
          </cell>
        </row>
        <row r="458">
          <cell r="A458" t="str">
            <v>KHF-00-104265-HX-6180-10012-0000-4</v>
          </cell>
          <cell r="B458" t="str">
            <v>AIP-PDO-P1701009-T-0306</v>
          </cell>
          <cell r="C458">
            <v>43206</v>
          </cell>
          <cell r="D458" t="str">
            <v>KHF-00-104265-HX-6180-10012-0000</v>
          </cell>
          <cell r="E458" t="str">
            <v>Permit to Work Procedure (Greenfield)</v>
          </cell>
          <cell r="F458">
            <v>4</v>
          </cell>
          <cell r="G458" t="str">
            <v>IFA</v>
          </cell>
        </row>
        <row r="459">
          <cell r="A459" t="str">
            <v>KHF-00-104265-HS-5798-10033-0000-2</v>
          </cell>
          <cell r="B459" t="str">
            <v>AIP-PDO-P1701009-T-0307</v>
          </cell>
          <cell r="C459">
            <v>43206</v>
          </cell>
          <cell r="D459" t="str">
            <v>KHF-00-104265-HS-5798-10033-0000</v>
          </cell>
          <cell r="E459" t="str">
            <v>Site Security Plan</v>
          </cell>
          <cell r="F459">
            <v>2</v>
          </cell>
          <cell r="G459" t="str">
            <v>IFA</v>
          </cell>
        </row>
        <row r="460">
          <cell r="A460" t="str">
            <v>KHF-00-104265-QA-5733-00402-0000-1</v>
          </cell>
          <cell r="B460" t="str">
            <v>AIP-PDO-P1701009-T-0308</v>
          </cell>
          <cell r="C460">
            <v>43207</v>
          </cell>
          <cell r="D460" t="str">
            <v>KHF-00-104265-QA-5733-00402-0000</v>
          </cell>
          <cell r="E460" t="str">
            <v>Inspection &amp; Test Plan - Structural Steel Fabrication &amp; Welding</v>
          </cell>
          <cell r="F460">
            <v>1</v>
          </cell>
          <cell r="G460" t="str">
            <v>IFR</v>
          </cell>
        </row>
        <row r="461">
          <cell r="A461" t="str">
            <v>KHF-00-104265-BA-6070-00403-0000-1</v>
          </cell>
          <cell r="B461" t="str">
            <v>AIP-PDO-P1701009-T-0308</v>
          </cell>
          <cell r="C461">
            <v>43207</v>
          </cell>
          <cell r="D461" t="str">
            <v>KHF-00-104265-BA-6070-00403-0000</v>
          </cell>
          <cell r="E461" t="str">
            <v>Method Statement - Structural Steel Fabrication &amp; Welding</v>
          </cell>
          <cell r="F461">
            <v>1</v>
          </cell>
          <cell r="G461" t="str">
            <v>IFR</v>
          </cell>
        </row>
        <row r="462">
          <cell r="A462" t="str">
            <v>KHF-00-104265-AA-3341-60068-0000-1</v>
          </cell>
          <cell r="B462" t="str">
            <v>AIP-PDO-P1701009-T-0309</v>
          </cell>
          <cell r="C462">
            <v>43207</v>
          </cell>
          <cell r="D462" t="str">
            <v>KHF-00-104265-AA-3341-60068-0000</v>
          </cell>
          <cell r="E462" t="str">
            <v>CV of Mr. Anil Sharma - Instrumentation Construction Engineer</v>
          </cell>
          <cell r="F462">
            <v>1</v>
          </cell>
          <cell r="G462" t="str">
            <v>IFA</v>
          </cell>
        </row>
        <row r="463">
          <cell r="A463" t="str">
            <v>KHF-00-104265-QA-5733-23002-0000-2</v>
          </cell>
          <cell r="B463" t="str">
            <v>AIP-PDO-P1701009-T-0310</v>
          </cell>
          <cell r="C463">
            <v>43208</v>
          </cell>
          <cell r="D463" t="str">
            <v>KHF-00-104265-QA-5733-23002-0000</v>
          </cell>
          <cell r="E463" t="str">
            <v>Inspection &amp; Test Plan for HV/LV Cable Glanding &amp; Termination</v>
          </cell>
          <cell r="F463">
            <v>2</v>
          </cell>
          <cell r="G463" t="str">
            <v>IFA</v>
          </cell>
        </row>
        <row r="464">
          <cell r="A464" t="str">
            <v>KHF-00-104265-QA-5733-23003-0000-2</v>
          </cell>
          <cell r="B464" t="str">
            <v>AIP-PDO-P1701009-T-0310</v>
          </cell>
          <cell r="C464">
            <v>43208</v>
          </cell>
          <cell r="D464" t="str">
            <v>KHF-00-104265-QA-5733-23003-0000</v>
          </cell>
          <cell r="E464" t="str">
            <v>Inspection &amp; Test Plan for Switchgear Installation Works</v>
          </cell>
          <cell r="F464">
            <v>2</v>
          </cell>
          <cell r="G464" t="str">
            <v>IFA</v>
          </cell>
        </row>
        <row r="465">
          <cell r="A465" t="str">
            <v>KHF-00-104265-QA-5733-24003-0000-2</v>
          </cell>
          <cell r="B465" t="str">
            <v>AIP-PDO-P1701009-T-0310</v>
          </cell>
          <cell r="C465">
            <v>43208</v>
          </cell>
          <cell r="D465" t="str">
            <v>KHF-00-104265-QA-5733-24003-0000</v>
          </cell>
          <cell r="E465" t="str">
            <v>Inspection &amp; Test Plan for Installation of Field Instruments, Instrument Panels, JB's &amp; Supports</v>
          </cell>
          <cell r="F465">
            <v>2</v>
          </cell>
          <cell r="G465" t="str">
            <v>IFA</v>
          </cell>
        </row>
        <row r="466">
          <cell r="A466" t="str">
            <v>KHF-00-104265-HX-6613-10015-0000-2</v>
          </cell>
          <cell r="B466" t="str">
            <v>AIP-PDO-P1701009-T-0311</v>
          </cell>
          <cell r="C466">
            <v>43208</v>
          </cell>
          <cell r="D466" t="str">
            <v>KHF-00-104265-HX-6613-10015-0000</v>
          </cell>
          <cell r="E466" t="str">
            <v>Construction Services for Yibal Khuff  HEMP Register</v>
          </cell>
          <cell r="F466">
            <v>2</v>
          </cell>
          <cell r="G466" t="str">
            <v>IFA</v>
          </cell>
        </row>
        <row r="467">
          <cell r="A467" t="str">
            <v>KHF-00-104265-QA-5733-24002-0000-2</v>
          </cell>
          <cell r="B467" t="str">
            <v>AIP-PDO-P1701009-T-0312</v>
          </cell>
          <cell r="C467">
            <v>43208</v>
          </cell>
          <cell r="D467" t="str">
            <v>KHF-00-104265-QA-5733-24002-0000</v>
          </cell>
          <cell r="E467" t="str">
            <v>Inspection &amp; Test Plan for Instrument Cable Glanding, Termination  &amp; Earthing</v>
          </cell>
          <cell r="F467">
            <v>2</v>
          </cell>
          <cell r="G467" t="str">
            <v>IFA</v>
          </cell>
        </row>
        <row r="468">
          <cell r="A468" t="str">
            <v>KHF-00-104265-AA-6180-10023-0000-2</v>
          </cell>
          <cell r="B468" t="str">
            <v>AIP-PDO-P1701009-T-0313</v>
          </cell>
          <cell r="C468">
            <v>43208</v>
          </cell>
          <cell r="D468" t="str">
            <v>KHF-00-104265-AA-6180-10023-0000</v>
          </cell>
          <cell r="E468" t="str">
            <v>Procedure for Technical Deviation and Technical Query</v>
          </cell>
          <cell r="F468">
            <v>2</v>
          </cell>
          <cell r="G468" t="str">
            <v>IFA</v>
          </cell>
        </row>
        <row r="469">
          <cell r="A469" t="str">
            <v>KHF-00-104265-AA-3341-60069-0000-1</v>
          </cell>
          <cell r="B469" t="str">
            <v>AIP-PDO-P1701009-T-0314</v>
          </cell>
          <cell r="C469">
            <v>43209</v>
          </cell>
          <cell r="D469" t="str">
            <v>KHF-00-104265-AA-3341-60069-0000</v>
          </cell>
          <cell r="E469" t="str">
            <v xml:space="preserve">CV of Mr. Raja Chockanathan - Welding Inspector Pipelines </v>
          </cell>
          <cell r="F469">
            <v>1</v>
          </cell>
          <cell r="G469" t="str">
            <v>IFA</v>
          </cell>
        </row>
        <row r="470">
          <cell r="A470" t="str">
            <v>KHF-00-104265-HX-6180-10044-0000-2</v>
          </cell>
          <cell r="B470" t="str">
            <v>AIP-PDO-P1701009-T-0315</v>
          </cell>
          <cell r="C470">
            <v>43209</v>
          </cell>
          <cell r="D470" t="str">
            <v>KHF-00-104265-HX-6180-10044-0000</v>
          </cell>
          <cell r="E470" t="str">
            <v>Procedure for Undertaking Night Working for Civil Works of  132KV GIS Building</v>
          </cell>
          <cell r="F470">
            <v>2</v>
          </cell>
          <cell r="G470" t="str">
            <v>IFA</v>
          </cell>
        </row>
        <row r="471">
          <cell r="A471" t="str">
            <v>KHF-00-104265-AA-6944-10024-0000-1</v>
          </cell>
          <cell r="B471" t="str">
            <v>AIP-PDO-P1701009-T-0316</v>
          </cell>
          <cell r="C471">
            <v>43212</v>
          </cell>
          <cell r="D471" t="str">
            <v>KHF-00-104265-AA-6944-10024-0000</v>
          </cell>
          <cell r="E471" t="str">
            <v>Weekly Progress Report No.024</v>
          </cell>
          <cell r="F471">
            <v>1</v>
          </cell>
          <cell r="G471" t="str">
            <v>IFI</v>
          </cell>
        </row>
        <row r="472">
          <cell r="A472" t="str">
            <v>KHF-00-104265-HX-5880-10014-0000-3</v>
          </cell>
          <cell r="B472" t="str">
            <v>AIP-PDO-P1701009-T-0317</v>
          </cell>
          <cell r="C472">
            <v>43212</v>
          </cell>
          <cell r="D472" t="str">
            <v>KHF-00-104265-HX-5880-10014-0000</v>
          </cell>
          <cell r="E472" t="str">
            <v>HSE Monitoring Plan</v>
          </cell>
          <cell r="F472">
            <v>3</v>
          </cell>
          <cell r="G472" t="str">
            <v>IFA</v>
          </cell>
        </row>
        <row r="473">
          <cell r="A473" t="str">
            <v>KHF-00-104265-QA-6180-10045-0000-1</v>
          </cell>
          <cell r="B473" t="str">
            <v>AIP-PDO-P1701009-T-0318</v>
          </cell>
          <cell r="C473">
            <v>43212</v>
          </cell>
          <cell r="D473" t="str">
            <v>KHF-00-104265-QA-6180-10045-0000</v>
          </cell>
          <cell r="E473" t="str">
            <v>Method Statement for the tests to be conducted in Site Civil Laboratory</v>
          </cell>
          <cell r="F473">
            <v>1</v>
          </cell>
          <cell r="G473" t="str">
            <v>IFR</v>
          </cell>
        </row>
        <row r="474">
          <cell r="A474" t="str">
            <v>KHF-00-104265-AA-3341-60070-0000-1</v>
          </cell>
          <cell r="B474" t="str">
            <v>AIP-PDO-P1701009-T-0318</v>
          </cell>
          <cell r="C474">
            <v>43212</v>
          </cell>
          <cell r="D474" t="str">
            <v>KHF-00-104265-AA-3341-60070-0000</v>
          </cell>
          <cell r="E474" t="str">
            <v>CV of Mr. Raja Arumugam- Senior Laboratory Technician (Exova Limited LLC)</v>
          </cell>
          <cell r="F474">
            <v>1</v>
          </cell>
          <cell r="G474" t="str">
            <v>IFR</v>
          </cell>
        </row>
        <row r="475">
          <cell r="A475" t="str">
            <v>KHF-00-104265-AA-3347-10025-0000-1</v>
          </cell>
          <cell r="B475" t="str">
            <v>AIP-PDO-P1701009-T-0319</v>
          </cell>
          <cell r="C475">
            <v>43213</v>
          </cell>
          <cell r="D475" t="str">
            <v>KHF-00-104265-AA-3347-10025-0000</v>
          </cell>
          <cell r="E475" t="str">
            <v>Minutes of Meeting - Weekly Review Meeting No.25</v>
          </cell>
          <cell r="F475">
            <v>1</v>
          </cell>
          <cell r="G475" t="str">
            <v>IFI</v>
          </cell>
        </row>
        <row r="476">
          <cell r="A476" t="str">
            <v>Cancelled</v>
          </cell>
          <cell r="B476" t="str">
            <v>AIP-PDO-P1701009-T-0320</v>
          </cell>
          <cell r="C476">
            <v>43215</v>
          </cell>
          <cell r="D476" t="str">
            <v>KHF-00-104265-AA-6944-10024-0000</v>
          </cell>
          <cell r="E476" t="str">
            <v>Weekly Progress Report No.024</v>
          </cell>
          <cell r="F476">
            <v>2</v>
          </cell>
          <cell r="G476" t="str">
            <v>cancelled</v>
          </cell>
        </row>
        <row r="477">
          <cell r="A477" t="str">
            <v>KHF-00-104265-BA-6065-50051-0000-2</v>
          </cell>
          <cell r="B477" t="str">
            <v>AIP-PDO-P1701009-T-0321</v>
          </cell>
          <cell r="C477">
            <v>43215</v>
          </cell>
          <cell r="D477" t="str">
            <v>KHF-00-104265-BA-6065-50051-0000</v>
          </cell>
          <cell r="E477" t="str">
            <v>WPS Register - On-Plot Piping</v>
          </cell>
          <cell r="F477">
            <v>2</v>
          </cell>
          <cell r="G477" t="str">
            <v>IFA</v>
          </cell>
        </row>
        <row r="478">
          <cell r="A478" t="str">
            <v>KHF-00-104265-BA-6065-50052-0000-2</v>
          </cell>
          <cell r="B478" t="str">
            <v>AIP-PDO-P1701009-T-0321</v>
          </cell>
          <cell r="C478">
            <v>43215</v>
          </cell>
          <cell r="D478" t="str">
            <v>KHF-00-104265-BA-6065-50052-0000</v>
          </cell>
          <cell r="E478" t="str">
            <v>Welding Procedure Specification - (AIP-WPS-T-077 (C311527)) Carbon Steel: 1.5mm  to 12.7mm</v>
          </cell>
          <cell r="F478">
            <v>2</v>
          </cell>
          <cell r="G478" t="str">
            <v>IFA</v>
          </cell>
        </row>
        <row r="479">
          <cell r="A479" t="str">
            <v>KHF-00-104265-BA-6065-50053-0000-2</v>
          </cell>
          <cell r="B479" t="str">
            <v>AIP-PDO-P1701009-T-0321</v>
          </cell>
          <cell r="C479">
            <v>43215</v>
          </cell>
          <cell r="D479" t="str">
            <v>KHF-00-104265-BA-6065-50053-0000</v>
          </cell>
          <cell r="E479" t="str">
            <v>Welding Procedure Specification - (AIP-WPS-TM-549 (C311527)) Carbon Steel: 1.5mm  to 10.3mm</v>
          </cell>
          <cell r="F479">
            <v>2</v>
          </cell>
          <cell r="G479" t="str">
            <v>IFA</v>
          </cell>
        </row>
        <row r="480">
          <cell r="A480" t="str">
            <v>KHF-00-104265-BA-6065-50054-0000-2</v>
          </cell>
          <cell r="B480" t="str">
            <v>AIP-PDO-P1701009-T-0321</v>
          </cell>
          <cell r="C480">
            <v>43215</v>
          </cell>
          <cell r="D480" t="str">
            <v>KHF-00-104265-BA-6065-50054-0000</v>
          </cell>
          <cell r="E480" t="str">
            <v>Welding Procedure Specification - (AIP-WPS-T-065 (C311527)) Stainless Steel: 1.15mm to 6.10mm</v>
          </cell>
          <cell r="F480">
            <v>2</v>
          </cell>
          <cell r="G480" t="str">
            <v>IFA</v>
          </cell>
        </row>
        <row r="481">
          <cell r="A481" t="str">
            <v>KHF-00-104265-BA-6065-50055-0000-2</v>
          </cell>
          <cell r="B481" t="str">
            <v>AIP-PDO-P1701009-T-0321</v>
          </cell>
          <cell r="C481">
            <v>43215</v>
          </cell>
          <cell r="D481" t="str">
            <v>KHF-00-104265-BA-6065-50055-0000</v>
          </cell>
          <cell r="E481" t="str">
            <v>Welding Procedure Specification - (AIP-WPS-TM-196 (C311527)) Stainless Steel: 5.0mm to 40.0mm</v>
          </cell>
          <cell r="F481">
            <v>2</v>
          </cell>
          <cell r="G481" t="str">
            <v>IFA</v>
          </cell>
        </row>
        <row r="482">
          <cell r="A482" t="str">
            <v>KHF-00-104265-BA-6065-50056-0000-1</v>
          </cell>
          <cell r="B482" t="str">
            <v>AIP-PDO-P1701009-T-0321</v>
          </cell>
          <cell r="C482">
            <v>43215</v>
          </cell>
          <cell r="D482" t="str">
            <v>KHF-00-104265-BA-6065-50056-0000</v>
          </cell>
          <cell r="E482" t="str">
            <v>Welding Procedure Specification - (AIP-WPS-TM-491 (C311527)) Carbon Steel: 11.1mm to 20.0mm</v>
          </cell>
          <cell r="F482">
            <v>1</v>
          </cell>
          <cell r="G482" t="str">
            <v>IFR</v>
          </cell>
        </row>
        <row r="483">
          <cell r="A483" t="str">
            <v>KHF-00-104265-LA-5009-00102-0000-1</v>
          </cell>
          <cell r="B483" t="str">
            <v>AIP-PDO-P1701009-T-0322</v>
          </cell>
          <cell r="C483">
            <v>43215</v>
          </cell>
          <cell r="D483" t="str">
            <v>KHF-00-104265-LA-5009-00102-0000</v>
          </cell>
          <cell r="E483" t="str">
            <v>Material Approval Sheet (MAS) for Pre and Post Padding Material (Dune Sand)</v>
          </cell>
          <cell r="F483">
            <v>1</v>
          </cell>
          <cell r="G483" t="str">
            <v>IFA</v>
          </cell>
        </row>
        <row r="484">
          <cell r="A484" t="str">
            <v>KHF-00-104265-AA-3341-60071-0000-1</v>
          </cell>
          <cell r="B484" t="str">
            <v>AIP-PDO-P1701009-T-0323</v>
          </cell>
          <cell r="C484">
            <v>43215</v>
          </cell>
          <cell r="D484" t="str">
            <v>KHF-00-104265-AA-3341-60071-0000</v>
          </cell>
          <cell r="E484" t="str">
            <v>CV of Mr. Edwin Ortega - Male Nurse</v>
          </cell>
          <cell r="F484">
            <v>1</v>
          </cell>
          <cell r="G484" t="str">
            <v>IFA</v>
          </cell>
        </row>
        <row r="485">
          <cell r="A485" t="str">
            <v>KHF-00-104265-HX-6613-10015-0000-3</v>
          </cell>
          <cell r="B485" t="str">
            <v>AIP-PDO-P1701009-T-0324</v>
          </cell>
          <cell r="C485">
            <v>43215</v>
          </cell>
          <cell r="D485" t="str">
            <v>KHF-00-104265-HX-6613-10015-0000</v>
          </cell>
          <cell r="E485" t="str">
            <v>Construction Services for Yibal Khuff  HEMP Register</v>
          </cell>
          <cell r="F485">
            <v>3</v>
          </cell>
          <cell r="G485" t="str">
            <v>IFA</v>
          </cell>
        </row>
        <row r="486">
          <cell r="A486" t="str">
            <v>KHF-00-104265-AA-3341-60072-0000-1</v>
          </cell>
          <cell r="B486" t="str">
            <v>AIP-PDO-P1701009-T-0325</v>
          </cell>
          <cell r="C486">
            <v>43215</v>
          </cell>
          <cell r="D486" t="str">
            <v>KHF-00-104265-AA-3341-60072-0000</v>
          </cell>
          <cell r="E486" t="str">
            <v>CV of Mr. Joshva Immanuel James - Male Nurse</v>
          </cell>
          <cell r="F486">
            <v>1</v>
          </cell>
          <cell r="G486" t="str">
            <v>IFA</v>
          </cell>
        </row>
        <row r="487">
          <cell r="A487" t="str">
            <v>KHF-00-104265-RA-6038-00101-0000-2</v>
          </cell>
          <cell r="B487" t="str">
            <v>AIP-PDO-P1701009-T-0326</v>
          </cell>
          <cell r="C487">
            <v>43216</v>
          </cell>
          <cell r="D487" t="str">
            <v>KHF-00-104265-RA-6038-00101-0000</v>
          </cell>
          <cell r="E487" t="str">
            <v>Procedure for X-Ray Radiographic Testing of Pipelines</v>
          </cell>
          <cell r="F487">
            <v>2</v>
          </cell>
          <cell r="G487" t="str">
            <v>IFA</v>
          </cell>
        </row>
        <row r="488">
          <cell r="A488" t="str">
            <v>KHF-00-104265-RA-6038-00102-0000-2</v>
          </cell>
          <cell r="B488" t="str">
            <v>AIP-PDO-P1701009-T-0326</v>
          </cell>
          <cell r="C488">
            <v>43216</v>
          </cell>
          <cell r="D488" t="str">
            <v>KHF-00-104265-RA-6038-00102-0000</v>
          </cell>
          <cell r="E488" t="str">
            <v>Procedure for External X-Ray Radiographic Testing of Pipelines</v>
          </cell>
          <cell r="F488">
            <v>2</v>
          </cell>
          <cell r="G488" t="str">
            <v>IFA</v>
          </cell>
        </row>
        <row r="489">
          <cell r="A489" t="str">
            <v>KHF-00-104265-RA-6038-00103-0000-2</v>
          </cell>
          <cell r="B489" t="str">
            <v>AIP-PDO-P1701009-T-0326</v>
          </cell>
          <cell r="C489">
            <v>43216</v>
          </cell>
          <cell r="D489" t="str">
            <v>KHF-00-104265-RA-6038-00103-0000</v>
          </cell>
          <cell r="E489" t="str">
            <v>Procedure for Magnetic Particle Testing of Pipelines</v>
          </cell>
          <cell r="F489">
            <v>2</v>
          </cell>
          <cell r="G489" t="str">
            <v>IFA</v>
          </cell>
        </row>
        <row r="490">
          <cell r="A490" t="str">
            <v>KHF-00-104265-RA-6038-00104-0000-2</v>
          </cell>
          <cell r="B490" t="str">
            <v>AIP-PDO-P1701009-T-0326</v>
          </cell>
          <cell r="C490">
            <v>43216</v>
          </cell>
          <cell r="D490" t="str">
            <v>KHF-00-104265-RA-6038-00104-0000</v>
          </cell>
          <cell r="E490" t="str">
            <v>Procedure for Ultrasonic Testing for Lamination for Pipelines</v>
          </cell>
          <cell r="F490">
            <v>2</v>
          </cell>
          <cell r="G490" t="str">
            <v>IFA</v>
          </cell>
        </row>
        <row r="491">
          <cell r="A491" t="str">
            <v>KHF-00-104265-AA-6944-10024-0000-2</v>
          </cell>
          <cell r="B491" t="str">
            <v>AIP-PDO-P1701009-T-0327</v>
          </cell>
          <cell r="C491">
            <v>43216</v>
          </cell>
          <cell r="D491" t="str">
            <v>KHF-00-104265-AA-6944-10024-0000</v>
          </cell>
          <cell r="E491" t="str">
            <v>Weekly Progress Report No.024</v>
          </cell>
          <cell r="F491">
            <v>2</v>
          </cell>
          <cell r="G491" t="str">
            <v>IFI</v>
          </cell>
        </row>
        <row r="492">
          <cell r="A492" t="str">
            <v>KHF-00-104265-QA-6050-00102-0000-3</v>
          </cell>
          <cell r="B492" t="str">
            <v>AIP-PDO-P1701009-T-0328</v>
          </cell>
          <cell r="C492">
            <v>43216</v>
          </cell>
          <cell r="D492" t="str">
            <v>KHF-00-104265-QA-6050-00102-0000</v>
          </cell>
          <cell r="E492" t="str">
            <v>Quality Control Plan for Earth Works</v>
          </cell>
          <cell r="F492">
            <v>3</v>
          </cell>
          <cell r="G492" t="str">
            <v>IFA</v>
          </cell>
        </row>
        <row r="493">
          <cell r="A493" t="str">
            <v>KHF-00-104265-AA-3341-00107-0000-1</v>
          </cell>
          <cell r="B493" t="str">
            <v>AIP-PDO-P1701009-T-0329</v>
          </cell>
          <cell r="C493">
            <v>43216</v>
          </cell>
          <cell r="D493" t="str">
            <v>KHF-00-104265-AA-3341-00107-0000</v>
          </cell>
          <cell r="E493" t="str">
            <v>CV of Mr. Joby Antony - Welding Inspector</v>
          </cell>
          <cell r="F493">
            <v>1</v>
          </cell>
          <cell r="G493" t="str">
            <v>IFA</v>
          </cell>
        </row>
        <row r="494">
          <cell r="A494" t="str">
            <v>KHF-00-104265-AA-3341-00108-0000-1</v>
          </cell>
          <cell r="B494" t="str">
            <v>AIP-PDO-P1701009-T-0330</v>
          </cell>
          <cell r="C494">
            <v>43216</v>
          </cell>
          <cell r="D494" t="str">
            <v>KHF-00-104265-AA-3341-00108-0000</v>
          </cell>
          <cell r="E494" t="str">
            <v>CV of Mr. Umashankar - Painting/Coating Inspector</v>
          </cell>
          <cell r="F494">
            <v>1</v>
          </cell>
          <cell r="G494" t="str">
            <v>IFA</v>
          </cell>
        </row>
        <row r="495">
          <cell r="A495" t="str">
            <v>KHF-00-104265-BA-6065-00404-0000-1</v>
          </cell>
          <cell r="B495" t="str">
            <v>AIP-PDO-P1701009-T-0331</v>
          </cell>
          <cell r="C495">
            <v>43216</v>
          </cell>
          <cell r="D495" t="str">
            <v>KHF-00-104265-BA-6065-00404-0000</v>
          </cell>
          <cell r="E495" t="str">
            <v>Welding Procedure Specification</v>
          </cell>
          <cell r="F495">
            <v>1</v>
          </cell>
          <cell r="G495" t="str">
            <v>IFA</v>
          </cell>
        </row>
        <row r="496">
          <cell r="A496" t="str">
            <v>KHF-00-104265-RA-8241-51038-0000-1</v>
          </cell>
          <cell r="B496" t="str">
            <v>AIP-PDO-P1701009-T-0332</v>
          </cell>
          <cell r="C496">
            <v>43216</v>
          </cell>
          <cell r="D496" t="str">
            <v>KHF-00-104265-RA-8241-51038-0000</v>
          </cell>
          <cell r="E496" t="str">
            <v>Material Approval Sheet for 200 MM &amp; 100 MM Thick Solid Blocks (OPC) - 10.50 N/MM2</v>
          </cell>
          <cell r="F496">
            <v>1</v>
          </cell>
          <cell r="G496" t="str">
            <v>IFA</v>
          </cell>
        </row>
        <row r="497">
          <cell r="A497" t="str">
            <v>KHF-00-104265-RA-8241-51027-0000-2</v>
          </cell>
          <cell r="B497" t="str">
            <v>AIP-PDO-P1701009-T-0333</v>
          </cell>
          <cell r="C497">
            <v>43216</v>
          </cell>
          <cell r="D497" t="str">
            <v>KHF-00-104265-RA-8241-51027-0000</v>
          </cell>
          <cell r="E497" t="str">
            <v>Material Approval Sheet for Water proof Membrane / Tanking System</v>
          </cell>
          <cell r="F497">
            <v>2</v>
          </cell>
          <cell r="G497" t="str">
            <v>IFA</v>
          </cell>
        </row>
        <row r="498">
          <cell r="A498" t="str">
            <v>KHF-00-104265-HX-0709-10035-0000-2</v>
          </cell>
          <cell r="B498" t="str">
            <v>AIP-PDO-P1701009-T-0334</v>
          </cell>
          <cell r="C498">
            <v>43216</v>
          </cell>
          <cell r="D498" t="str">
            <v>KHF-00-104265-HX-0709-10035-0000</v>
          </cell>
          <cell r="E498" t="str">
            <v>Health Risk Assessment Report</v>
          </cell>
          <cell r="F498">
            <v>2</v>
          </cell>
          <cell r="G498" t="str">
            <v>IFA</v>
          </cell>
        </row>
        <row r="499">
          <cell r="A499" t="str">
            <v>Cancelled</v>
          </cell>
          <cell r="B499" t="str">
            <v>AIP-PDO-P1701009-T-0335</v>
          </cell>
          <cell r="C499">
            <v>43219</v>
          </cell>
          <cell r="D499" t="str">
            <v>KHF-00-104265-CI-4180-00505-0001</v>
          </cell>
          <cell r="E499" t="str">
            <v>Proposed Camp - Drainage Layout</v>
          </cell>
          <cell r="F499">
            <v>1</v>
          </cell>
          <cell r="G499" t="str">
            <v>cancelled</v>
          </cell>
        </row>
        <row r="500">
          <cell r="A500" t="str">
            <v>Cancelled</v>
          </cell>
          <cell r="B500" t="str">
            <v>AIP-PDO-P1701009-T-0335</v>
          </cell>
          <cell r="C500">
            <v>43219</v>
          </cell>
          <cell r="D500" t="str">
            <v>KHF-00-104265-CI-4180-00506-0001</v>
          </cell>
          <cell r="E500" t="str">
            <v>Proposed Camp - Plumbing Layout</v>
          </cell>
          <cell r="F500">
            <v>1</v>
          </cell>
          <cell r="G500" t="str">
            <v>cancelled</v>
          </cell>
        </row>
        <row r="501">
          <cell r="A501" t="str">
            <v>Cancelled</v>
          </cell>
          <cell r="B501" t="str">
            <v>AIP-PDO-P1701009-T-0335</v>
          </cell>
          <cell r="C501">
            <v>43219</v>
          </cell>
          <cell r="D501" t="str">
            <v>KHF-00-104265-EA-2384-00507-0001</v>
          </cell>
          <cell r="E501" t="str">
            <v>Proposed Camp - SMDB-1 - Single Line Diagram</v>
          </cell>
          <cell r="F501">
            <v>1</v>
          </cell>
          <cell r="G501" t="str">
            <v>cancelled</v>
          </cell>
        </row>
        <row r="502">
          <cell r="A502" t="str">
            <v>Cancelled</v>
          </cell>
          <cell r="B502" t="str">
            <v>AIP-PDO-P1701009-T-0335</v>
          </cell>
          <cell r="C502">
            <v>43219</v>
          </cell>
          <cell r="D502" t="str">
            <v>KHF-00-104265-EA-2384-00508-0001</v>
          </cell>
          <cell r="E502" t="str">
            <v>Proposed Camp - SMDB-3 - Single Line Diagram</v>
          </cell>
          <cell r="F502">
            <v>1</v>
          </cell>
          <cell r="G502" t="str">
            <v>cancelled</v>
          </cell>
        </row>
        <row r="503">
          <cell r="A503" t="str">
            <v>Cancelled</v>
          </cell>
          <cell r="B503" t="str">
            <v>AIP-PDO-P1701009-T-0335</v>
          </cell>
          <cell r="C503">
            <v>43219</v>
          </cell>
          <cell r="D503" t="str">
            <v>KHF-00-104265-EA-4005-00501-0001</v>
          </cell>
          <cell r="E503" t="str">
            <v>Proposed Camp - Cable Route Layout</v>
          </cell>
          <cell r="F503">
            <v>1</v>
          </cell>
          <cell r="G503" t="str">
            <v>cancelled</v>
          </cell>
        </row>
        <row r="504">
          <cell r="A504" t="str">
            <v>Cancelled</v>
          </cell>
          <cell r="B504" t="str">
            <v>AIP-PDO-P1701009-T-0335</v>
          </cell>
          <cell r="C504">
            <v>43219</v>
          </cell>
          <cell r="D504" t="str">
            <v>KHF-00-104265-EA-4016-00504-0001</v>
          </cell>
          <cell r="E504" t="str">
            <v>Proposed Camp - Fire Alarm Layout</v>
          </cell>
          <cell r="F504">
            <v>1</v>
          </cell>
          <cell r="G504" t="str">
            <v>cancelled</v>
          </cell>
        </row>
        <row r="505">
          <cell r="A505" t="str">
            <v>Cancelled</v>
          </cell>
          <cell r="B505" t="str">
            <v>AIP-PDO-P1701009-T-0335</v>
          </cell>
          <cell r="C505">
            <v>43219</v>
          </cell>
          <cell r="D505" t="str">
            <v>KHF-00-104265-EA-4025-00503-0001</v>
          </cell>
          <cell r="E505" t="str">
            <v>Proposed Camp - Lighting Layout</v>
          </cell>
          <cell r="F505">
            <v>1</v>
          </cell>
          <cell r="G505" t="str">
            <v>cancelled</v>
          </cell>
        </row>
        <row r="506">
          <cell r="A506" t="str">
            <v>Cancelled</v>
          </cell>
          <cell r="B506" t="str">
            <v>AIP-PDO-P1701009-T-0335</v>
          </cell>
          <cell r="C506">
            <v>43219</v>
          </cell>
          <cell r="D506" t="str">
            <v>KHF-00-104265-EA-8809-00502-0001</v>
          </cell>
          <cell r="E506" t="str">
            <v>Proposed Camp - Earthing Layout</v>
          </cell>
          <cell r="F506">
            <v>1</v>
          </cell>
          <cell r="G506" t="str">
            <v>cancelled</v>
          </cell>
        </row>
        <row r="507">
          <cell r="A507" t="str">
            <v>KHF-00-104265-QA-5733-00406-0000-1</v>
          </cell>
          <cell r="B507" t="str">
            <v>AIP-PDO-P1701009-T-0336</v>
          </cell>
          <cell r="C507">
            <v>43216</v>
          </cell>
          <cell r="D507" t="str">
            <v>KHF-00-104265-QA-5733-00406-0000</v>
          </cell>
          <cell r="E507" t="str">
            <v>Inspection &amp; Test Plan - Structural Steel Hot Dip Galvanizing</v>
          </cell>
          <cell r="F507">
            <v>1</v>
          </cell>
          <cell r="G507" t="str">
            <v>IFR</v>
          </cell>
        </row>
        <row r="508">
          <cell r="A508" t="str">
            <v>KHF-00-104265-BA-6070-00407-0000-1</v>
          </cell>
          <cell r="B508" t="str">
            <v>AIP-PDO-P1701009-T-0337</v>
          </cell>
          <cell r="C508">
            <v>43219</v>
          </cell>
          <cell r="D508" t="str">
            <v>KHF-00-104265-BA-6070-00407-0000</v>
          </cell>
          <cell r="E508" t="str">
            <v>Method Statement - Structural Steel Hot Dip Galvanizing</v>
          </cell>
          <cell r="F508">
            <v>1</v>
          </cell>
          <cell r="G508" t="str">
            <v>IFR</v>
          </cell>
        </row>
        <row r="509">
          <cell r="A509" t="str">
            <v>KHF-00-104265-HE-7180-10034-0000-2</v>
          </cell>
          <cell r="B509" t="str">
            <v>AIP-PDO-P1701009-T-0338</v>
          </cell>
          <cell r="C509">
            <v>43219</v>
          </cell>
          <cell r="D509" t="str">
            <v>KHF-00-104265-HE-7180-10034-0000</v>
          </cell>
          <cell r="E509" t="str">
            <v>YKP Environmental Management Plan / Impact Matrix</v>
          </cell>
          <cell r="F509">
            <v>2</v>
          </cell>
          <cell r="G509" t="str">
            <v>IFA</v>
          </cell>
        </row>
        <row r="510">
          <cell r="A510" t="str">
            <v>KHF-00-104265-AA-6944-10025-0000-1</v>
          </cell>
          <cell r="B510" t="str">
            <v>AIP-PDO-P1701009-T-0339</v>
          </cell>
          <cell r="C510">
            <v>43220</v>
          </cell>
          <cell r="D510" t="str">
            <v>KHF-00-104265-AA-6944-10025-0000</v>
          </cell>
          <cell r="E510" t="str">
            <v>Weekly Progress Report No.025</v>
          </cell>
          <cell r="F510">
            <v>1</v>
          </cell>
          <cell r="G510" t="str">
            <v>IFI</v>
          </cell>
        </row>
        <row r="511">
          <cell r="A511" t="str">
            <v>KHF-00-104265-CI-4180-00505-0001-1</v>
          </cell>
          <cell r="B511" t="str">
            <v>AIP-PDO-P1701009-T-0340</v>
          </cell>
          <cell r="C511">
            <v>43219</v>
          </cell>
          <cell r="D511" t="str">
            <v>KHF-00-104265-CI-4180-00505-0001</v>
          </cell>
          <cell r="E511" t="str">
            <v>Proposed Camp - Drainage Layout</v>
          </cell>
          <cell r="F511">
            <v>1</v>
          </cell>
          <cell r="G511" t="str">
            <v>IFA</v>
          </cell>
        </row>
        <row r="512">
          <cell r="A512" t="str">
            <v>KHF-00-104265-CI-4180-00506-0001-1</v>
          </cell>
          <cell r="B512" t="str">
            <v>AIP-PDO-P1701009-T-0340</v>
          </cell>
          <cell r="C512">
            <v>43219</v>
          </cell>
          <cell r="D512" t="str">
            <v>KHF-00-104265-CI-4180-00506-0001</v>
          </cell>
          <cell r="E512" t="str">
            <v>Proposed Camp - Plumbing Layout</v>
          </cell>
          <cell r="F512">
            <v>1</v>
          </cell>
          <cell r="G512" t="str">
            <v>IFA</v>
          </cell>
        </row>
        <row r="513">
          <cell r="A513" t="str">
            <v>KHF-00-104265-EA-2384-00507-0001-1</v>
          </cell>
          <cell r="B513" t="str">
            <v>AIP-PDO-P1701009-T-0340</v>
          </cell>
          <cell r="C513">
            <v>43219</v>
          </cell>
          <cell r="D513" t="str">
            <v>KHF-00-104265-EA-2384-00507-0001</v>
          </cell>
          <cell r="E513" t="str">
            <v>Proposed Camp - SMDB-1 - Single Line Diagram</v>
          </cell>
          <cell r="F513">
            <v>1</v>
          </cell>
          <cell r="G513" t="str">
            <v>IFA</v>
          </cell>
        </row>
        <row r="514">
          <cell r="A514" t="str">
            <v>KHF-00-104265-EA-2384-00508-0001-1</v>
          </cell>
          <cell r="B514" t="str">
            <v>AIP-PDO-P1701009-T-0340</v>
          </cell>
          <cell r="C514">
            <v>43219</v>
          </cell>
          <cell r="D514" t="str">
            <v>KHF-00-104265-EA-2384-00508-0001</v>
          </cell>
          <cell r="E514" t="str">
            <v>Proposed Camp - SMDB-3 - Single Line Diagram</v>
          </cell>
          <cell r="F514">
            <v>1</v>
          </cell>
          <cell r="G514" t="str">
            <v>IFA</v>
          </cell>
        </row>
        <row r="515">
          <cell r="A515" t="str">
            <v>KHF-00-104265-EA-4005-00501-0001-1</v>
          </cell>
          <cell r="B515" t="str">
            <v>AIP-PDO-P1701009-T-0340</v>
          </cell>
          <cell r="C515">
            <v>43219</v>
          </cell>
          <cell r="D515" t="str">
            <v>KHF-00-104265-EA-4005-00501-0001</v>
          </cell>
          <cell r="E515" t="str">
            <v>Proposed Camp - Cable Route Layout</v>
          </cell>
          <cell r="F515">
            <v>1</v>
          </cell>
          <cell r="G515" t="str">
            <v>IFA</v>
          </cell>
        </row>
        <row r="516">
          <cell r="A516" t="str">
            <v>KHF-00-104265-EA-4016-00504-0001-1</v>
          </cell>
          <cell r="B516" t="str">
            <v>AIP-PDO-P1701009-T-0340</v>
          </cell>
          <cell r="C516">
            <v>43219</v>
          </cell>
          <cell r="D516" t="str">
            <v>KHF-00-104265-EA-4016-00504-0001</v>
          </cell>
          <cell r="E516" t="str">
            <v>Proposed Camp - Fire Alarm Layout</v>
          </cell>
          <cell r="F516">
            <v>1</v>
          </cell>
          <cell r="G516" t="str">
            <v>IFA</v>
          </cell>
        </row>
        <row r="517">
          <cell r="A517" t="str">
            <v>KHF-00-104265-EA-4025-00503-0001-1</v>
          </cell>
          <cell r="B517" t="str">
            <v>AIP-PDO-P1701009-T-0340</v>
          </cell>
          <cell r="C517">
            <v>43219</v>
          </cell>
          <cell r="D517" t="str">
            <v>KHF-00-104265-EA-4025-00503-0001</v>
          </cell>
          <cell r="E517" t="str">
            <v>Proposed Camp - Lighting Layout</v>
          </cell>
          <cell r="F517">
            <v>1</v>
          </cell>
          <cell r="G517" t="str">
            <v>IFA</v>
          </cell>
        </row>
        <row r="518">
          <cell r="A518" t="str">
            <v>KHF-00-104265-EA-8809-00502-0001-1</v>
          </cell>
          <cell r="B518" t="str">
            <v>AIP-PDO-P1701009-T-0340</v>
          </cell>
          <cell r="C518">
            <v>43219</v>
          </cell>
          <cell r="D518" t="str">
            <v>KHF-00-104265-EA-8809-00502-0001</v>
          </cell>
          <cell r="E518" t="str">
            <v>Proposed Camp - Earthing Layout</v>
          </cell>
          <cell r="F518">
            <v>1</v>
          </cell>
          <cell r="G518" t="str">
            <v>IFA</v>
          </cell>
        </row>
        <row r="519">
          <cell r="A519" t="str">
            <v>KHF-00-104265-RA-6038-00105-0000-1</v>
          </cell>
          <cell r="B519" t="str">
            <v>AIP-PDO-P1701009-T-0341</v>
          </cell>
          <cell r="C519">
            <v>43219</v>
          </cell>
          <cell r="D519" t="str">
            <v>KHF-00-104265-RA-6038-00105-0000</v>
          </cell>
          <cell r="E519" t="str">
            <v>Procedure for Ultrasonic Testing of Pipelines Welds</v>
          </cell>
          <cell r="F519">
            <v>1</v>
          </cell>
          <cell r="G519" t="str">
            <v>IFA</v>
          </cell>
        </row>
        <row r="520">
          <cell r="A520" t="str">
            <v>KHF-00-104265-BA-6065-50081-0000-1</v>
          </cell>
          <cell r="B520" t="str">
            <v>AIP-PDO-P1701009-T-0342</v>
          </cell>
          <cell r="C520">
            <v>43219</v>
          </cell>
          <cell r="D520" t="str">
            <v>KHF-00-104265-BA-6065-50081-0000</v>
          </cell>
          <cell r="E520" t="str">
            <v>WPS Register - Structural</v>
          </cell>
          <cell r="F520">
            <v>1</v>
          </cell>
          <cell r="G520" t="str">
            <v>IFR</v>
          </cell>
        </row>
        <row r="521">
          <cell r="A521" t="str">
            <v>KHF-00-104265-BA-6065-50082-0000-1</v>
          </cell>
          <cell r="B521" t="str">
            <v>AIP-PDO-P1701009-T-0342</v>
          </cell>
          <cell r="C521">
            <v>43219</v>
          </cell>
          <cell r="D521" t="str">
            <v>KHF-00-104265-BA-6065-50082-0000</v>
          </cell>
          <cell r="E521" t="str">
            <v>Welding Procedure Specification (AIP-WPS-M-397 (C311527))- Carbon Steel : 3.0 mm to 14.0 mm</v>
          </cell>
          <cell r="F521">
            <v>1</v>
          </cell>
          <cell r="G521" t="str">
            <v>IFR</v>
          </cell>
        </row>
        <row r="522">
          <cell r="A522" t="str">
            <v>KHF-00-104265-RA-8241-51036-0000-1</v>
          </cell>
          <cell r="B522" t="str">
            <v>AIP-PDO-P1701009-T-0343</v>
          </cell>
          <cell r="C522">
            <v>43220</v>
          </cell>
          <cell r="D522" t="str">
            <v>KHF-00-104265-RA-8241-51036-0000</v>
          </cell>
          <cell r="E522" t="str">
            <v>Material Approval Sheet for 75MM Thick Extruded Polystyrene Insulation - 35 KG/CUM Density</v>
          </cell>
          <cell r="F522">
            <v>1</v>
          </cell>
          <cell r="G522" t="str">
            <v>IFA</v>
          </cell>
        </row>
        <row r="523">
          <cell r="A523" t="str">
            <v>KHF-00-104265-RA-8241-51037-0000-1</v>
          </cell>
          <cell r="B523" t="str">
            <v>AIP-PDO-P1701009-T-0343</v>
          </cell>
          <cell r="C523">
            <v>43220</v>
          </cell>
          <cell r="D523" t="str">
            <v>KHF-00-104265-RA-8241-51037-0000</v>
          </cell>
          <cell r="E523" t="str">
            <v>Material Approval Sheet for 50MM Thick Extruded Polystyrene Insulation - 35 KG/CUM Density</v>
          </cell>
          <cell r="F523">
            <v>1</v>
          </cell>
          <cell r="G523" t="str">
            <v>IFA</v>
          </cell>
        </row>
        <row r="524">
          <cell r="A524" t="str">
            <v>KHF-00-104265-CS-0580-10046-0000-1</v>
          </cell>
          <cell r="B524" t="str">
            <v>AIP-PDO-P1701009-T-0344</v>
          </cell>
          <cell r="C524">
            <v>43221</v>
          </cell>
          <cell r="D524" t="str">
            <v>KHF-00-104265-CS-0580-10046-0000</v>
          </cell>
          <cell r="E524" t="str">
            <v>Form work design &amp; structural analysis report for 132KV-GIS Substation Floor slab/beam</v>
          </cell>
          <cell r="F524">
            <v>1</v>
          </cell>
          <cell r="G524" t="str">
            <v>IFI</v>
          </cell>
        </row>
        <row r="525">
          <cell r="A525" t="str">
            <v>KHF-00-104265-RA-8241-51039-0000-1</v>
          </cell>
          <cell r="B525" t="str">
            <v>AIP-PDO-P1701009-T-0345</v>
          </cell>
          <cell r="C525">
            <v>43222</v>
          </cell>
          <cell r="D525" t="str">
            <v>KHF-00-104265-RA-8241-51039-0000</v>
          </cell>
          <cell r="E525" t="str">
            <v>Material Approval Sheet for 200 MM &amp; 100 MM Thick Solid Blocks (OPC) - 10.50 N/MM2</v>
          </cell>
          <cell r="F525">
            <v>1</v>
          </cell>
          <cell r="G525" t="str">
            <v>IFA</v>
          </cell>
        </row>
        <row r="526">
          <cell r="A526" t="str">
            <v>KHF-00-104265-RA-8241-51040-0000-1</v>
          </cell>
          <cell r="B526" t="str">
            <v>AIP-PDO-P1701009-T-0345</v>
          </cell>
          <cell r="C526">
            <v>43222</v>
          </cell>
          <cell r="D526" t="str">
            <v>KHF-00-104265-RA-8241-51040-0000</v>
          </cell>
          <cell r="E526" t="str">
            <v xml:space="preserve">Material Approval Sheet for Structural Steel Grade :  S275 JR for Hot Rolled Steel Flat Bars </v>
          </cell>
          <cell r="F526">
            <v>1</v>
          </cell>
          <cell r="G526" t="str">
            <v>IFA</v>
          </cell>
        </row>
        <row r="527">
          <cell r="A527" t="str">
            <v>KHF-00-104265-RA-8241-51042-0000-1</v>
          </cell>
          <cell r="B527" t="str">
            <v>AIP-PDO-P1701009-T-0345</v>
          </cell>
          <cell r="C527">
            <v>43222</v>
          </cell>
          <cell r="D527" t="str">
            <v>KHF-00-104265-RA-8241-51042-0000</v>
          </cell>
          <cell r="E527" t="str">
            <v xml:space="preserve">Material Approval Sheet for Earthing Materials </v>
          </cell>
          <cell r="F527">
            <v>1</v>
          </cell>
          <cell r="G527" t="str">
            <v>IFA</v>
          </cell>
        </row>
        <row r="528">
          <cell r="A528" t="str">
            <v>KHF-00-104265-RA-8241-51044-0000-1</v>
          </cell>
          <cell r="B528" t="str">
            <v>AIP-PDO-P1701009-T-0346</v>
          </cell>
          <cell r="C528">
            <v>43224</v>
          </cell>
          <cell r="D528" t="str">
            <v>KHF-00-104265-RA-8241-51044-0000</v>
          </cell>
          <cell r="E528" t="str">
            <v>Material Approval Sheet for Potable Water for Construction Purpose</v>
          </cell>
          <cell r="F528">
            <v>1</v>
          </cell>
          <cell r="G528" t="str">
            <v>IFA</v>
          </cell>
        </row>
        <row r="529">
          <cell r="A529" t="str">
            <v>KHF-00-104265-AA-3341-60073-0000-1</v>
          </cell>
          <cell r="B529" t="str">
            <v>AIP-PDO-P1701009-T-0347</v>
          </cell>
          <cell r="C529">
            <v>43225</v>
          </cell>
          <cell r="D529" t="str">
            <v>KHF-00-104265-AA-3341-60073-0000</v>
          </cell>
          <cell r="E529" t="str">
            <v>CV of Mr. Minesh Kumar Laroyian - Information Management Lead</v>
          </cell>
          <cell r="F529">
            <v>1</v>
          </cell>
          <cell r="G529" t="str">
            <v>IFA</v>
          </cell>
        </row>
        <row r="530">
          <cell r="A530" t="str">
            <v>KHF-00-104265-AA-3341-60074-0000-1</v>
          </cell>
          <cell r="B530" t="str">
            <v>AIP-PDO-P1701009-T-0348</v>
          </cell>
          <cell r="C530">
            <v>43226</v>
          </cell>
          <cell r="D530" t="str">
            <v>KHF-00-104265-AA-3341-60074-0000</v>
          </cell>
          <cell r="E530" t="str">
            <v>CV of Mr. Sunil Kumar Nayak - Welding Inspector - Pipelines</v>
          </cell>
          <cell r="F530">
            <v>1</v>
          </cell>
          <cell r="G530" t="str">
            <v>IFA</v>
          </cell>
        </row>
        <row r="531">
          <cell r="A531" t="str">
            <v>KHF-00-104265-AA-6944-10026-0000-1</v>
          </cell>
          <cell r="B531" t="str">
            <v>AIP-PDO-P1701009-T-0349</v>
          </cell>
          <cell r="C531">
            <v>43226</v>
          </cell>
          <cell r="D531" t="str">
            <v>KHF-00-104265-AA-6944-10026-0000</v>
          </cell>
          <cell r="E531" t="str">
            <v>Weekly Progress Report No.026</v>
          </cell>
          <cell r="F531">
            <v>1</v>
          </cell>
          <cell r="G531" t="str">
            <v>IFI</v>
          </cell>
        </row>
        <row r="532">
          <cell r="A532" t="str">
            <v>KHF-00-104265-BA-6065-00131-0000-1</v>
          </cell>
          <cell r="B532" t="str">
            <v>AIP-PDO-P1701009-T-0350</v>
          </cell>
          <cell r="C532">
            <v>43226</v>
          </cell>
          <cell r="D532" t="str">
            <v>KHF-00-104265-BA-6065-00131-0000</v>
          </cell>
          <cell r="E532" t="str">
            <v>Welding Procedure Specification - Mainline 16” PL5</v>
          </cell>
          <cell r="F532">
            <v>1</v>
          </cell>
          <cell r="G532" t="str">
            <v>IFR</v>
          </cell>
        </row>
        <row r="533">
          <cell r="A533" t="str">
            <v>KHF-00-104265-BA-6065-00132-0000-1</v>
          </cell>
          <cell r="B533" t="str">
            <v>AIP-PDO-P1701009-T-0350</v>
          </cell>
          <cell r="C533">
            <v>43226</v>
          </cell>
          <cell r="D533" t="str">
            <v>KHF-00-104265-BA-6065-00132-0000</v>
          </cell>
          <cell r="E533" t="str">
            <v>Welding Procedure Specification - Mainline 16” PL1 &amp; 2</v>
          </cell>
          <cell r="F533">
            <v>1</v>
          </cell>
          <cell r="G533" t="str">
            <v>IFR</v>
          </cell>
        </row>
        <row r="534">
          <cell r="A534" t="str">
            <v>KHF-00-104265-AA-6944-20007-0000-1</v>
          </cell>
          <cell r="B534" t="str">
            <v>AIP-PDO-P1701009-T-0351</v>
          </cell>
          <cell r="C534">
            <v>43226</v>
          </cell>
          <cell r="D534" t="str">
            <v>KHF-00-104265-AA-6944-20007-0000</v>
          </cell>
          <cell r="E534" t="str">
            <v>Monthly Progress Report No.007 (April 2018)</v>
          </cell>
          <cell r="F534">
            <v>1</v>
          </cell>
          <cell r="G534" t="str">
            <v>IFI</v>
          </cell>
        </row>
        <row r="535">
          <cell r="A535" t="str">
            <v>KHF-00-104265-AA-5760-10036-0000-1</v>
          </cell>
          <cell r="B535" t="str">
            <v>AIP-PDO-P1701009-T-0352</v>
          </cell>
          <cell r="C535">
            <v>43226</v>
          </cell>
          <cell r="D535" t="str">
            <v>KHF-00-104265-AA-5760-10036-0000</v>
          </cell>
          <cell r="E535" t="str">
            <v>Contract Execution Plan</v>
          </cell>
          <cell r="F535">
            <v>1</v>
          </cell>
          <cell r="G535" t="str">
            <v>IFR</v>
          </cell>
        </row>
        <row r="536">
          <cell r="A536" t="str">
            <v>KHF-00-104265-AA-3341-60075-0000-1</v>
          </cell>
          <cell r="B536" t="str">
            <v>AIP-PDO-P1701009-T-0353</v>
          </cell>
          <cell r="C536">
            <v>43227</v>
          </cell>
          <cell r="D536" t="str">
            <v>KHF-00-104265-AA-3341-60075-0000</v>
          </cell>
          <cell r="E536" t="str">
            <v>CV of Mr. Kamlesh Bhandari - Pipeline Coating Inspector</v>
          </cell>
          <cell r="F536">
            <v>1</v>
          </cell>
          <cell r="G536" t="str">
            <v>IFA</v>
          </cell>
        </row>
        <row r="537">
          <cell r="A537" t="str">
            <v>-</v>
          </cell>
          <cell r="B537" t="str">
            <v>AIP-PDO-P1701009-T-0354</v>
          </cell>
          <cell r="C537">
            <v>43228</v>
          </cell>
          <cell r="D537" t="str">
            <v>KHF-00-104265-QA-5798-00101-0000</v>
          </cell>
          <cell r="E537" t="str">
            <v>Project Quality Plan</v>
          </cell>
          <cell r="F537">
            <v>2</v>
          </cell>
          <cell r="G537" t="str">
            <v>IFA</v>
          </cell>
        </row>
        <row r="538">
          <cell r="A538" t="str">
            <v>KHF-00-104265-RA-8241-51041-0000-1</v>
          </cell>
          <cell r="B538" t="str">
            <v>AIP-PDO-P1701009-T-0355</v>
          </cell>
          <cell r="C538">
            <v>43228</v>
          </cell>
          <cell r="D538" t="str">
            <v>KHF-00-104265-RA-8241-51041-0000</v>
          </cell>
          <cell r="E538" t="str">
            <v>Material Approval Sheet for 200 MM &amp; 100 MM Thick Solid Blocks (OPC) - 10.50 N/MM2 and 200 MM Thick Solid Blocks (OPC) - 10.50 N/MM2 (2 Hours Fire Rated Block)</v>
          </cell>
          <cell r="F538">
            <v>1</v>
          </cell>
          <cell r="G538" t="str">
            <v>IFA</v>
          </cell>
        </row>
        <row r="539">
          <cell r="A539" t="str">
            <v>KHF-00-104265-RA-8241-51047-0000-1</v>
          </cell>
          <cell r="B539" t="str">
            <v>AIP-PDO-P1701009-T-0355</v>
          </cell>
          <cell r="C539">
            <v>43228</v>
          </cell>
          <cell r="D539" t="str">
            <v>KHF-00-104265-RA-8241-51047-0000</v>
          </cell>
          <cell r="E539" t="str">
            <v>Material Approval Sheet for Structural Steel Material S275 JR</v>
          </cell>
          <cell r="F539">
            <v>1</v>
          </cell>
          <cell r="G539" t="str">
            <v>IFA</v>
          </cell>
        </row>
        <row r="540">
          <cell r="A540" t="str">
            <v>KHF-00-104265-AA-6944-20007-0000-2</v>
          </cell>
          <cell r="B540" t="str">
            <v>AIP-PDO-P1701009-T-0356</v>
          </cell>
          <cell r="C540">
            <v>43228</v>
          </cell>
          <cell r="D540" t="str">
            <v>KHF-00-104265-AA-6944-20007-0000</v>
          </cell>
          <cell r="E540" t="str">
            <v>Monthly Progress Report No.007 (April 2018)</v>
          </cell>
          <cell r="F540">
            <v>2</v>
          </cell>
          <cell r="G540" t="str">
            <v>IFI</v>
          </cell>
        </row>
        <row r="541">
          <cell r="A541" t="str">
            <v>KHF-00-104265-RA-8241-51045-0000-1</v>
          </cell>
          <cell r="B541" t="str">
            <v>AIP-PDO-P1701009-T-0357</v>
          </cell>
          <cell r="C541">
            <v>43228</v>
          </cell>
          <cell r="D541" t="str">
            <v>KHF-00-104265-RA-8241-51045-0000</v>
          </cell>
          <cell r="E541" t="str">
            <v>Material Approval Sheet for Steel Doors Double Skinned Fire Rated</v>
          </cell>
          <cell r="F541">
            <v>1</v>
          </cell>
          <cell r="G541" t="str">
            <v>IFA</v>
          </cell>
        </row>
        <row r="542">
          <cell r="A542" t="str">
            <v>KHF-00-104265-QA-5733-00402-0000-2</v>
          </cell>
          <cell r="B542" t="str">
            <v>AIP-PDO-P1701009-T-0358</v>
          </cell>
          <cell r="C542">
            <v>43229</v>
          </cell>
          <cell r="D542" t="str">
            <v>KHF-00-104265-QA-5733-00402-0000</v>
          </cell>
          <cell r="E542" t="str">
            <v>Inspection &amp; Test Plan - Structural Steel Fabrication &amp; Welding</v>
          </cell>
          <cell r="F542">
            <v>2</v>
          </cell>
          <cell r="G542" t="str">
            <v>IFR</v>
          </cell>
        </row>
        <row r="543">
          <cell r="A543" t="str">
            <v>KHF-00-104265-QA-5733-00406-0000-2</v>
          </cell>
          <cell r="B543" t="str">
            <v>AIP-PDO-P1701009-T-0358</v>
          </cell>
          <cell r="C543">
            <v>43229</v>
          </cell>
          <cell r="D543" t="str">
            <v>KHF-00-104265-QA-5733-00406-0000</v>
          </cell>
          <cell r="E543" t="str">
            <v>Inspection &amp; Test Plan - Structural Steel Hot Dip Galvanizing</v>
          </cell>
          <cell r="F543">
            <v>2</v>
          </cell>
          <cell r="G543" t="str">
            <v>IFA</v>
          </cell>
        </row>
        <row r="544">
          <cell r="A544" t="str">
            <v>KHF-00-104265-RA-8241-51043-0000-1</v>
          </cell>
          <cell r="B544" t="str">
            <v>AIP-PDO-P1701009-T-0359</v>
          </cell>
          <cell r="C544">
            <v>43230</v>
          </cell>
          <cell r="D544" t="str">
            <v>KHF-00-104265-RA-8241-51043-0000</v>
          </cell>
          <cell r="E544" t="str">
            <v>Material Approval Sheet for Ironmongery (Doors)</v>
          </cell>
          <cell r="F544">
            <v>1</v>
          </cell>
          <cell r="G544" t="str">
            <v>IFA</v>
          </cell>
        </row>
        <row r="545">
          <cell r="A545" t="str">
            <v>KHF-00-104265-QA-5733-22010-0000-3</v>
          </cell>
          <cell r="B545" t="str">
            <v>AIP-PDO-P1701009-T-0360</v>
          </cell>
          <cell r="C545">
            <v>43233</v>
          </cell>
          <cell r="D545" t="str">
            <v>KHF-00-104265-QA-5733-22010-0000</v>
          </cell>
          <cell r="E545" t="str">
            <v>Inspection &amp; Test Plan for Installation of HRSG Stacks</v>
          </cell>
          <cell r="F545">
            <v>3</v>
          </cell>
          <cell r="G545" t="str">
            <v>IFA</v>
          </cell>
        </row>
        <row r="546">
          <cell r="A546" t="str">
            <v>KHF-00-104265-QA-5733-23001-0000-2</v>
          </cell>
          <cell r="B546" t="str">
            <v>AIP-PDO-P1701009-T-0360</v>
          </cell>
          <cell r="C546">
            <v>43233</v>
          </cell>
          <cell r="D546" t="str">
            <v>KHF-00-104265-QA-5733-23001-0000</v>
          </cell>
          <cell r="E546" t="str">
            <v>Inspection &amp; Test Plan for HV/LV Cable Lying &amp; Testing</v>
          </cell>
          <cell r="F546">
            <v>2</v>
          </cell>
          <cell r="G546" t="str">
            <v>IFA</v>
          </cell>
        </row>
        <row r="547">
          <cell r="A547" t="str">
            <v>KHF-00-104265-QA-5733-23002-0000-3</v>
          </cell>
          <cell r="B547" t="str">
            <v>AIP-PDO-P1701009-T-0360</v>
          </cell>
          <cell r="C547">
            <v>43233</v>
          </cell>
          <cell r="D547" t="str">
            <v>KHF-00-104265-QA-5733-23002-0000</v>
          </cell>
          <cell r="E547" t="str">
            <v>Inspection &amp; Test Plan for HV/LV Glanding &amp; Termination</v>
          </cell>
          <cell r="F547">
            <v>3</v>
          </cell>
          <cell r="G547" t="str">
            <v>IFA</v>
          </cell>
        </row>
        <row r="548">
          <cell r="A548" t="str">
            <v>KHF-00-104265-QA-5733-23003-0000-3</v>
          </cell>
          <cell r="B548" t="str">
            <v>AIP-PDO-P1701009-T-0360</v>
          </cell>
          <cell r="C548">
            <v>43233</v>
          </cell>
          <cell r="D548" t="str">
            <v>KHF-00-104265-QA-5733-23003-0000</v>
          </cell>
          <cell r="E548" t="str">
            <v>Inspection &amp; Test Plan for Switchgear Installation Works</v>
          </cell>
          <cell r="F548">
            <v>3</v>
          </cell>
          <cell r="G548" t="str">
            <v>IFA</v>
          </cell>
        </row>
        <row r="549">
          <cell r="A549" t="str">
            <v>KHF-00-104265-QA-5733-23005-0000-2</v>
          </cell>
          <cell r="B549" t="str">
            <v>AIP-PDO-P1701009-T-0360</v>
          </cell>
          <cell r="C549">
            <v>43233</v>
          </cell>
          <cell r="D549" t="str">
            <v>KHF-00-104265-QA-5733-23005-0000</v>
          </cell>
          <cell r="E549" t="str">
            <v>Inspection &amp; Test Plan for Earthing Works</v>
          </cell>
          <cell r="F549">
            <v>2</v>
          </cell>
          <cell r="G549" t="str">
            <v>IFA</v>
          </cell>
        </row>
        <row r="550">
          <cell r="A550" t="str">
            <v>KHF-00-104265-AA-6944-10027-0000-1</v>
          </cell>
          <cell r="B550" t="str">
            <v>AIP-PDO-P1701009-T-0361</v>
          </cell>
          <cell r="C550">
            <v>43230</v>
          </cell>
          <cell r="D550" t="str">
            <v>KHF-00-104265-AA-6944-10027-0000</v>
          </cell>
          <cell r="E550" t="str">
            <v>Weekly Progress Report No.027</v>
          </cell>
          <cell r="F550">
            <v>1</v>
          </cell>
          <cell r="G550" t="str">
            <v>IFI</v>
          </cell>
        </row>
        <row r="551">
          <cell r="A551" t="str">
            <v>KHF-00-104265-BA-6070-41003-0000-1</v>
          </cell>
          <cell r="B551" t="str">
            <v>AIP-PDO-P1701009-T-0362</v>
          </cell>
          <cell r="C551">
            <v>43233</v>
          </cell>
          <cell r="D551" t="str">
            <v>KHF-00-104265-BA-6070-41003-0000</v>
          </cell>
          <cell r="E551" t="str">
            <v>Method Statement for Application of Tanking Membrane</v>
          </cell>
          <cell r="F551">
            <v>1</v>
          </cell>
          <cell r="G551" t="str">
            <v>IFR</v>
          </cell>
        </row>
        <row r="552">
          <cell r="A552" t="str">
            <v>KHF-00-104265-QA-5798-00101-0000-3</v>
          </cell>
          <cell r="B552" t="str">
            <v>AIP-PDO-P1701009-T-0363</v>
          </cell>
          <cell r="C552">
            <v>43233</v>
          </cell>
          <cell r="D552" t="str">
            <v>KHF-00-104265-QA-5798-00101-0000</v>
          </cell>
          <cell r="E552" t="str">
            <v>Project Quality Plan</v>
          </cell>
          <cell r="F552">
            <v>3</v>
          </cell>
          <cell r="G552" t="str">
            <v>IFA</v>
          </cell>
        </row>
        <row r="553">
          <cell r="A553" t="str">
            <v>KHF-00-104265-AA-6619-10038-0000-1</v>
          </cell>
          <cell r="B553" t="str">
            <v>AIP-PDO-P1701009-T-0364</v>
          </cell>
          <cell r="C553">
            <v>43233</v>
          </cell>
          <cell r="D553" t="str">
            <v>KHF-00-104265-AA-6619-10038-0000</v>
          </cell>
          <cell r="E553" t="str">
            <v>Project Risk Register</v>
          </cell>
          <cell r="F553">
            <v>1</v>
          </cell>
          <cell r="G553" t="str">
            <v>IFI</v>
          </cell>
        </row>
        <row r="554">
          <cell r="A554" t="str">
            <v>-</v>
          </cell>
          <cell r="B554" t="str">
            <v>AIP-PDO-P1701009-T-0365</v>
          </cell>
          <cell r="C554">
            <v>43233</v>
          </cell>
          <cell r="D554" t="str">
            <v>KHF-00-104265-BA-6070-00120-0000</v>
          </cell>
          <cell r="E554" t="str">
            <v>Method Statement for Hydrotesting of GRE Pipeline</v>
          </cell>
          <cell r="F554">
            <v>1</v>
          </cell>
          <cell r="G554" t="str">
            <v>cancelled</v>
          </cell>
        </row>
        <row r="555">
          <cell r="A555" t="str">
            <v>-</v>
          </cell>
          <cell r="B555" t="str">
            <v>AIP-PDO-P1701009-T-0365</v>
          </cell>
          <cell r="C555">
            <v>43233</v>
          </cell>
          <cell r="D555" t="str">
            <v>KHF-00-104265-MP-6180-00133-0000</v>
          </cell>
          <cell r="E555" t="str">
            <v>Method Statement for Coating with HEMPADUR 87550 (PCS 02A)</v>
          </cell>
          <cell r="F555">
            <v>3</v>
          </cell>
          <cell r="G555" t="str">
            <v>cancelled</v>
          </cell>
        </row>
        <row r="556">
          <cell r="A556" t="str">
            <v>KHF-00-104265-AA-3341-60076-0000-1</v>
          </cell>
          <cell r="B556" t="str">
            <v>AIP-PDO-P1701009-T-0366</v>
          </cell>
          <cell r="C556">
            <v>43233</v>
          </cell>
          <cell r="D556" t="str">
            <v>KHF-00-104265-AA-3341-60076-0000</v>
          </cell>
          <cell r="E556" t="str">
            <v>CV of Mr. GREGORY SKARIA AYYAMKULANGARA - COMPLETION ENGINEER</v>
          </cell>
          <cell r="F556">
            <v>1</v>
          </cell>
          <cell r="G556" t="str">
            <v>IFA</v>
          </cell>
        </row>
        <row r="557">
          <cell r="A557" t="str">
            <v>KHF-00-104265-RA-8241-51046-0000-1</v>
          </cell>
          <cell r="B557" t="str">
            <v>AIP-PDO-P1701009-T-0367</v>
          </cell>
          <cell r="C557">
            <v>43234</v>
          </cell>
          <cell r="D557" t="str">
            <v>KHF-00-104265-RA-8241-51046-0000</v>
          </cell>
          <cell r="E557" t="str">
            <v>Material Approval Sheet for UPVC Sleeves</v>
          </cell>
          <cell r="F557">
            <v>1</v>
          </cell>
          <cell r="G557" t="str">
            <v>IFA</v>
          </cell>
        </row>
        <row r="558">
          <cell r="A558" t="str">
            <v>KHF-00-104265-QA-6050-00110-0000-3</v>
          </cell>
          <cell r="B558" t="str">
            <v>AIP-PDO-P1701009-T-0368</v>
          </cell>
          <cell r="C558">
            <v>43235</v>
          </cell>
          <cell r="D558" t="str">
            <v>KHF-00-104265-QA-6050-00110-0000</v>
          </cell>
          <cell r="E558" t="str">
            <v>Quality Control Plan for GRE Pipeline Installation &amp; Testing of Adhesive Bonding</v>
          </cell>
          <cell r="F558">
            <v>3</v>
          </cell>
          <cell r="G558" t="str">
            <v>IFA</v>
          </cell>
        </row>
        <row r="559">
          <cell r="A559" t="str">
            <v>KHF-00-104265-AA-3341-60077-0000-1</v>
          </cell>
          <cell r="B559" t="str">
            <v>AIP-PDO-P1701009-T-0369</v>
          </cell>
          <cell r="C559">
            <v>43235</v>
          </cell>
          <cell r="D559" t="str">
            <v>KHF-00-104265-AA-3341-60077-0000</v>
          </cell>
          <cell r="E559" t="str">
            <v>CV of Mr. Dixon P Davis - Welding Inspector Pipeline</v>
          </cell>
          <cell r="F559">
            <v>1</v>
          </cell>
          <cell r="G559" t="str">
            <v>IFA</v>
          </cell>
        </row>
        <row r="560">
          <cell r="A560" t="str">
            <v>KHF-00-104265-QA-5733-21006-0000-2</v>
          </cell>
          <cell r="B560" t="str">
            <v>AIP-PDO-P1701009-T-0370</v>
          </cell>
          <cell r="C560">
            <v>43236</v>
          </cell>
          <cell r="D560" t="str">
            <v>KHF-00-104265-QA-5733-21006-0000</v>
          </cell>
          <cell r="E560" t="str">
            <v>Inspection &amp; Test Plan for Concrete Works</v>
          </cell>
          <cell r="F560">
            <v>2</v>
          </cell>
          <cell r="G560" t="str">
            <v>IFA</v>
          </cell>
        </row>
        <row r="561">
          <cell r="A561" t="str">
            <v>KHF-00-104265-AA-3341-00109-0000-1</v>
          </cell>
          <cell r="B561" t="str">
            <v>AIP-PDO-P1701009-T-0371</v>
          </cell>
          <cell r="C561">
            <v>43237</v>
          </cell>
          <cell r="D561" t="str">
            <v>KHF-00-104265-AA-3341-00109-0000</v>
          </cell>
          <cell r="E561" t="str">
            <v>CV of Mr. S.Govind Prabhu - Hydrotesting Engineer for GRE and CS Pipeline</v>
          </cell>
          <cell r="F561">
            <v>1</v>
          </cell>
          <cell r="G561" t="str">
            <v>IFA</v>
          </cell>
        </row>
        <row r="562">
          <cell r="A562" t="str">
            <v>KHF-00-104265-AA-3341-00110-0000-1</v>
          </cell>
          <cell r="B562" t="str">
            <v>AIP-PDO-P1701009-T-0371</v>
          </cell>
          <cell r="C562">
            <v>43237</v>
          </cell>
          <cell r="D562" t="str">
            <v>KHF-00-104265-AA-3341-00110-0000</v>
          </cell>
          <cell r="E562" t="str">
            <v>CV of Mr. MD Rashid Jamal - Hydrotesting Engineer for GRE and CS Pipeline</v>
          </cell>
          <cell r="F562">
            <v>1</v>
          </cell>
          <cell r="G562" t="str">
            <v>IFA</v>
          </cell>
        </row>
        <row r="563">
          <cell r="A563" t="str">
            <v>KHF-00-104265-AA-3341-00111-0000-1</v>
          </cell>
          <cell r="B563" t="str">
            <v>AIP-PDO-P1701009-T-0372</v>
          </cell>
          <cell r="C563">
            <v>43237</v>
          </cell>
          <cell r="D563" t="str">
            <v>KHF-00-104265-AA-3341-00111-0000</v>
          </cell>
          <cell r="E563" t="str">
            <v>CV of Mr. Mohd. Khalik Ansari_NDT Technician</v>
          </cell>
          <cell r="F563">
            <v>1</v>
          </cell>
          <cell r="G563" t="str">
            <v>IFA</v>
          </cell>
        </row>
        <row r="564">
          <cell r="A564" t="str">
            <v>KHF-00-104265-AA-3341-00112-0000-1</v>
          </cell>
          <cell r="B564" t="str">
            <v>AIP-PDO-P1701009-T-0372</v>
          </cell>
          <cell r="C564">
            <v>43237</v>
          </cell>
          <cell r="D564" t="str">
            <v>KHF-00-104265-AA-3341-00112-0000</v>
          </cell>
          <cell r="E564" t="str">
            <v>CV of Mr. Madhu Desalanka_NDT Technician</v>
          </cell>
          <cell r="F564">
            <v>1</v>
          </cell>
          <cell r="G564" t="str">
            <v>IFA</v>
          </cell>
        </row>
        <row r="565">
          <cell r="A565" t="str">
            <v>KHF-00-104265-AA-3341-00113-0000-1</v>
          </cell>
          <cell r="B565" t="str">
            <v>AIP-PDO-P1701009-T-0372</v>
          </cell>
          <cell r="C565">
            <v>43237</v>
          </cell>
          <cell r="D565" t="str">
            <v>KHF-00-104265-AA-3341-00113-0000</v>
          </cell>
          <cell r="E565" t="str">
            <v>CV of Mr. Mohammed Alimuddin_ NDT Technician</v>
          </cell>
          <cell r="F565">
            <v>1</v>
          </cell>
          <cell r="G565" t="str">
            <v>IFA</v>
          </cell>
        </row>
        <row r="566">
          <cell r="A566" t="str">
            <v>KHF-00-104265-AA-3341-00114-0000-1</v>
          </cell>
          <cell r="B566" t="str">
            <v>AIP-PDO-P1701009-T-0372</v>
          </cell>
          <cell r="C566">
            <v>43237</v>
          </cell>
          <cell r="D566" t="str">
            <v>KHF-00-104265-AA-3341-00114-0000</v>
          </cell>
          <cell r="E566" t="str">
            <v>CV of Mr. Gore Bahadur Sen_ NDT Technician</v>
          </cell>
          <cell r="F566">
            <v>1</v>
          </cell>
          <cell r="G566" t="str">
            <v>IFA</v>
          </cell>
        </row>
        <row r="567">
          <cell r="A567" t="str">
            <v>KHF-00-104265-QA-6050-00103-0000-1</v>
          </cell>
          <cell r="B567" t="str">
            <v>AIP-PDO-P1701009-T-0373</v>
          </cell>
          <cell r="C567">
            <v>43237</v>
          </cell>
          <cell r="D567" t="str">
            <v>KHF-00-104265-QA-6050-00103-0000</v>
          </cell>
          <cell r="E567" t="str">
            <v>Quality Control Plan for Concrete Works</v>
          </cell>
          <cell r="F567">
            <v>1</v>
          </cell>
          <cell r="G567" t="str">
            <v>IFR</v>
          </cell>
        </row>
        <row r="568">
          <cell r="A568" t="str">
            <v>KHF-00-104265-BA-6070-00120-0000-1</v>
          </cell>
          <cell r="B568" t="str">
            <v>AIP-PDO-P1701009-T-0374</v>
          </cell>
          <cell r="C568">
            <v>43237</v>
          </cell>
          <cell r="D568" t="str">
            <v>KHF-00-104265-BA-6070-00120-0000</v>
          </cell>
          <cell r="E568" t="str">
            <v>Method Statement for Hydrotesting of GRE Pipeline</v>
          </cell>
          <cell r="F568">
            <v>1</v>
          </cell>
          <cell r="G568" t="str">
            <v>IFR</v>
          </cell>
        </row>
        <row r="569">
          <cell r="A569" t="str">
            <v>KHF-00-104265-AA-3341-60078-0000-1</v>
          </cell>
          <cell r="B569" t="str">
            <v>AIP-PDO-P1701009-T-0375</v>
          </cell>
          <cell r="C569">
            <v>43240</v>
          </cell>
          <cell r="D569" t="str">
            <v>KHF-00-104265-AA-3341-60078-0000</v>
          </cell>
          <cell r="E569" t="str">
            <v>CV of Mr. B. Sambathkumar - Flawless Project Delivery (FPD) Coordinator</v>
          </cell>
          <cell r="F569">
            <v>1</v>
          </cell>
          <cell r="G569" t="str">
            <v>IFA</v>
          </cell>
        </row>
        <row r="570">
          <cell r="A570" t="str">
            <v>KHF-00-104265-FA-5765-10040-0000-3</v>
          </cell>
          <cell r="B570" t="str">
            <v>AIP-PDO-P1701009-T-0376</v>
          </cell>
          <cell r="C570">
            <v>43240</v>
          </cell>
          <cell r="D570" t="str">
            <v>KHF-00-104265-FA-5765-10040-0000</v>
          </cell>
          <cell r="E570" t="str">
            <v>Project Schedule - Level 04</v>
          </cell>
          <cell r="F570">
            <v>3</v>
          </cell>
          <cell r="G570" t="str">
            <v>IFA</v>
          </cell>
        </row>
        <row r="571">
          <cell r="A571" t="str">
            <v>KHF-00-104265-AA-6944-10028-0000-1</v>
          </cell>
          <cell r="B571" t="str">
            <v>AIP-PDO-P1701009-T-0377</v>
          </cell>
          <cell r="C571">
            <v>43240</v>
          </cell>
          <cell r="D571" t="str">
            <v>KHF-00-104265-AA-6944-10028-0000</v>
          </cell>
          <cell r="E571" t="str">
            <v>Weekly Progress Report No.028</v>
          </cell>
          <cell r="F571">
            <v>1</v>
          </cell>
          <cell r="G571" t="str">
            <v>IFI</v>
          </cell>
        </row>
        <row r="572">
          <cell r="A572" t="str">
            <v>KHF-00-104265-AA-6944-20007-0000-3</v>
          </cell>
          <cell r="B572" t="str">
            <v>AIP-PDO-P1701009-T-0378</v>
          </cell>
          <cell r="C572">
            <v>43240</v>
          </cell>
          <cell r="D572" t="str">
            <v>KHF-00-104265-AA-6944-20007-0000</v>
          </cell>
          <cell r="E572" t="str">
            <v>Monthly Progress Report No.007 (April 2018)</v>
          </cell>
          <cell r="F572">
            <v>3</v>
          </cell>
          <cell r="G572" t="str">
            <v>IFI</v>
          </cell>
        </row>
        <row r="573">
          <cell r="A573" t="str">
            <v>KHF-00-104265-QA-5733-24001-0000-3</v>
          </cell>
          <cell r="B573" t="str">
            <v>AIP-PDO-P1701009-T-0379</v>
          </cell>
          <cell r="C573">
            <v>43241</v>
          </cell>
          <cell r="D573" t="str">
            <v>KHF-00-104265-QA-5733-24001-0000</v>
          </cell>
          <cell r="E573" t="str">
            <v>Inspection &amp; Test Plan for Instrument Cable Laying &amp; Cable Tray Installation</v>
          </cell>
          <cell r="F573">
            <v>3</v>
          </cell>
          <cell r="G573" t="str">
            <v>IFA</v>
          </cell>
        </row>
        <row r="574">
          <cell r="A574" t="str">
            <v>KHF-00-104265-RA-8241-51048-0000-1</v>
          </cell>
          <cell r="B574" t="str">
            <v>AIP-PDO-P1701009-T-0380</v>
          </cell>
          <cell r="C574">
            <v>43242</v>
          </cell>
          <cell r="D574" t="str">
            <v>KHF-00-104265-RA-8241-51048-0000</v>
          </cell>
          <cell r="E574" t="str">
            <v>Material Approval Sheet for Washed Sand (Fine Aggregate)</v>
          </cell>
          <cell r="F574">
            <v>1</v>
          </cell>
          <cell r="G574" t="str">
            <v>IFA</v>
          </cell>
        </row>
        <row r="575">
          <cell r="A575" t="str">
            <v>KHF-00-104265-RA-6038-00107-0000-1</v>
          </cell>
          <cell r="B575" t="str">
            <v>AIP-PDO-P1701009-T-0381</v>
          </cell>
          <cell r="C575">
            <v>43243</v>
          </cell>
          <cell r="D575" t="str">
            <v>KHF-00-104265-RA-6038-00107-0000</v>
          </cell>
          <cell r="E575" t="str">
            <v>Procedure for Radiation Safety</v>
          </cell>
          <cell r="F575">
            <v>1</v>
          </cell>
          <cell r="G575" t="str">
            <v>IFR</v>
          </cell>
        </row>
        <row r="576">
          <cell r="A576" t="str">
            <v>KHF-00-104265-QA-6180-00137-0000-1</v>
          </cell>
          <cell r="B576" t="str">
            <v>AIP-PDO-P1701009-T-0382</v>
          </cell>
          <cell r="C576">
            <v>43243</v>
          </cell>
          <cell r="D576" t="str">
            <v>KHF-00-104265-QA-6180-00137-0000</v>
          </cell>
          <cell r="E576" t="str">
            <v>Procedure for New Electrode Batch testing</v>
          </cell>
          <cell r="F576">
            <v>1</v>
          </cell>
          <cell r="G576" t="str">
            <v>IFR</v>
          </cell>
        </row>
        <row r="577">
          <cell r="A577" t="str">
            <v>KHF-00-104265-AA-3341-00115-0000-1</v>
          </cell>
          <cell r="B577" t="str">
            <v>AIP-PDO-P1701009-T-0383</v>
          </cell>
          <cell r="C577">
            <v>43243</v>
          </cell>
          <cell r="D577" t="str">
            <v>KHF-00-104265-AA-3341-00115-0000</v>
          </cell>
          <cell r="E577" t="str">
            <v>CV of Mr. Fernandes Phardy - NDT Technician</v>
          </cell>
          <cell r="F577">
            <v>1</v>
          </cell>
          <cell r="G577" t="str">
            <v>IFA</v>
          </cell>
        </row>
        <row r="578">
          <cell r="A578" t="str">
            <v>KHF-00-104265-AA-3341-00116-0000-1</v>
          </cell>
          <cell r="B578" t="str">
            <v>AIP-PDO-P1701009-T-0383</v>
          </cell>
          <cell r="C578">
            <v>43243</v>
          </cell>
          <cell r="D578" t="str">
            <v>KHF-00-104265-AA-3341-00116-0000</v>
          </cell>
          <cell r="E578" t="str">
            <v>CV of Mr. Nilratan Ojha - NDT Technician</v>
          </cell>
          <cell r="F578">
            <v>1</v>
          </cell>
          <cell r="G578" t="str">
            <v>IFA</v>
          </cell>
        </row>
        <row r="579">
          <cell r="A579" t="str">
            <v>KHF-00-104265-AA-3341-00117-0000-1</v>
          </cell>
          <cell r="B579" t="str">
            <v>AIP-PDO-P1701009-T-0384</v>
          </cell>
          <cell r="C579">
            <v>43243</v>
          </cell>
          <cell r="D579" t="str">
            <v>KHF-00-104265-AA-3341-00117-0000</v>
          </cell>
          <cell r="E579" t="str">
            <v>CV of Mr. Sangeeth- GRE Pipeline Hydro testing Engineer (including 500m initial test)</v>
          </cell>
          <cell r="F579">
            <v>1</v>
          </cell>
          <cell r="G579" t="str">
            <v>IFA</v>
          </cell>
        </row>
        <row r="580">
          <cell r="A580" t="str">
            <v>KHF-00-104265-BA-6070-00403-0000-2</v>
          </cell>
          <cell r="B580" t="str">
            <v>AIP-PDO-P1701009-T-0385</v>
          </cell>
          <cell r="C580">
            <v>43243</v>
          </cell>
          <cell r="D580" t="str">
            <v>KHF-00-104265-BA-6070-00403-0000</v>
          </cell>
          <cell r="E580" t="str">
            <v>Method Statement for Structural Steel Fabrication &amp; Welding</v>
          </cell>
          <cell r="F580">
            <v>2</v>
          </cell>
          <cell r="G580" t="str">
            <v>IFA</v>
          </cell>
        </row>
        <row r="581">
          <cell r="A581" t="str">
            <v>KHF-00-104265-RA-6038-00405-0000-1</v>
          </cell>
          <cell r="B581" t="str">
            <v>AIP-PDO-P1701009-T-0386</v>
          </cell>
          <cell r="C581">
            <v>43243</v>
          </cell>
          <cell r="D581" t="str">
            <v>KHF-00-104265-RA-6038-00405-0000</v>
          </cell>
          <cell r="E581" t="str">
            <v>Procedure - Magnetic particle Examination for Structural Steel Works</v>
          </cell>
          <cell r="F581">
            <v>1</v>
          </cell>
          <cell r="G581" t="str">
            <v>IFR</v>
          </cell>
        </row>
        <row r="582">
          <cell r="A582" t="str">
            <v>-</v>
          </cell>
          <cell r="B582" t="str">
            <v>AIP-PDO-P1701009-T-0387</v>
          </cell>
          <cell r="C582">
            <v>43244</v>
          </cell>
          <cell r="D582" t="str">
            <v>KHF-00-104265-HX-6180-10044-0000</v>
          </cell>
          <cell r="E582" t="str">
            <v>Method Statement for Undertaking Night Working for Civil Works of 132 KV GIS Building</v>
          </cell>
          <cell r="F582">
            <v>3</v>
          </cell>
          <cell r="G582" t="str">
            <v>cancelled</v>
          </cell>
        </row>
        <row r="583">
          <cell r="A583" t="str">
            <v>KHF-00-104265-AA-6944-10029-0000-1</v>
          </cell>
          <cell r="B583" t="str">
            <v>AIP-PDO-P1701009-T-0388</v>
          </cell>
          <cell r="C583">
            <v>43247</v>
          </cell>
          <cell r="D583" t="str">
            <v>KHF-00-104265-AA-6944-10029-0000</v>
          </cell>
          <cell r="E583" t="str">
            <v>Weekly Progress Report No.029</v>
          </cell>
          <cell r="F583">
            <v>1</v>
          </cell>
          <cell r="G583" t="str">
            <v>IFI</v>
          </cell>
        </row>
        <row r="584">
          <cell r="A584" t="str">
            <v>KHF-00-104265-RA-8241-51050-0000-1</v>
          </cell>
          <cell r="B584" t="str">
            <v>AIP-PDO-P1701009-T-0389</v>
          </cell>
          <cell r="C584">
            <v>43247</v>
          </cell>
          <cell r="D584" t="str">
            <v>KHF-00-104265-RA-8241-51050-0000</v>
          </cell>
          <cell r="E584" t="str">
            <v>Material Approval Sheet for Roof Waterproofing System</v>
          </cell>
          <cell r="F584">
            <v>1</v>
          </cell>
          <cell r="G584" t="str">
            <v>IFA</v>
          </cell>
        </row>
        <row r="585">
          <cell r="A585" t="str">
            <v>KHF-00-104265-CS-0580-10047-0000-1</v>
          </cell>
          <cell r="B585" t="str">
            <v>AIP-PDO-P1701009-T-0390</v>
          </cell>
          <cell r="C585">
            <v>43247</v>
          </cell>
          <cell r="D585" t="str">
            <v>KHF-00-104265-CS-0580-10047-0000</v>
          </cell>
          <cell r="E585" t="str">
            <v>Structural Analysis Report for GTG Substation and Control Building First Floor Slab Formwork</v>
          </cell>
          <cell r="F585">
            <v>1</v>
          </cell>
          <cell r="G585" t="str">
            <v>IFI</v>
          </cell>
        </row>
        <row r="586">
          <cell r="A586" t="str">
            <v>KHF-00-104265-AA-3341-60079-0000-1</v>
          </cell>
          <cell r="B586" t="str">
            <v>AIP-PDO-P1701009-T-0391</v>
          </cell>
          <cell r="C586">
            <v>43247</v>
          </cell>
          <cell r="D586" t="str">
            <v>KHF-00-104265-AA-3341-60079-0000</v>
          </cell>
          <cell r="E586" t="str">
            <v>CV of Mr. DHARMA RAO DRONADULA - ELECTRICAL QC INSPECTOR</v>
          </cell>
          <cell r="F586">
            <v>1</v>
          </cell>
          <cell r="G586" t="str">
            <v>IFA</v>
          </cell>
        </row>
        <row r="587">
          <cell r="A587" t="str">
            <v>KHF-00-104265-RA-8241-51051-0000-1</v>
          </cell>
          <cell r="B587" t="str">
            <v>AIP-PDO-P1701009-T-0392</v>
          </cell>
          <cell r="C587">
            <v>43247</v>
          </cell>
          <cell r="D587" t="str">
            <v>KHF-00-104265-RA-8241-51051-0000</v>
          </cell>
          <cell r="E587" t="str">
            <v>Material Approval Sheet for Raised Access Floor</v>
          </cell>
          <cell r="F587">
            <v>1</v>
          </cell>
          <cell r="G587" t="str">
            <v>IFA</v>
          </cell>
        </row>
        <row r="588">
          <cell r="A588" t="str">
            <v>KHF-00-104265-QA-6050-00105-0000-4</v>
          </cell>
          <cell r="B588" t="str">
            <v>AIP-PDO-P1701009-T-0393</v>
          </cell>
          <cell r="C588">
            <v>43247</v>
          </cell>
          <cell r="D588" t="str">
            <v>KHF-00-104265-QA-6050-00105-0000</v>
          </cell>
          <cell r="E588" t="str">
            <v>Quality Control Plan for Welding of Pipeline</v>
          </cell>
          <cell r="F588">
            <v>4</v>
          </cell>
          <cell r="G588" t="str">
            <v>IFA</v>
          </cell>
        </row>
        <row r="589">
          <cell r="A589" t="str">
            <v>KHF-00-104265-QA-6050-00110-0000-4</v>
          </cell>
          <cell r="B589" t="str">
            <v>AIP-PDO-P1701009-T-0393</v>
          </cell>
          <cell r="C589">
            <v>43247</v>
          </cell>
          <cell r="D589" t="str">
            <v>KHF-00-104265-QA-6050-00110-0000</v>
          </cell>
          <cell r="E589" t="str">
            <v>Quality Control Plan for GRE Pipeline Installation &amp; Testing of Adhesive Bonding</v>
          </cell>
          <cell r="F589">
            <v>4</v>
          </cell>
          <cell r="G589" t="str">
            <v>IFA</v>
          </cell>
        </row>
        <row r="590">
          <cell r="A590" t="str">
            <v>KHF-00-104265-QA-6050-00106-0000-3</v>
          </cell>
          <cell r="B590" t="str">
            <v>AIP-PDO-P1701009-T-0394</v>
          </cell>
          <cell r="C590">
            <v>43249</v>
          </cell>
          <cell r="D590" t="str">
            <v>KHF-00-104265-QA-6050-00106-0000</v>
          </cell>
          <cell r="E590" t="str">
            <v>Quality Control Plan for Installation of CS Pipelines</v>
          </cell>
          <cell r="F590">
            <v>3</v>
          </cell>
          <cell r="G590" t="str">
            <v>IFA</v>
          </cell>
        </row>
        <row r="591">
          <cell r="A591" t="str">
            <v>Rejected by PDO</v>
          </cell>
          <cell r="B591" t="str">
            <v>AIP-PDO-P1701009-T-0395</v>
          </cell>
          <cell r="C591">
            <v>43249</v>
          </cell>
          <cell r="D591" t="str">
            <v>KHF-00-104265-RA-8241-51049-0000</v>
          </cell>
          <cell r="E591" t="str">
            <v>Material Approval Sheet for Agency Proposed Structural Fabrication, Coating and Galvanizing</v>
          </cell>
          <cell r="F591">
            <v>1</v>
          </cell>
          <cell r="G591" t="str">
            <v>rejected by PDO</v>
          </cell>
        </row>
        <row r="592">
          <cell r="A592" t="str">
            <v>KHF-00-104265-AA-6180-10023-0000-3</v>
          </cell>
          <cell r="B592" t="str">
            <v>AIP-PDO-P1701009-T-0396</v>
          </cell>
          <cell r="C592">
            <v>43249</v>
          </cell>
          <cell r="D592" t="str">
            <v>KHF-00-104265-AA-6180-10023-0000</v>
          </cell>
          <cell r="E592" t="str">
            <v>Procedure for Technical Deviation &amp; Technical Query</v>
          </cell>
          <cell r="F592">
            <v>3</v>
          </cell>
          <cell r="G592" t="str">
            <v>IFA</v>
          </cell>
        </row>
        <row r="593">
          <cell r="A593" t="str">
            <v>KHF-00-104265-BA-6065-50001-0000-1</v>
          </cell>
          <cell r="B593" t="str">
            <v>AIP-PDO-P1701009-T-0397</v>
          </cell>
          <cell r="C593">
            <v>43249</v>
          </cell>
          <cell r="D593" t="str">
            <v>KHF-00-104265-BA-6065-50001-0000</v>
          </cell>
          <cell r="E593" t="str">
            <v>PWPS Register - Pipeline Fittings and Branch Connections</v>
          </cell>
          <cell r="F593">
            <v>1</v>
          </cell>
          <cell r="G593" t="str">
            <v>IFR</v>
          </cell>
        </row>
        <row r="594">
          <cell r="A594" t="str">
            <v>KHF-00-104265-AA-3341-60080-0000-1</v>
          </cell>
          <cell r="B594" t="str">
            <v>AIP-PDO-P1701009-T-0398</v>
          </cell>
          <cell r="C594">
            <v>43250</v>
          </cell>
          <cell r="D594" t="str">
            <v>KHF-00-104265-AA-3341-60080-0000</v>
          </cell>
          <cell r="E594" t="str">
            <v>CV of Mr. Bibin Babu - Male Nurse</v>
          </cell>
          <cell r="F594">
            <v>1</v>
          </cell>
          <cell r="G594" t="str">
            <v>IFA</v>
          </cell>
        </row>
        <row r="595">
          <cell r="A595" t="str">
            <v>KHF-00-104265-AA-3341-60081-0000-1</v>
          </cell>
          <cell r="B595" t="str">
            <v>AIP-PDO-P1701009-T-0399</v>
          </cell>
          <cell r="C595">
            <v>43251</v>
          </cell>
          <cell r="D595" t="str">
            <v>KHF-00-104265-AA-3341-60081-0000</v>
          </cell>
          <cell r="E595" t="str">
            <v>CV of Mr. A. BALASUBRAMANIA PANDIAN - QA/QC INSPECTOR - E&amp; I</v>
          </cell>
          <cell r="F595">
            <v>1</v>
          </cell>
          <cell r="G595" t="str">
            <v>IFA</v>
          </cell>
        </row>
        <row r="596">
          <cell r="A596" t="str">
            <v>KHF-00-104265-BA-6070-00109-0000-1</v>
          </cell>
          <cell r="B596" t="str">
            <v>AIP-PDO-P1701009-T-0400</v>
          </cell>
          <cell r="C596">
            <v>43251</v>
          </cell>
          <cell r="D596" t="str">
            <v>KHF-00-104265-BA-6070-00109-0000</v>
          </cell>
          <cell r="E596" t="str">
            <v>Method Statement for Shrink Sleeve Application (PE &amp; PP Sleeve)</v>
          </cell>
          <cell r="F596">
            <v>1</v>
          </cell>
          <cell r="G596" t="str">
            <v>IFR</v>
          </cell>
        </row>
        <row r="597">
          <cell r="A597" t="str">
            <v>KHF-00-104265-AA-6944-10030-0000-1</v>
          </cell>
          <cell r="B597" t="str">
            <v>AIP-PDO-P1701009-T-0401</v>
          </cell>
          <cell r="C597">
            <v>43254</v>
          </cell>
          <cell r="D597" t="str">
            <v>KHF-00-104265-AA-6944-10030-0000</v>
          </cell>
          <cell r="E597" t="str">
            <v>Weekly Progress Report No.030</v>
          </cell>
          <cell r="F597">
            <v>1</v>
          </cell>
          <cell r="G597" t="str">
            <v>IFI</v>
          </cell>
        </row>
        <row r="598">
          <cell r="A598" t="str">
            <v>KHF-00-104265-HX-6180-10044-0000-3</v>
          </cell>
          <cell r="B598" t="str">
            <v>AIP-PDO-P1701009-T-0402</v>
          </cell>
          <cell r="C598">
            <v>43254</v>
          </cell>
          <cell r="D598" t="str">
            <v>KHF-00-104265-HX-6180-10044-0000</v>
          </cell>
          <cell r="E598" t="str">
            <v>Method Statement for Undertaking Night Working for Civil Works of 132 KV GIS Building</v>
          </cell>
          <cell r="F598">
            <v>3</v>
          </cell>
          <cell r="G598" t="str">
            <v>IFR</v>
          </cell>
        </row>
        <row r="599">
          <cell r="A599" t="str">
            <v>KHF-00-104265-AA-3341-60082-0000-1</v>
          </cell>
          <cell r="B599" t="str">
            <v>AIP-PDO-P1701009-T-0403</v>
          </cell>
          <cell r="C599">
            <v>43254</v>
          </cell>
          <cell r="D599" t="str">
            <v>KHF-00-104265-AA-3341-60082-0000</v>
          </cell>
          <cell r="E599" t="str">
            <v>CV of MR. SEBASTIAN GEORGE - LEAD FIELD PIPELINE ENGINEER</v>
          </cell>
          <cell r="F599">
            <v>1</v>
          </cell>
          <cell r="G599" t="str">
            <v>IFA</v>
          </cell>
        </row>
        <row r="600">
          <cell r="A600" t="str">
            <v>KHF-00-104265-AA-3347-30005-0000-1</v>
          </cell>
          <cell r="B600" t="str">
            <v>AIP-PDO-P1701009-T-0404</v>
          </cell>
          <cell r="C600">
            <v>43255</v>
          </cell>
          <cell r="D600" t="str">
            <v>KHF-00-104265-AA-3347-30005-0000</v>
          </cell>
          <cell r="E600" t="str">
            <v>Weekly Review Meeting (Site) No.05</v>
          </cell>
          <cell r="F600">
            <v>1</v>
          </cell>
          <cell r="G600" t="str">
            <v>IFI</v>
          </cell>
        </row>
        <row r="601">
          <cell r="A601" t="str">
            <v>KHF-00-104265-BA-6065-00133-0000-1</v>
          </cell>
          <cell r="B601" t="str">
            <v>AIP-PDO-P1701009-T-0405</v>
          </cell>
          <cell r="C601">
            <v>43255</v>
          </cell>
          <cell r="D601" t="str">
            <v>KHF-00-104265-BA-6065-00133-0000</v>
          </cell>
          <cell r="E601" t="str">
            <v>Welding Procedure Specification Tie-in, 16" PL-5</v>
          </cell>
          <cell r="F601">
            <v>1</v>
          </cell>
          <cell r="G601" t="str">
            <v>IFR</v>
          </cell>
        </row>
        <row r="602">
          <cell r="A602" t="str">
            <v>KHF-00-104265-BA-6065-00134-0000-1</v>
          </cell>
          <cell r="B602" t="str">
            <v>AIP-PDO-P1701009-T-0405</v>
          </cell>
          <cell r="C602">
            <v>43255</v>
          </cell>
          <cell r="D602" t="str">
            <v>KHF-00-104265-BA-6065-00134-0000</v>
          </cell>
          <cell r="E602" t="str">
            <v>Welding Procedure Specification Mainline 8" PL-7,8,9 &amp; 9A</v>
          </cell>
          <cell r="F602">
            <v>1</v>
          </cell>
          <cell r="G602" t="str">
            <v>IFR</v>
          </cell>
        </row>
        <row r="603">
          <cell r="A603" t="str">
            <v>KHF-00-104265-BA-6065-00135-0000-1</v>
          </cell>
          <cell r="B603" t="str">
            <v>AIP-PDO-P1701009-T-0405</v>
          </cell>
          <cell r="C603">
            <v>43255</v>
          </cell>
          <cell r="D603" t="str">
            <v>KHF-00-104265-BA-6065-00135-0000</v>
          </cell>
          <cell r="E603" t="str">
            <v>Welding Procedure Specification Tie-in, 8" PL-7 &amp; 6" PL-8,9 &amp; 9A</v>
          </cell>
          <cell r="F603">
            <v>1</v>
          </cell>
          <cell r="G603" t="str">
            <v>IFR</v>
          </cell>
        </row>
        <row r="604">
          <cell r="A604" t="str">
            <v>KHF-00-104265-BA-6065-00136-0000-1</v>
          </cell>
          <cell r="B604" t="str">
            <v>AIP-PDO-P1701009-T-0405</v>
          </cell>
          <cell r="C604">
            <v>43255</v>
          </cell>
          <cell r="D604" t="str">
            <v>KHF-00-104265-BA-6065-00136-0000</v>
          </cell>
          <cell r="E604" t="str">
            <v>Welding Procedure Specification Tie-in, 16" PL-1 &amp; PL-2,12" PL-3 &amp; 4)</v>
          </cell>
          <cell r="F604">
            <v>1</v>
          </cell>
          <cell r="G604" t="str">
            <v>IFR</v>
          </cell>
        </row>
        <row r="605">
          <cell r="A605" t="str">
            <v>KHF-00-104265-BA-6065-00131-0000-2</v>
          </cell>
          <cell r="B605" t="str">
            <v>AIP-PDO-P1701009-T-0406</v>
          </cell>
          <cell r="C605">
            <v>43255</v>
          </cell>
          <cell r="D605" t="str">
            <v>KHF-00-104265-BA-6065-00131-0000</v>
          </cell>
          <cell r="E605" t="str">
            <v>Welding Procedure Specification Mainline-16" PL5</v>
          </cell>
          <cell r="F605">
            <v>2</v>
          </cell>
          <cell r="G605" t="str">
            <v>IFA</v>
          </cell>
        </row>
        <row r="606">
          <cell r="A606" t="str">
            <v>KHF-00-104265-BA-6065-00132-0000-2</v>
          </cell>
          <cell r="B606" t="str">
            <v>AIP-PDO-P1701009-T-0406</v>
          </cell>
          <cell r="C606">
            <v>43255</v>
          </cell>
          <cell r="D606" t="str">
            <v>KHF-00-104265-BA-6065-00132-0000</v>
          </cell>
          <cell r="E606" t="str">
            <v>Welding Procedure Specification Mainline-16" PL1 &amp; 2</v>
          </cell>
          <cell r="F606">
            <v>2</v>
          </cell>
          <cell r="G606" t="str">
            <v>IFA</v>
          </cell>
        </row>
        <row r="607">
          <cell r="A607" t="str">
            <v>KHF-00-104265-BA-6065-00104-0000-4</v>
          </cell>
          <cell r="B607" t="str">
            <v>AIP-PDO-P1701009-T-0407</v>
          </cell>
          <cell r="C607">
            <v>43255</v>
          </cell>
          <cell r="D607" t="str">
            <v>KHF-00-104265-BA-6065-00104-0000</v>
          </cell>
          <cell r="E607" t="str">
            <v>Welding Procedure Specification (FP Repair 16" PL5)</v>
          </cell>
          <cell r="F607">
            <v>4</v>
          </cell>
          <cell r="G607" t="str">
            <v>IFA</v>
          </cell>
        </row>
        <row r="608">
          <cell r="A608" t="str">
            <v>KHF-00-104265-BA-6065-00105-0000-4</v>
          </cell>
          <cell r="B608" t="str">
            <v>AIP-PDO-P1701009-T-0407</v>
          </cell>
          <cell r="C608">
            <v>43255</v>
          </cell>
          <cell r="D608" t="str">
            <v>KHF-00-104265-BA-6065-00105-0000</v>
          </cell>
          <cell r="E608" t="str">
            <v>Welding Procedure Specification (PP Repair 16" PL5)</v>
          </cell>
          <cell r="F608">
            <v>4</v>
          </cell>
          <cell r="G608" t="str">
            <v>IFA</v>
          </cell>
        </row>
        <row r="609">
          <cell r="A609" t="str">
            <v>KHF-00-104265-BA-6065-00108-0000-2</v>
          </cell>
          <cell r="B609" t="str">
            <v>AIP-PDO-P1701009-T-0407</v>
          </cell>
          <cell r="C609">
            <v>43255</v>
          </cell>
          <cell r="D609" t="str">
            <v>KHF-00-104265-BA-6065-00108-0000</v>
          </cell>
          <cell r="E609" t="str">
            <v>Welding Procedure Specification (FP Repair 8" PL-7,8,9, &amp; 9A)</v>
          </cell>
          <cell r="F609">
            <v>2</v>
          </cell>
          <cell r="G609" t="str">
            <v>IFA</v>
          </cell>
        </row>
        <row r="610">
          <cell r="A610" t="str">
            <v>KHF-00-104265-BA-6065-00109-0000-2</v>
          </cell>
          <cell r="B610" t="str">
            <v>AIP-PDO-P1701009-T-0407</v>
          </cell>
          <cell r="C610">
            <v>43255</v>
          </cell>
          <cell r="D610" t="str">
            <v>KHF-00-104265-BA-6065-00109-0000</v>
          </cell>
          <cell r="E610" t="str">
            <v>Welding Procedure Specification (PP Repair 8" PL-7,8,9, &amp; 9A)</v>
          </cell>
          <cell r="F610">
            <v>2</v>
          </cell>
          <cell r="G610" t="str">
            <v>IFA</v>
          </cell>
        </row>
        <row r="611">
          <cell r="A611" t="str">
            <v>KHF-00-104265-BA-6065-00112-0000-2</v>
          </cell>
          <cell r="B611" t="str">
            <v>AIP-PDO-P1701009-T-0407</v>
          </cell>
          <cell r="C611">
            <v>43255</v>
          </cell>
          <cell r="D611" t="str">
            <v>KHF-00-104265-BA-6065-00112-0000</v>
          </cell>
          <cell r="E611" t="str">
            <v>Welding Procedure Specification (FP Repair 16" PL 1 &amp; PL 2)</v>
          </cell>
          <cell r="F611">
            <v>2</v>
          </cell>
          <cell r="G611" t="str">
            <v>IFA</v>
          </cell>
        </row>
        <row r="612">
          <cell r="A612" t="str">
            <v>KHF-00-104265-BA-6065-00113-0000-2</v>
          </cell>
          <cell r="B612" t="str">
            <v>AIP-PDO-P1701009-T-0407</v>
          </cell>
          <cell r="C612">
            <v>43255</v>
          </cell>
          <cell r="D612" t="str">
            <v>KHF-00-104265-BA-6065-00113-0000</v>
          </cell>
          <cell r="E612" t="str">
            <v>Welding Procedure Specification (PP repair 16" PL 1 &amp; PL 2)</v>
          </cell>
          <cell r="F612">
            <v>2</v>
          </cell>
          <cell r="G612" t="str">
            <v>IFA</v>
          </cell>
        </row>
        <row r="613">
          <cell r="A613" t="str">
            <v>KHF-00-104265-RA-8241-51053-0000-1</v>
          </cell>
          <cell r="B613" t="str">
            <v>AIP-PDO-P1701009-T-0408</v>
          </cell>
          <cell r="C613">
            <v>43255</v>
          </cell>
          <cell r="D613" t="str">
            <v>KHF-00-104265-RA-8241-51053-0000</v>
          </cell>
          <cell r="E613" t="str">
            <v>Material Approval Sheet for UPVC/HPVC/GI/PPR &amp; Electrical Conduits/Fittings</v>
          </cell>
          <cell r="F613">
            <v>1</v>
          </cell>
          <cell r="G613" t="str">
            <v>IFA</v>
          </cell>
        </row>
        <row r="614">
          <cell r="A614" t="str">
            <v>KHF-00-104265-QA-6050-00112-0000-1</v>
          </cell>
          <cell r="B614" t="str">
            <v>AIP-PDO-P1701009-T-0409</v>
          </cell>
          <cell r="C614">
            <v>43255</v>
          </cell>
          <cell r="D614" t="str">
            <v>KHF-00-104265-QA-6050-00112-0000</v>
          </cell>
          <cell r="E614" t="str">
            <v>Quality Control Plan for Heat Shrink Sleeve Application (PE &amp; PP Sleeves)</v>
          </cell>
          <cell r="F614">
            <v>1</v>
          </cell>
          <cell r="G614" t="str">
            <v>IFR</v>
          </cell>
        </row>
        <row r="615">
          <cell r="A615" t="str">
            <v>KHF-00-104265-RA-6038-00104-0000-3</v>
          </cell>
          <cell r="B615" t="str">
            <v>AIP-PDO-P1701009-T-0410</v>
          </cell>
          <cell r="C615">
            <v>43256</v>
          </cell>
          <cell r="D615" t="str">
            <v>KHF-00-104265-RA-6038-00104-0000</v>
          </cell>
          <cell r="E615" t="str">
            <v>Procedure for Ultrasonic Testing for Lamination for Pipelines</v>
          </cell>
          <cell r="F615">
            <v>3</v>
          </cell>
          <cell r="G615" t="str">
            <v>IFA</v>
          </cell>
        </row>
        <row r="616">
          <cell r="A616" t="str">
            <v>KHF-00-104265-RA-6038-00105-0000-2</v>
          </cell>
          <cell r="B616" t="str">
            <v>AIP-PDO-P1701009-T-0410</v>
          </cell>
          <cell r="C616">
            <v>43256</v>
          </cell>
          <cell r="D616" t="str">
            <v>KHF-00-104265-RA-6038-00105-0000</v>
          </cell>
          <cell r="E616" t="str">
            <v>Procedure for Ultrasonic Testing for Pipeline Welds</v>
          </cell>
          <cell r="F616">
            <v>2</v>
          </cell>
          <cell r="G616" t="str">
            <v>IFA</v>
          </cell>
        </row>
        <row r="617">
          <cell r="A617" t="str">
            <v>KHF-00-104265-BA-6065-00119-0000-1</v>
          </cell>
          <cell r="B617" t="str">
            <v>AIP-PDO-P1701009-T-0411</v>
          </cell>
          <cell r="C617">
            <v>43256</v>
          </cell>
          <cell r="D617" t="str">
            <v>KHF-00-104265-BA-6065-00119-0000</v>
          </cell>
          <cell r="E617" t="str">
            <v>Proposed Welding Procedure Specification - CP Cleat On PL-5</v>
          </cell>
          <cell r="F617">
            <v>1</v>
          </cell>
          <cell r="G617" t="str">
            <v>IFA</v>
          </cell>
        </row>
        <row r="618">
          <cell r="A618" t="str">
            <v>KHF-00-104265-BA-6065-00121-0000-1</v>
          </cell>
          <cell r="B618" t="str">
            <v>AIP-PDO-P1701009-T-0411</v>
          </cell>
          <cell r="C618">
            <v>43256</v>
          </cell>
          <cell r="D618" t="str">
            <v>KHF-00-104265-BA-6065-00121-0000</v>
          </cell>
          <cell r="E618" t="str">
            <v>Proposed Welding Procedure Specification - CP Cleat On PL-1, 2, 3, 4, 7, 8, 9 &amp; 9A</v>
          </cell>
          <cell r="F618">
            <v>1</v>
          </cell>
          <cell r="G618" t="str">
            <v>IFA</v>
          </cell>
        </row>
        <row r="619">
          <cell r="A619" t="str">
            <v>KHF-00-104265-BA-6065-00138-0000-1</v>
          </cell>
          <cell r="B619" t="str">
            <v>AIP-PDO-P1701009-T-0412</v>
          </cell>
          <cell r="C619">
            <v>43256</v>
          </cell>
          <cell r="D619" t="str">
            <v>KHF-00-104265-BA-6065-00138-0000</v>
          </cell>
          <cell r="E619" t="str">
            <v>Welding Procedure Specification - Full Penetration Repair 16" PL5</v>
          </cell>
          <cell r="F619">
            <v>1</v>
          </cell>
          <cell r="G619" t="str">
            <v>IFR</v>
          </cell>
        </row>
        <row r="620">
          <cell r="A620" t="str">
            <v>KHF-00-104265-BA-6065-00139-0000-1</v>
          </cell>
          <cell r="B620" t="str">
            <v>AIP-PDO-P1701009-T-0412</v>
          </cell>
          <cell r="C620">
            <v>43256</v>
          </cell>
          <cell r="D620" t="str">
            <v>KHF-00-104265-BA-6065-00139-0000</v>
          </cell>
          <cell r="E620" t="str">
            <v>Welding Procedure Specification - Partial Penetration Repair 16" PL5</v>
          </cell>
          <cell r="F620">
            <v>1</v>
          </cell>
          <cell r="G620" t="str">
            <v>IFR</v>
          </cell>
        </row>
        <row r="621">
          <cell r="A621" t="str">
            <v>KHF-00-104265-QA-6180-10077-0000-2</v>
          </cell>
          <cell r="B621" t="str">
            <v>AIP-PDO-P1701009-T-0413</v>
          </cell>
          <cell r="C621">
            <v>43257</v>
          </cell>
          <cell r="D621" t="str">
            <v>KHF-00-104265-QA-6180-10077-0000</v>
          </cell>
          <cell r="E621" t="str">
            <v>Non-conformance Control Procedure</v>
          </cell>
          <cell r="F621">
            <v>2</v>
          </cell>
          <cell r="G621" t="str">
            <v>IFA</v>
          </cell>
        </row>
        <row r="622">
          <cell r="A622" t="str">
            <v>KHF-00-104265-QA-5733-21021-0000-1</v>
          </cell>
          <cell r="B622" t="str">
            <v>AIP-PDO-P1701009-T-0414</v>
          </cell>
          <cell r="C622">
            <v>43257</v>
          </cell>
          <cell r="D622" t="str">
            <v>KHF-00-104265-QA-5733-21021-0000</v>
          </cell>
          <cell r="E622" t="str">
            <v xml:space="preserve">Inspection &amp; Test Plan for Precast Concrete Elements </v>
          </cell>
          <cell r="F622">
            <v>1</v>
          </cell>
          <cell r="G622" t="str">
            <v>IFR</v>
          </cell>
        </row>
        <row r="623">
          <cell r="A623" t="str">
            <v>-</v>
          </cell>
          <cell r="B623" t="str">
            <v>AIP-PDO-P1701009-T-0415</v>
          </cell>
          <cell r="C623">
            <v>43258</v>
          </cell>
          <cell r="D623" t="str">
            <v>KHF-00-104265-BA-6070-41004-0000</v>
          </cell>
          <cell r="E623" t="str">
            <v>Method of Statement for Precast Concrete Works</v>
          </cell>
          <cell r="F623">
            <v>1</v>
          </cell>
          <cell r="G623" t="str">
            <v>cancelled</v>
          </cell>
        </row>
        <row r="624">
          <cell r="A624" t="str">
            <v>KHF-00-104265-AA-6944-20008-0000-1</v>
          </cell>
          <cell r="B624" t="str">
            <v>AIP-PDO-P1701009-T-0416</v>
          </cell>
          <cell r="C624">
            <v>43261</v>
          </cell>
          <cell r="D624" t="str">
            <v>KHF-00-104265-AA-6944-20008-0000</v>
          </cell>
          <cell r="E624" t="str">
            <v>Monthly Progress Report No.008 (May 2018)</v>
          </cell>
          <cell r="F624">
            <v>1</v>
          </cell>
          <cell r="G624" t="str">
            <v>IFI</v>
          </cell>
        </row>
        <row r="625">
          <cell r="A625" t="str">
            <v>KHF-00-104265-AA-6944-10031-0000-1</v>
          </cell>
          <cell r="B625" t="str">
            <v>AIP-PDO-P1701009-T-0417</v>
          </cell>
          <cell r="C625">
            <v>43261</v>
          </cell>
          <cell r="D625" t="str">
            <v>KHF-00-104265-AA-6944-10031-0000</v>
          </cell>
          <cell r="E625" t="str">
            <v>Weekly Progress Report No.031</v>
          </cell>
          <cell r="F625">
            <v>1</v>
          </cell>
          <cell r="G625" t="str">
            <v>IFI</v>
          </cell>
        </row>
        <row r="626">
          <cell r="A626" t="str">
            <v>KHF-00-104265-AA-3347-30006-0000-1</v>
          </cell>
          <cell r="B626" t="str">
            <v>AIP-PDO-P1701009-T-0418</v>
          </cell>
          <cell r="C626">
            <v>43261</v>
          </cell>
          <cell r="D626" t="str">
            <v>KHF-00-104265-AA-3347-30006-0000</v>
          </cell>
          <cell r="E626" t="str">
            <v>Minutes of Weekly Review Meeting (Site) No.06</v>
          </cell>
          <cell r="F626">
            <v>1</v>
          </cell>
          <cell r="G626" t="str">
            <v>IFI</v>
          </cell>
        </row>
        <row r="627">
          <cell r="A627" t="str">
            <v>KHF-00-104265-FA-5765-10048-0000-1</v>
          </cell>
          <cell r="B627" t="str">
            <v>AIP-PDO-P1701009-T-0419</v>
          </cell>
          <cell r="C627">
            <v>43261</v>
          </cell>
          <cell r="D627" t="str">
            <v>KHF-00-104265-FA-5765-10048-0000</v>
          </cell>
          <cell r="E627" t="str">
            <v>132 KV GIS Building Schedule with Material Tracking Register</v>
          </cell>
          <cell r="F627">
            <v>1</v>
          </cell>
          <cell r="G627" t="str">
            <v>IFR</v>
          </cell>
        </row>
        <row r="628">
          <cell r="A628" t="str">
            <v>KHF-00-104265-BA-6070-41004-0000-1</v>
          </cell>
          <cell r="B628" t="str">
            <v>AIP-PDO-P1701009-T-0420</v>
          </cell>
          <cell r="C628">
            <v>43261</v>
          </cell>
          <cell r="D628" t="str">
            <v>KHF-00-104265-BA-6070-41004-0000</v>
          </cell>
          <cell r="E628" t="str">
            <v>Method of Statement for Precast Concrete Works</v>
          </cell>
          <cell r="F628">
            <v>1</v>
          </cell>
          <cell r="G628" t="str">
            <v>IFR</v>
          </cell>
        </row>
        <row r="629">
          <cell r="A629" t="str">
            <v>KHF-00-104265-RA-8241-51055-0000-1</v>
          </cell>
          <cell r="B629" t="str">
            <v>AIP-PDO-P1701009-T-0421</v>
          </cell>
          <cell r="C629">
            <v>43261</v>
          </cell>
          <cell r="D629" t="str">
            <v>KHF-00-104265-RA-8241-51055-0000</v>
          </cell>
          <cell r="E629" t="str">
            <v>Material Approval Sheet for Welded Steel Fabric</v>
          </cell>
          <cell r="F629">
            <v>1</v>
          </cell>
          <cell r="G629" t="str">
            <v>IFA</v>
          </cell>
        </row>
        <row r="630">
          <cell r="A630" t="str">
            <v>KHF-00-104265-RA-8241-51044-0000-2</v>
          </cell>
          <cell r="B630" t="str">
            <v>AIP-PDO-P1701009-T-0422</v>
          </cell>
          <cell r="C630">
            <v>43262</v>
          </cell>
          <cell r="D630" t="str">
            <v>KHF-00-104265-RA-8241-51044-0000</v>
          </cell>
          <cell r="E630" t="str">
            <v xml:space="preserve">Material Approval Sheet for Portable Water for Construction Purpose </v>
          </cell>
          <cell r="F630">
            <v>2</v>
          </cell>
          <cell r="G630" t="str">
            <v>IFA</v>
          </cell>
        </row>
        <row r="631">
          <cell r="A631" t="str">
            <v>KHF-00-104265-AA-3341-60083-0000-1</v>
          </cell>
          <cell r="B631" t="str">
            <v>AIP-PDO-P1701009-T-0423</v>
          </cell>
          <cell r="C631">
            <v>43262</v>
          </cell>
          <cell r="D631" t="str">
            <v>KHF-00-104265-AA-3341-60083-0000</v>
          </cell>
          <cell r="E631" t="str">
            <v>CV OF MR.AMARNATHAN BALASUBRAMANIAN -  QUALITY INSPECTOR - PAINTING &amp; COATING</v>
          </cell>
          <cell r="F631">
            <v>1</v>
          </cell>
          <cell r="G631" t="str">
            <v>IFA</v>
          </cell>
        </row>
        <row r="632">
          <cell r="A632" t="str">
            <v>KHF-00-104265-AA-3341-60084-0000-1</v>
          </cell>
          <cell r="B632" t="str">
            <v>AIP-PDO-P1701009-T-0424</v>
          </cell>
          <cell r="C632">
            <v>43262</v>
          </cell>
          <cell r="D632" t="str">
            <v>KHF-00-104265-AA-3341-60084-0000</v>
          </cell>
          <cell r="E632" t="str">
            <v>CV OF MR. ANEES AHAMED SHAIK - QUALITY INSPECTOR - INSTRUMENTATION</v>
          </cell>
          <cell r="F632">
            <v>1</v>
          </cell>
          <cell r="G632" t="str">
            <v>IFA</v>
          </cell>
        </row>
        <row r="633">
          <cell r="A633" t="str">
            <v>KHF-00-104265-QA-6180-00122-0000-3</v>
          </cell>
          <cell r="B633" t="str">
            <v>AIP-PDO-P1701009-T-0425</v>
          </cell>
          <cell r="C633">
            <v>43262</v>
          </cell>
          <cell r="D633" t="str">
            <v>KHF-00-104265-QA-6180-00122-0000</v>
          </cell>
          <cell r="E633" t="str">
            <v>Quality Control Procedure for Material Handling, Storage &amp; Control</v>
          </cell>
          <cell r="F633">
            <v>3</v>
          </cell>
          <cell r="G633" t="str">
            <v>IFA</v>
          </cell>
        </row>
        <row r="634">
          <cell r="A634" t="str">
            <v>KHF-00-104265-LA-5009-00105-0000-1</v>
          </cell>
          <cell r="B634" t="str">
            <v>AIP-PDO-P1701009-T-0426</v>
          </cell>
          <cell r="C634">
            <v>43262</v>
          </cell>
          <cell r="D634" t="str">
            <v>KHF-00-104265-LA-5009-00105-0000</v>
          </cell>
          <cell r="E634" t="str">
            <v>Material Approval Sheet - Protective coating for Concrete Surfaces  (Master seal 550)</v>
          </cell>
          <cell r="F634">
            <v>1</v>
          </cell>
          <cell r="G634" t="str">
            <v>IFR</v>
          </cell>
        </row>
        <row r="635">
          <cell r="A635" t="str">
            <v>KHF-00-104265-BA-6070-41005-0000-1</v>
          </cell>
          <cell r="B635" t="str">
            <v>AIP-PDO-P1701009-T-0427</v>
          </cell>
          <cell r="C635">
            <v>43263</v>
          </cell>
          <cell r="D635" t="str">
            <v>KHF-00-104265-BA-6070-41005-0000</v>
          </cell>
          <cell r="E635" t="str">
            <v>Method of Statement for Installation of Precast Foundations, Pipe Supports, Fencing Post &amp; Gates</v>
          </cell>
          <cell r="F635">
            <v>1</v>
          </cell>
          <cell r="G635" t="str">
            <v>IFR</v>
          </cell>
        </row>
        <row r="636">
          <cell r="A636" t="str">
            <v>KHF-00-104265-BA-6070-00115-0000-2</v>
          </cell>
          <cell r="B636" t="str">
            <v>AIP-PDO-P1701009-T-0428</v>
          </cell>
          <cell r="C636">
            <v>43264</v>
          </cell>
          <cell r="D636" t="str">
            <v>KHF-00-104265-BA-6070-00115-0000</v>
          </cell>
          <cell r="E636" t="str">
            <v>Method Statement for Hydrotesting of CS Pipelines</v>
          </cell>
          <cell r="F636">
            <v>2</v>
          </cell>
          <cell r="G636" t="str">
            <v>IFA</v>
          </cell>
        </row>
        <row r="637">
          <cell r="A637" t="str">
            <v>KHF-00-104265-QA-6050-00103-0000-2</v>
          </cell>
          <cell r="B637" t="str">
            <v>AIP-PDO-P1701009-T-0429</v>
          </cell>
          <cell r="C637">
            <v>43264</v>
          </cell>
          <cell r="D637" t="str">
            <v>KHF-00-104265-QA-6050-00103-0000</v>
          </cell>
          <cell r="E637" t="str">
            <v>Quality Control Plan for Concrete Work</v>
          </cell>
          <cell r="F637">
            <v>2</v>
          </cell>
          <cell r="G637" t="str">
            <v>IFA</v>
          </cell>
        </row>
        <row r="638">
          <cell r="A638" t="str">
            <v>KHF-00-104265-LA-5009-00108-0000-1</v>
          </cell>
          <cell r="B638" t="str">
            <v>AIP-PDO-P1701009-T-0430</v>
          </cell>
          <cell r="C638">
            <v>43264</v>
          </cell>
          <cell r="D638" t="str">
            <v>KHF-00-104265-LA-5009-00108-0000</v>
          </cell>
          <cell r="E638" t="str">
            <v>MAS for 100mm G.I.Pipe (FOC Casing at Road Crossing in CS Pipeline)</v>
          </cell>
          <cell r="F638">
            <v>1</v>
          </cell>
          <cell r="G638" t="str">
            <v>IFR</v>
          </cell>
        </row>
        <row r="639">
          <cell r="A639" t="str">
            <v>KHF-00-104265-AA-3341-60085-0000-1</v>
          </cell>
          <cell r="B639" t="str">
            <v>AIP-PDO-P1701009-T-0431</v>
          </cell>
          <cell r="C639">
            <v>43267</v>
          </cell>
          <cell r="D639" t="str">
            <v>KHF-00-104265-AA-3341-60085-0000</v>
          </cell>
          <cell r="E639" t="str">
            <v>CV OF MR. RAJESH CK - QC INSPECTOR PAINTING &amp; COATING</v>
          </cell>
          <cell r="F639">
            <v>1</v>
          </cell>
          <cell r="G639" t="str">
            <v>IFA</v>
          </cell>
        </row>
        <row r="640">
          <cell r="A640" t="str">
            <v>KHF-00-104265-AA-3347-30007-0000-1</v>
          </cell>
          <cell r="B640" t="str">
            <v>AIP-PDO-P1701009-T-0432</v>
          </cell>
          <cell r="C640">
            <v>43267</v>
          </cell>
          <cell r="D640" t="str">
            <v>KHF-00-104265-AA-3347-30007-0000</v>
          </cell>
          <cell r="E640" t="str">
            <v>Minutes of Weekly Review Meeting (Site) No.07</v>
          </cell>
          <cell r="F640">
            <v>1</v>
          </cell>
          <cell r="G640" t="str">
            <v>IFI</v>
          </cell>
        </row>
        <row r="641">
          <cell r="A641" t="str">
            <v>KHF-00-104265-BA-6065-00140-0000-1</v>
          </cell>
          <cell r="B641" t="str">
            <v>AIP-PDO-P1701009-T-0433</v>
          </cell>
          <cell r="C641">
            <v>43267</v>
          </cell>
          <cell r="D641" t="str">
            <v>KHF-00-104265-BA-6065-00140-0000</v>
          </cell>
          <cell r="E641" t="str">
            <v>Welding Procedure Specification - FP Repair, PL-7, 8, 9 &amp; 9A</v>
          </cell>
          <cell r="F641">
            <v>1</v>
          </cell>
          <cell r="G641" t="str">
            <v>IFA</v>
          </cell>
        </row>
        <row r="642">
          <cell r="A642" t="str">
            <v>KHF-00-104265-BA-6065-00141-0000-1</v>
          </cell>
          <cell r="B642" t="str">
            <v>AIP-PDO-P1701009-T-0433</v>
          </cell>
          <cell r="C642">
            <v>43267</v>
          </cell>
          <cell r="D642" t="str">
            <v>KHF-00-104265-BA-6065-00141-0000</v>
          </cell>
          <cell r="E642" t="str">
            <v>Welding Procedure Specification - PP Repair, PL-7, 8, 9 &amp; 9A</v>
          </cell>
          <cell r="F642">
            <v>1</v>
          </cell>
          <cell r="G642" t="str">
            <v>IFA</v>
          </cell>
        </row>
        <row r="643">
          <cell r="A643" t="str">
            <v>KHF-00-104265-AA-6944-10032-0000-1</v>
          </cell>
          <cell r="B643" t="str">
            <v>AIP-PDO-P1701009-T-0434</v>
          </cell>
          <cell r="C643">
            <v>43270</v>
          </cell>
          <cell r="D643" t="str">
            <v>KHF-00-104265-AA-6944-10032-0000</v>
          </cell>
          <cell r="E643" t="str">
            <v>Weekly Progress Report No.032</v>
          </cell>
          <cell r="F643">
            <v>1</v>
          </cell>
          <cell r="G643" t="str">
            <v>IFI</v>
          </cell>
        </row>
        <row r="644">
          <cell r="A644" t="str">
            <v>KHF-00-104265-RA-8241-51056-0000-1</v>
          </cell>
          <cell r="B644" t="str">
            <v>AIP-PDO-P1701009-T-0435</v>
          </cell>
          <cell r="C644">
            <v>43270</v>
          </cell>
          <cell r="D644" t="str">
            <v>KHF-00-104265-RA-8241-51056-0000</v>
          </cell>
          <cell r="E644" t="str">
            <v>Material Approval Sheet for Wall Finishes (Paints)</v>
          </cell>
          <cell r="F644">
            <v>1</v>
          </cell>
          <cell r="G644" t="str">
            <v>IFR</v>
          </cell>
        </row>
        <row r="645">
          <cell r="A645" t="str">
            <v>KHF-00-104265-BA-6065-50002-0000-1</v>
          </cell>
          <cell r="B645" t="str">
            <v>AIP-PDO-P1701009-T-0436</v>
          </cell>
          <cell r="C645">
            <v>43271</v>
          </cell>
          <cell r="D645" t="str">
            <v>KHF-00-104265-BA-6065-50002-0000</v>
          </cell>
          <cell r="E645" t="str">
            <v>PWPS - Pipe to Barred Tee / Reduced Tee / Flange - Applicable for Pipeline PL1, PL2, PL3, PL4 &amp; PL7</v>
          </cell>
          <cell r="F645">
            <v>1</v>
          </cell>
          <cell r="G645" t="str">
            <v>IFR</v>
          </cell>
        </row>
        <row r="646">
          <cell r="A646" t="str">
            <v>KHF-00-104265-BA-6065-50003-0000-1</v>
          </cell>
          <cell r="B646" t="str">
            <v>AIP-PDO-P1701009-T-0436</v>
          </cell>
          <cell r="C646">
            <v>43271</v>
          </cell>
          <cell r="D646" t="str">
            <v>KHF-00-104265-BA-6065-50003-0000</v>
          </cell>
          <cell r="E646" t="str">
            <v>PWPS - Pipe to Barred Tee / Flange - Applicable for Pipeline PL8 &amp; PL9</v>
          </cell>
          <cell r="F646">
            <v>1</v>
          </cell>
          <cell r="G646" t="str">
            <v>IFR</v>
          </cell>
        </row>
        <row r="647">
          <cell r="A647" t="str">
            <v>KHF-00-104265-BA-6065-50004-0000-1</v>
          </cell>
          <cell r="B647" t="str">
            <v>AIP-PDO-P1701009-T-0436</v>
          </cell>
          <cell r="C647">
            <v>43271</v>
          </cell>
          <cell r="D647" t="str">
            <v>KHF-00-104265-BA-6065-50004-0000</v>
          </cell>
          <cell r="E647" t="str">
            <v>PWPS - Pipe to Barred Tee / Flange - Applicable for Pipeline PL5</v>
          </cell>
          <cell r="F647">
            <v>1</v>
          </cell>
          <cell r="G647" t="str">
            <v>IFR</v>
          </cell>
        </row>
        <row r="648">
          <cell r="A648" t="str">
            <v>KHF-00-104265-BA-6065-50005-0000-1</v>
          </cell>
          <cell r="B648" t="str">
            <v>AIP-PDO-P1701009-T-0436</v>
          </cell>
          <cell r="C648">
            <v>43271</v>
          </cell>
          <cell r="D648" t="str">
            <v>KHF-00-104265-BA-6065-50005-0000</v>
          </cell>
          <cell r="E648" t="str">
            <v>PWPS - Pipe to Weldolet welding - Applicable for pipeline PL1, PL2, PL3, PL4, PL7, P8, PL9 &amp; PL9A</v>
          </cell>
          <cell r="F648">
            <v>1</v>
          </cell>
          <cell r="G648" t="str">
            <v>IFR</v>
          </cell>
        </row>
        <row r="649">
          <cell r="A649" t="str">
            <v>KHF-00-104265-BA-6065-50006-0000-1</v>
          </cell>
          <cell r="B649" t="str">
            <v>AIP-PDO-P1701009-T-0436</v>
          </cell>
          <cell r="C649">
            <v>43271</v>
          </cell>
          <cell r="D649" t="str">
            <v>KHF-00-104265-BA-6065-50006-0000</v>
          </cell>
          <cell r="E649" t="str">
            <v>PWPS - Pipe to Weldolet welding - Applicable for pipeline PL5</v>
          </cell>
          <cell r="F649">
            <v>1</v>
          </cell>
          <cell r="G649" t="str">
            <v>IFR</v>
          </cell>
        </row>
        <row r="650">
          <cell r="A650" t="str">
            <v>KHF-00-104265-BA-6065-50007-0000-1</v>
          </cell>
          <cell r="B650" t="str">
            <v>AIP-PDO-P1701009-T-0436</v>
          </cell>
          <cell r="C650">
            <v>43271</v>
          </cell>
          <cell r="D650" t="str">
            <v>KHF-00-104265-BA-6065-50007-0000</v>
          </cell>
          <cell r="E650" t="str">
            <v>PWPS - Weldolet to flange welding applicable for butt welding for pipeline PL1, PL2, PL3, PL4, PL5, PL7, P8, PL9 &amp; P9A</v>
          </cell>
          <cell r="F650">
            <v>1</v>
          </cell>
          <cell r="G650" t="str">
            <v>IFR</v>
          </cell>
        </row>
        <row r="651">
          <cell r="A651" t="str">
            <v>KHF-00-104265-BA-6065-50008-0000-1</v>
          </cell>
          <cell r="B651" t="str">
            <v>AIP-PDO-P1701009-T-0436</v>
          </cell>
          <cell r="C651">
            <v>43271</v>
          </cell>
          <cell r="D651" t="str">
            <v>KHF-00-104265-BA-6065-50008-0000</v>
          </cell>
          <cell r="E651" t="str">
            <v>PWPS - Reduced tee to flange welding applicable for pipeline PL1, PL2, PL3 &amp; PL4</v>
          </cell>
          <cell r="F651">
            <v>1</v>
          </cell>
          <cell r="G651" t="str">
            <v>IFR</v>
          </cell>
        </row>
        <row r="652">
          <cell r="A652" t="str">
            <v>KHF-00-104265-BA-6065-50009-0000-1</v>
          </cell>
          <cell r="B652" t="str">
            <v>AIP-PDO-P1701009-T-0436</v>
          </cell>
          <cell r="C652">
            <v>43271</v>
          </cell>
          <cell r="D652" t="str">
            <v>KHF-00-104265-BA-6065-50009-0000</v>
          </cell>
          <cell r="E652" t="str">
            <v>PWPS - Repair procedure applicable for PL1, PL2, PL3, PL4, PL5, PL7, PL8, PL9 &amp; PL9A</v>
          </cell>
          <cell r="F652">
            <v>1</v>
          </cell>
          <cell r="G652" t="str">
            <v>IFR</v>
          </cell>
        </row>
        <row r="653">
          <cell r="A653" t="str">
            <v>KHF-00-104265-HX-6180-10012-0000-5</v>
          </cell>
          <cell r="B653" t="str">
            <v>AIP-PDO-P1701009-T-0437</v>
          </cell>
          <cell r="C653">
            <v>43271</v>
          </cell>
          <cell r="D653" t="str">
            <v>KHF-00-104265-HX-6180-10012-0000</v>
          </cell>
          <cell r="E653" t="str">
            <v>Permit to Work Procedure (Greenfield)</v>
          </cell>
          <cell r="F653">
            <v>5</v>
          </cell>
          <cell r="G653" t="str">
            <v>IFA</v>
          </cell>
        </row>
        <row r="654">
          <cell r="A654" t="str">
            <v>KHF-00-104265-RA-6038-00108-0000-1</v>
          </cell>
          <cell r="B654" t="str">
            <v>AIP-PDO-P1701009-T-0438</v>
          </cell>
          <cell r="C654">
            <v>43271</v>
          </cell>
          <cell r="D654" t="str">
            <v>KHF-00-104265-RA-6038-00108-0000</v>
          </cell>
          <cell r="E654" t="str">
            <v>Procedure for Digitization of Radiographs</v>
          </cell>
          <cell r="F654">
            <v>1</v>
          </cell>
          <cell r="G654" t="str">
            <v>IFA</v>
          </cell>
        </row>
        <row r="655">
          <cell r="A655" t="str">
            <v>KHF-00-104265-AA-3341-60086-0000-1</v>
          </cell>
          <cell r="B655" t="str">
            <v>AIP-PDO-P1701009-T-0439</v>
          </cell>
          <cell r="C655">
            <v>43272</v>
          </cell>
          <cell r="D655" t="str">
            <v>KHF-00-104265-AA-3341-60086-0000</v>
          </cell>
          <cell r="E655" t="str">
            <v>CV OF MR. V. RAGURAMAN - QC INSPECTOR COATING</v>
          </cell>
          <cell r="F655">
            <v>1</v>
          </cell>
          <cell r="G655" t="str">
            <v>IFA</v>
          </cell>
        </row>
        <row r="656">
          <cell r="A656" t="str">
            <v>KHF-00-104265-AA-5760-10036-0000-2</v>
          </cell>
          <cell r="B656" t="str">
            <v>AIP-PDO-P1701009-T-0440</v>
          </cell>
          <cell r="C656">
            <v>43276</v>
          </cell>
          <cell r="D656" t="str">
            <v>KHF-00-104265-AA-5760-10036-0000</v>
          </cell>
          <cell r="E656" t="str">
            <v>Contract Execution  Plan</v>
          </cell>
          <cell r="F656">
            <v>2</v>
          </cell>
          <cell r="G656" t="str">
            <v>IFR</v>
          </cell>
        </row>
        <row r="657">
          <cell r="A657" t="str">
            <v>KHF-00-104265-RA-8241-51054-0000-1</v>
          </cell>
          <cell r="B657" t="str">
            <v>AIP-PDO-P1701009-T-0441</v>
          </cell>
          <cell r="C657">
            <v>43277</v>
          </cell>
          <cell r="D657" t="str">
            <v>KHF-00-104265-RA-8241-51054-0000</v>
          </cell>
          <cell r="E657" t="str">
            <v>Material Approval Sheet for Blockworks, Floor Screeds &amp; Wall Finishes</v>
          </cell>
          <cell r="F657">
            <v>1</v>
          </cell>
          <cell r="G657" t="str">
            <v>IFR</v>
          </cell>
        </row>
        <row r="658">
          <cell r="A658" t="str">
            <v>KHF-00-104265-AA-3341-60087-0000-1</v>
          </cell>
          <cell r="B658" t="str">
            <v>AIP-PDO-P1701009-T-0442</v>
          </cell>
          <cell r="C658">
            <v>43278</v>
          </cell>
          <cell r="D658" t="str">
            <v>KHF-00-104265-AA-3341-60087-0000</v>
          </cell>
          <cell r="E658" t="str">
            <v>CV OF MR. M. BALAKUMAR - LEAD FIELD PIPELINE ENGINEER</v>
          </cell>
          <cell r="F658">
            <v>1</v>
          </cell>
          <cell r="G658" t="str">
            <v>IFA</v>
          </cell>
        </row>
        <row r="659">
          <cell r="A659" t="str">
            <v>KHF-00-104265-AA-6944-10033-0000-1</v>
          </cell>
          <cell r="B659" t="str">
            <v>AIP-PDO-P1701009-T-0443</v>
          </cell>
          <cell r="C659">
            <v>43282</v>
          </cell>
          <cell r="D659" t="str">
            <v>KHF-00-104265-AA-6944-10033-0000</v>
          </cell>
          <cell r="E659" t="str">
            <v>Weekly Progress Report No.033</v>
          </cell>
          <cell r="F659">
            <v>1</v>
          </cell>
          <cell r="G659" t="str">
            <v>IFI</v>
          </cell>
        </row>
        <row r="660">
          <cell r="A660" t="str">
            <v>KHF-00-104265-AA-3341-60088-0000-1</v>
          </cell>
          <cell r="B660" t="str">
            <v>AIP-PDO-P1701009-T-0444</v>
          </cell>
          <cell r="C660">
            <v>43282</v>
          </cell>
          <cell r="D660" t="str">
            <v>KHF-00-104265-AA-3341-60088-0000</v>
          </cell>
          <cell r="E660" t="str">
            <v>CV OF MR.KUNDAN SINGH - QC INSPECTOR - MECHANICAL</v>
          </cell>
          <cell r="F660">
            <v>1</v>
          </cell>
          <cell r="G660" t="str">
            <v>IFA</v>
          </cell>
        </row>
        <row r="661">
          <cell r="A661" t="str">
            <v>KHF-00-104265-AA-6944-10034-0000-1</v>
          </cell>
          <cell r="B661" t="str">
            <v>AIP-PDO-P1701009-T-0445</v>
          </cell>
          <cell r="C661">
            <v>43282</v>
          </cell>
          <cell r="D661" t="str">
            <v>KHF-00-104265-AA-6944-10034-0000</v>
          </cell>
          <cell r="E661" t="str">
            <v>Weekly Progress Report No.034</v>
          </cell>
          <cell r="F661">
            <v>1</v>
          </cell>
          <cell r="G661" t="str">
            <v>IFI</v>
          </cell>
        </row>
        <row r="662">
          <cell r="A662" t="str">
            <v>KHF-00-104265-AA-3341-00118-0000-1</v>
          </cell>
          <cell r="B662" t="str">
            <v>AIP-PDO-P1701009-T-0446</v>
          </cell>
          <cell r="C662">
            <v>43282</v>
          </cell>
          <cell r="D662" t="str">
            <v>KHF-00-104265-AA-3341-00118-0000</v>
          </cell>
          <cell r="E662" t="str">
            <v>CV OF MR. SUNIL VK - NDT TECHNICIAN</v>
          </cell>
          <cell r="F662">
            <v>1</v>
          </cell>
          <cell r="G662" t="str">
            <v>IFA</v>
          </cell>
        </row>
        <row r="663">
          <cell r="A663" t="str">
            <v>KHF-00-104265-AA-3341-00119-0000-1</v>
          </cell>
          <cell r="B663" t="str">
            <v>AIP-PDO-P1701009-T-0446</v>
          </cell>
          <cell r="C663">
            <v>43282</v>
          </cell>
          <cell r="D663" t="str">
            <v>KHF-00-104265-AA-3341-00119-0000</v>
          </cell>
          <cell r="E663" t="str">
            <v>CV OF MR. SARAT KUMAR BAL- NDT TECHNICIAN</v>
          </cell>
          <cell r="F663">
            <v>1</v>
          </cell>
          <cell r="G663" t="str">
            <v>IFA</v>
          </cell>
        </row>
        <row r="664">
          <cell r="A664" t="str">
            <v>KHF-00-104265-AA-3341-00120-0000-1</v>
          </cell>
          <cell r="B664" t="str">
            <v>AIP-PDO-P1701009-T-0446</v>
          </cell>
          <cell r="C664">
            <v>43282</v>
          </cell>
          <cell r="D664" t="str">
            <v>KHF-00-104265-AA-3341-00120-0000</v>
          </cell>
          <cell r="E664" t="str">
            <v>CV OF MR. PARMESWAR NISHAD- NDT TECHNICIAN</v>
          </cell>
          <cell r="F664">
            <v>1</v>
          </cell>
          <cell r="G664" t="str">
            <v>IFA</v>
          </cell>
        </row>
        <row r="665">
          <cell r="A665" t="str">
            <v>KHF-00-104265-AA-3341-00121-0000-1</v>
          </cell>
          <cell r="B665" t="str">
            <v>AIP-PDO-P1701009-T-0446</v>
          </cell>
          <cell r="C665">
            <v>43282</v>
          </cell>
          <cell r="D665" t="str">
            <v>KHF-00-104265-AA-3341-00121-0000</v>
          </cell>
          <cell r="E665" t="str">
            <v>CV OF MR. NIRMAL KHATUYA- NDT TECHNICIAN</v>
          </cell>
          <cell r="F665">
            <v>1</v>
          </cell>
          <cell r="G665" t="str">
            <v>IFA</v>
          </cell>
        </row>
        <row r="666">
          <cell r="A666" t="str">
            <v>KHF-00-104265-AA-3341-00122-0000-1</v>
          </cell>
          <cell r="B666" t="str">
            <v>AIP-PDO-P1701009-T-0446</v>
          </cell>
          <cell r="C666">
            <v>43282</v>
          </cell>
          <cell r="D666" t="str">
            <v>KHF-00-104265-AA-3341-00122-0000</v>
          </cell>
          <cell r="E666" t="str">
            <v>CV OF MR. SAKTHI MUNIAPPAN- NDT TECHNICIAN</v>
          </cell>
          <cell r="F666">
            <v>1</v>
          </cell>
          <cell r="G666" t="str">
            <v>IFA</v>
          </cell>
        </row>
        <row r="667">
          <cell r="A667" t="str">
            <v>KHF-00-104265-AA-3341-00123-0000-1</v>
          </cell>
          <cell r="B667" t="str">
            <v>AIP-PDO-P1701009-T-0446</v>
          </cell>
          <cell r="C667">
            <v>43282</v>
          </cell>
          <cell r="D667" t="str">
            <v>KHF-00-104265-AA-3341-00123-0000</v>
          </cell>
          <cell r="E667" t="str">
            <v>CV OF MR. SANDEEP KUMAR RAJU- NDT TECHNICIAN</v>
          </cell>
          <cell r="F667">
            <v>1</v>
          </cell>
          <cell r="G667" t="str">
            <v>IFA</v>
          </cell>
        </row>
        <row r="668">
          <cell r="A668" t="str">
            <v>KHF-00-104265-CX-6070-10051-0000-1</v>
          </cell>
          <cell r="B668" t="str">
            <v>AIP-PDO-P1701009-T-0447</v>
          </cell>
          <cell r="C668">
            <v>43282</v>
          </cell>
          <cell r="D668" t="str">
            <v>KHF-00-104265-CX-6070-10051-0000</v>
          </cell>
          <cell r="E668" t="str">
            <v>Test Procedure for Measuring Concrete Temperature with Thermocouple</v>
          </cell>
          <cell r="F668">
            <v>1</v>
          </cell>
          <cell r="G668" t="str">
            <v>IFR</v>
          </cell>
        </row>
        <row r="669">
          <cell r="A669" t="str">
            <v>KHF-00-104265-LA-5009-00111-0000-1</v>
          </cell>
          <cell r="B669" t="str">
            <v>AIP-PDO-P1701009-T-0448</v>
          </cell>
          <cell r="C669">
            <v>43282</v>
          </cell>
          <cell r="D669" t="str">
            <v>KHF-00-104265-LA-5009-00111-0000</v>
          </cell>
          <cell r="E669" t="str">
            <v>MAS for STOPAQ MATERIAL (For Wrapping &amp; Coating of Casing Pipe)</v>
          </cell>
          <cell r="F669">
            <v>1</v>
          </cell>
          <cell r="G669" t="str">
            <v>IFR</v>
          </cell>
        </row>
        <row r="670">
          <cell r="A670" t="str">
            <v>KHF-00-104265-LA-5009-00112-0000-1</v>
          </cell>
          <cell r="B670" t="str">
            <v>AIP-PDO-P1701009-T-0448</v>
          </cell>
          <cell r="C670">
            <v>43282</v>
          </cell>
          <cell r="D670" t="str">
            <v>KHF-00-104265-LA-5009-00112-0000</v>
          </cell>
          <cell r="E670" t="str">
            <v>MAS for COPPER SLAG (For Surface preparation for CS Pipe Line)</v>
          </cell>
          <cell r="F670">
            <v>1</v>
          </cell>
          <cell r="G670" t="str">
            <v>IFR</v>
          </cell>
        </row>
        <row r="671">
          <cell r="A671" t="str">
            <v>KHF-00-104265-RA-8241-51036-0000-2</v>
          </cell>
          <cell r="B671" t="str">
            <v>AIP-PDO-P1701009-T-0449</v>
          </cell>
          <cell r="C671">
            <v>43282</v>
          </cell>
          <cell r="D671" t="str">
            <v>KHF-00-104265-RA-8241-51036-0000</v>
          </cell>
          <cell r="E671" t="str">
            <v>Material Approval Sheet for 75 mm thick Extruded polystyrene Insulation - 35 Kg/Cum density</v>
          </cell>
          <cell r="F671">
            <v>2</v>
          </cell>
          <cell r="G671" t="str">
            <v>IFA</v>
          </cell>
        </row>
        <row r="672">
          <cell r="A672" t="str">
            <v>KHF-00-104265-RA-8241-51037-0000-2</v>
          </cell>
          <cell r="B672" t="str">
            <v>AIP-PDO-P1701009-T-0449</v>
          </cell>
          <cell r="C672">
            <v>43282</v>
          </cell>
          <cell r="D672" t="str">
            <v>KHF-00-104265-RA-8241-51037-0000</v>
          </cell>
          <cell r="E672" t="str">
            <v>Material Approval Sheet for 50 mm thick Extruded polystyrene Insulation - 35 Kg/Cum density</v>
          </cell>
          <cell r="F672">
            <v>2</v>
          </cell>
          <cell r="G672" t="str">
            <v>IFA</v>
          </cell>
        </row>
        <row r="673">
          <cell r="A673" t="str">
            <v>KHF-00-104265-AA-3341-00124-0000-1</v>
          </cell>
          <cell r="B673" t="str">
            <v>AIP-PDO-P1701009-T-0450</v>
          </cell>
          <cell r="C673">
            <v>43282</v>
          </cell>
          <cell r="D673" t="str">
            <v>KHF-00-104265-AA-3341-00124-0000</v>
          </cell>
          <cell r="E673" t="str">
            <v>CV OF MR. HARISH RAJENDRAN - WELDING INSPECTOR</v>
          </cell>
          <cell r="F673">
            <v>1</v>
          </cell>
          <cell r="G673" t="str">
            <v>IFA</v>
          </cell>
        </row>
        <row r="674">
          <cell r="A674" t="str">
            <v>KHF-00-104265-AA-3341-00125-0000-1</v>
          </cell>
          <cell r="B674" t="str">
            <v>AIP-PDO-P1701009-T-0451</v>
          </cell>
          <cell r="C674">
            <v>43282</v>
          </cell>
          <cell r="D674" t="str">
            <v>KHF-00-104265-AA-3341-00125-0000</v>
          </cell>
          <cell r="E674" t="str">
            <v>CV OF MR. SOHEL VAHORA - GRE INSPECTOR &amp; COATING INSPECTOR</v>
          </cell>
          <cell r="F674">
            <v>1</v>
          </cell>
          <cell r="G674" t="str">
            <v>IFA</v>
          </cell>
        </row>
        <row r="675">
          <cell r="A675" t="str">
            <v>KHF-00-104265-AA-3341-60089-0000-1</v>
          </cell>
          <cell r="B675" t="str">
            <v>AIP-PDO-P1701009-T-0452</v>
          </cell>
          <cell r="C675">
            <v>43282</v>
          </cell>
          <cell r="D675" t="str">
            <v>KHF-00-104265-AA-3341-60089-0000</v>
          </cell>
          <cell r="E675" t="str">
            <v>CV OF MR. DILSHAN DEVARAJ VIJAYAMMA - MALE NURSE</v>
          </cell>
          <cell r="F675">
            <v>1</v>
          </cell>
          <cell r="G675" t="str">
            <v>IFA</v>
          </cell>
        </row>
        <row r="676">
          <cell r="A676" t="str">
            <v>KHF-00-104265-BA-6070-00116-0000-3</v>
          </cell>
          <cell r="B676" t="str">
            <v>AIP-PDO-P1701009-T-0453</v>
          </cell>
          <cell r="C676">
            <v>43282</v>
          </cell>
          <cell r="D676" t="str">
            <v>KHF-00-104265-BA-6070-00116-0000</v>
          </cell>
          <cell r="E676" t="str">
            <v>Method Statement for Adhesive Bonding and Installation of GRE pipelines</v>
          </cell>
          <cell r="F676">
            <v>3</v>
          </cell>
          <cell r="G676" t="str">
            <v>IFA</v>
          </cell>
        </row>
        <row r="677">
          <cell r="A677" t="str">
            <v>KHF-00-104265-AA-3341-00109-0000-2</v>
          </cell>
          <cell r="B677" t="str">
            <v>AIP-PDO-P1701009-T-0454</v>
          </cell>
          <cell r="C677">
            <v>43282</v>
          </cell>
          <cell r="D677" t="str">
            <v>KHF-00-104265-AA-3341-00109-0000</v>
          </cell>
          <cell r="E677" t="str">
            <v>CV of Mr. S.Govind Prabhu - Hydrotesting Engineer for GRE and CS Pipeline</v>
          </cell>
          <cell r="F677">
            <v>2</v>
          </cell>
          <cell r="G677" t="str">
            <v>IFA</v>
          </cell>
        </row>
        <row r="678">
          <cell r="A678" t="str">
            <v>KHF-00-104265-AA-3341-00117-0000-2</v>
          </cell>
          <cell r="B678" t="str">
            <v>AIP-PDO-P1701009-T-0454</v>
          </cell>
          <cell r="C678">
            <v>43282</v>
          </cell>
          <cell r="D678" t="str">
            <v>KHF-00-104265-AA-3341-00117-0000</v>
          </cell>
          <cell r="E678" t="str">
            <v>CV of Mr. Sangeeth- GRE Pipeline Hydro testing Engineer (including 500m initial test)</v>
          </cell>
          <cell r="F678">
            <v>2</v>
          </cell>
          <cell r="G678" t="str">
            <v>IFA</v>
          </cell>
        </row>
        <row r="679">
          <cell r="A679" t="str">
            <v>KHF-00-104265-QA-5733-00601-0000-1</v>
          </cell>
          <cell r="B679" t="str">
            <v>AIP-PDO-P1701009-T-0455</v>
          </cell>
          <cell r="C679">
            <v>43284</v>
          </cell>
          <cell r="D679" t="str">
            <v>KHF-00-104265-QA-5733-00601-0000</v>
          </cell>
          <cell r="E679" t="str">
            <v>INSPECTION &amp; TEST PLAN FOR CS &amp; LTCS PIPING FABRICATION (Off Plot / Power Plant)</v>
          </cell>
          <cell r="F679">
            <v>1</v>
          </cell>
          <cell r="G679" t="str">
            <v>IFR</v>
          </cell>
        </row>
        <row r="680">
          <cell r="A680" t="str">
            <v>KHF-00-104265-QA-5733-00602-0000-1</v>
          </cell>
          <cell r="B680" t="str">
            <v>AIP-PDO-P1701009-T-0455</v>
          </cell>
          <cell r="C680">
            <v>43284</v>
          </cell>
          <cell r="D680" t="str">
            <v>KHF-00-104265-QA-5733-00602-0000</v>
          </cell>
          <cell r="E680" t="str">
            <v>INSPECTION &amp; TEST PLAN FOR SS, SDSS &amp; ALLOY 825 FABRICATION (Off Plot / Power Plant)</v>
          </cell>
          <cell r="F680">
            <v>1</v>
          </cell>
          <cell r="G680" t="str">
            <v>IFR</v>
          </cell>
        </row>
        <row r="681">
          <cell r="A681" t="str">
            <v>KHF-00-104265-QA-6050-00602-0000-1</v>
          </cell>
          <cell r="B681" t="str">
            <v>AIP-PDO-P1701009-T-0455</v>
          </cell>
          <cell r="C681">
            <v>43284</v>
          </cell>
          <cell r="D681" t="str">
            <v>KHF-00-104265-QA-6050-00602-0000</v>
          </cell>
          <cell r="E681" t="str">
            <v>POSITIVE MATERIAL IDENTIFICATION PROCEDURE</v>
          </cell>
          <cell r="F681">
            <v>1</v>
          </cell>
          <cell r="G681" t="str">
            <v>IFR</v>
          </cell>
        </row>
        <row r="682">
          <cell r="A682" t="str">
            <v>KHF-00-104265-QA-6050-00603-0000-1</v>
          </cell>
          <cell r="B682" t="str">
            <v>AIP-PDO-P1701009-T-0455</v>
          </cell>
          <cell r="C682">
            <v>43284</v>
          </cell>
          <cell r="D682" t="str">
            <v>KHF-00-104265-QA-6050-00603-0000</v>
          </cell>
          <cell r="E682" t="str">
            <v>FERRITE CHECK PROCEDURE</v>
          </cell>
          <cell r="F682">
            <v>1</v>
          </cell>
          <cell r="G682" t="str">
            <v>IFR</v>
          </cell>
        </row>
        <row r="683">
          <cell r="A683" t="str">
            <v>KHF-00-104265-AA-3341-60090-0000-1</v>
          </cell>
          <cell r="B683" t="str">
            <v>AIP-PDO-P1701009-T-0456</v>
          </cell>
          <cell r="C683">
            <v>43284</v>
          </cell>
          <cell r="D683" t="str">
            <v>KHF-00-104265-AA-3341-60090-0000</v>
          </cell>
          <cell r="E683" t="str">
            <v>CV of P. Balakrishnan - QCI Painting &amp; Coating (AL HASSAN)</v>
          </cell>
          <cell r="F683">
            <v>1</v>
          </cell>
          <cell r="G683" t="str">
            <v>IFA</v>
          </cell>
        </row>
        <row r="684">
          <cell r="A684" t="str">
            <v>-</v>
          </cell>
          <cell r="B684" t="str">
            <v>AIP-PDO-P1701009-T-0457</v>
          </cell>
          <cell r="C684">
            <v>43284</v>
          </cell>
          <cell r="D684" t="str">
            <v>KHF-00-104265-LA-5009-00110-0000</v>
          </cell>
          <cell r="E684" t="str">
            <v>MAS for G.I.Welded Mesh (Wadi Crossing Pipe Protection Concrete)</v>
          </cell>
          <cell r="F684">
            <v>1</v>
          </cell>
          <cell r="G684" t="str">
            <v>resubmitted via 633</v>
          </cell>
        </row>
        <row r="685">
          <cell r="A685" t="str">
            <v>KHF-00-104265-AA-3341-00125-0000-2</v>
          </cell>
          <cell r="B685" t="str">
            <v>AIP-PDO-P1701009-T-0458</v>
          </cell>
          <cell r="C685">
            <v>43284</v>
          </cell>
          <cell r="D685" t="str">
            <v>KHF-00-104265-AA-3341-00125-0000</v>
          </cell>
          <cell r="E685" t="str">
            <v>CV OF MR. SOHEL VAHORA - GRE INSPECTOR &amp; COATING INSPECTOR</v>
          </cell>
          <cell r="F685">
            <v>2</v>
          </cell>
          <cell r="G685" t="str">
            <v>IFA</v>
          </cell>
        </row>
        <row r="686">
          <cell r="A686" t="str">
            <v>KHF-00-104265-QA-6050-00108-0000-2</v>
          </cell>
          <cell r="B686" t="str">
            <v>AIP-PDO-P1701009-T-0459</v>
          </cell>
          <cell r="C686">
            <v>43284</v>
          </cell>
          <cell r="D686" t="str">
            <v>KHF-00-104265-QA-6050-00108-0000</v>
          </cell>
          <cell r="E686" t="str">
            <v>Quality Control Plan for Coating (PCS 02A)</v>
          </cell>
          <cell r="F686">
            <v>2</v>
          </cell>
          <cell r="G686" t="str">
            <v>IFA</v>
          </cell>
        </row>
        <row r="687">
          <cell r="A687" t="str">
            <v>KHF-00-104265-QA-6050-00101-0000-3</v>
          </cell>
          <cell r="B687" t="str">
            <v>AIP-PDO-P1701009-T-0459</v>
          </cell>
          <cell r="C687">
            <v>43284</v>
          </cell>
          <cell r="D687" t="str">
            <v>KHF-00-104265-QA-6050-00101-0000</v>
          </cell>
          <cell r="E687" t="str">
            <v>Quality Control Plan for Surveying &amp; Setting out</v>
          </cell>
          <cell r="F687">
            <v>3</v>
          </cell>
          <cell r="G687" t="str">
            <v>IFA</v>
          </cell>
        </row>
        <row r="688">
          <cell r="A688" t="str">
            <v>KHF-00-104265-LA-5009-00103-0000-1</v>
          </cell>
          <cell r="B688" t="str">
            <v>AIP-PDO-P1701009-T-0460</v>
          </cell>
          <cell r="C688">
            <v>43284</v>
          </cell>
          <cell r="D688" t="str">
            <v>KHF-00-104265-LA-5009-00103-0000</v>
          </cell>
          <cell r="E688" t="str">
            <v>MAS- for Pre &amp; Post Padding Material (Dune Sand -Gulfar)</v>
          </cell>
          <cell r="F688">
            <v>1</v>
          </cell>
          <cell r="G688" t="str">
            <v>IFA</v>
          </cell>
        </row>
        <row r="689">
          <cell r="A689" t="str">
            <v>KHF-00-104265-LA-5009-00104-0000-1</v>
          </cell>
          <cell r="B689" t="str">
            <v>AIP-PDO-P1701009-T-0460</v>
          </cell>
          <cell r="C689">
            <v>43284</v>
          </cell>
          <cell r="D689" t="str">
            <v>KHF-00-104265-LA-5009-00104-0000</v>
          </cell>
          <cell r="E689" t="str">
            <v>MAS- Wadi Crossing Gabion boxes (GI coated wire mesh 3.5mm dia)</v>
          </cell>
          <cell r="F689">
            <v>1</v>
          </cell>
          <cell r="G689" t="str">
            <v>IFR</v>
          </cell>
        </row>
        <row r="690">
          <cell r="A690" t="str">
            <v>KHF-00-104265-LA-5009-00107-0000-1</v>
          </cell>
          <cell r="B690" t="str">
            <v>AIP-PDO-P1701009-T-0460</v>
          </cell>
          <cell r="C690">
            <v>43284</v>
          </cell>
          <cell r="D690" t="str">
            <v>KHF-00-104265-LA-5009-00107-0000</v>
          </cell>
          <cell r="E690" t="str">
            <v>MAS for BRC Mesh-Road Crossing in Existing CS Pipeline</v>
          </cell>
          <cell r="F690">
            <v>1</v>
          </cell>
          <cell r="G690" t="str">
            <v>IFR</v>
          </cell>
        </row>
        <row r="691">
          <cell r="A691" t="str">
            <v>KHF-00-104265-LA-5009-00113-0000-1</v>
          </cell>
          <cell r="B691" t="str">
            <v>AIP-PDO-P1701009-T-0461</v>
          </cell>
          <cell r="C691">
            <v>43284</v>
          </cell>
          <cell r="D691" t="str">
            <v>KHF-00-104265-LA-5009-00113-0000</v>
          </cell>
          <cell r="E691" t="str">
            <v>MAS for Paint (Hemadur 87500.) for PCS2A Coating of Split Casing</v>
          </cell>
          <cell r="F691">
            <v>1</v>
          </cell>
          <cell r="G691" t="str">
            <v>IFR</v>
          </cell>
        </row>
        <row r="692">
          <cell r="A692" t="str">
            <v>KHF-00-104265-CS-0580-10043-0000-1</v>
          </cell>
          <cell r="B692" t="str">
            <v>AIP-PDO-P1701009-T-0462</v>
          </cell>
          <cell r="C692">
            <v>43284</v>
          </cell>
          <cell r="D692" t="str">
            <v>KHF-00-104265-CS-0580-10043-0000</v>
          </cell>
          <cell r="E692" t="str">
            <v>Structural Analysis Report for 132KV GIS Substation Roof Slab Formwork</v>
          </cell>
          <cell r="F692">
            <v>1</v>
          </cell>
          <cell r="G692" t="str">
            <v>IFI</v>
          </cell>
        </row>
        <row r="693">
          <cell r="A693" t="str">
            <v>KHF-00-104265-AA-3347-30009-0000-1</v>
          </cell>
          <cell r="B693" t="str">
            <v>AIP-PDO-P1701009-T-0463</v>
          </cell>
          <cell r="C693">
            <v>43284</v>
          </cell>
          <cell r="D693" t="str">
            <v>KHF-00-104265-AA-3347-30009-0000</v>
          </cell>
          <cell r="E693" t="str">
            <v>Minutes of Weekly Review Meeting (Site) No.09</v>
          </cell>
          <cell r="F693">
            <v>1</v>
          </cell>
          <cell r="G693" t="str">
            <v>IFI</v>
          </cell>
        </row>
        <row r="694">
          <cell r="A694" t="str">
            <v>KHF-00-104265-AA-3341-60091-0000-1</v>
          </cell>
          <cell r="B694" t="str">
            <v>AIP-PDO-P1701009-T-0464</v>
          </cell>
          <cell r="C694">
            <v>43286</v>
          </cell>
          <cell r="D694" t="str">
            <v>KHF-00-104265-AA-3341-60091-0000</v>
          </cell>
          <cell r="E694" t="str">
            <v>CV OF S.M.SIDDIQUI - LEAD PRE-COMMISSIONING ENGINEER</v>
          </cell>
          <cell r="F694">
            <v>1</v>
          </cell>
          <cell r="G694" t="str">
            <v>IFA</v>
          </cell>
        </row>
        <row r="695">
          <cell r="A695" t="str">
            <v>KHF-00-104265-QA-5733-00603-0000-1</v>
          </cell>
          <cell r="B695" t="str">
            <v>AIP-PDO-P1701009-T-0465</v>
          </cell>
          <cell r="C695">
            <v>43286</v>
          </cell>
          <cell r="D695" t="str">
            <v>KHF-00-104265-QA-5733-00603-0000</v>
          </cell>
          <cell r="E695" t="str">
            <v>Inspection &amp; Test Plan for External Surface Preparation &amp; Painting PCS-1 &amp; PCS-6 (Off Plot / Power Plant)</v>
          </cell>
          <cell r="F695">
            <v>1</v>
          </cell>
          <cell r="G695" t="str">
            <v>IFR</v>
          </cell>
        </row>
        <row r="696">
          <cell r="A696" t="str">
            <v>KHF-00-104265-QA-6050-00601-0000-1</v>
          </cell>
          <cell r="B696" t="str">
            <v>AIP-PDO-P1701009-T-0465</v>
          </cell>
          <cell r="C696">
            <v>43286</v>
          </cell>
          <cell r="D696" t="str">
            <v>KHF-00-104265-QA-6050-00601-0000</v>
          </cell>
          <cell r="E696" t="str">
            <v>External Surface Preparation and Painting  Procedure (Off Plot / Power Plant)</v>
          </cell>
          <cell r="F696">
            <v>1</v>
          </cell>
          <cell r="G696" t="str">
            <v>IFR</v>
          </cell>
        </row>
        <row r="697">
          <cell r="A697" t="str">
            <v>KHF-00-104265-QA-6050-00604-0000-1</v>
          </cell>
          <cell r="B697" t="str">
            <v>AIP-PDO-P1701009-T-0465</v>
          </cell>
          <cell r="C697">
            <v>43286</v>
          </cell>
          <cell r="D697" t="str">
            <v>KHF-00-104265-QA-6050-00604-0000</v>
          </cell>
          <cell r="E697" t="str">
            <v>Pickling and Passivation Procedure (Off Plot / Power Plant)</v>
          </cell>
          <cell r="F697">
            <v>1</v>
          </cell>
          <cell r="G697" t="str">
            <v>IFR</v>
          </cell>
        </row>
        <row r="698">
          <cell r="A698" t="str">
            <v>KHF-00-104265-BA-6065-00601-0000-1</v>
          </cell>
          <cell r="B698" t="str">
            <v>AIP-PDO-P1701009-T-0466</v>
          </cell>
          <cell r="C698">
            <v>43289</v>
          </cell>
          <cell r="D698" t="str">
            <v>KHF-00-104265-BA-6065-00601-0000</v>
          </cell>
          <cell r="E698" t="str">
            <v>WELDING PROCEDURE SPECIFICATION (WPS) / PQR– 001 (AIM-WPS-T-522)</v>
          </cell>
          <cell r="F698">
            <v>1</v>
          </cell>
          <cell r="G698" t="str">
            <v>IFR</v>
          </cell>
        </row>
        <row r="699">
          <cell r="A699" t="str">
            <v>KHF-00-104265-BA-6065-00602-0000-1</v>
          </cell>
          <cell r="B699" t="str">
            <v>AIP-PDO-P1701009-T-0466</v>
          </cell>
          <cell r="C699">
            <v>43289</v>
          </cell>
          <cell r="D699" t="str">
            <v>KHF-00-104265-BA-6065-00602-0000</v>
          </cell>
          <cell r="E699" t="str">
            <v>WELDING PROCEDURE SPECIFICATION (WPS) / PQR– 002 (AI-WPS-T-065)</v>
          </cell>
          <cell r="F699">
            <v>1</v>
          </cell>
          <cell r="G699" t="str">
            <v>IFR</v>
          </cell>
        </row>
        <row r="700">
          <cell r="A700" t="str">
            <v>KHF-00-104265-BA-6065-00603-0000-1</v>
          </cell>
          <cell r="B700" t="str">
            <v>AIP-PDO-P1701009-T-0466</v>
          </cell>
          <cell r="C700">
            <v>43289</v>
          </cell>
          <cell r="D700" t="str">
            <v>KHF-00-104265-BA-6065-00603-0000</v>
          </cell>
          <cell r="E700" t="str">
            <v>WELDING PROCEDURE SPECIFICATION (WPS) / PQR– 003 (AI-WPS-T-0381)</v>
          </cell>
          <cell r="F700">
            <v>1</v>
          </cell>
          <cell r="G700" t="str">
            <v>IFR</v>
          </cell>
        </row>
        <row r="701">
          <cell r="A701" t="str">
            <v>KHF-00-104265-BA-6065-00604-0000-1</v>
          </cell>
          <cell r="B701" t="str">
            <v>AIP-PDO-P1701009-T-0466</v>
          </cell>
          <cell r="C701">
            <v>43289</v>
          </cell>
          <cell r="D701" t="str">
            <v>KHF-00-104265-BA-6065-00604-0000</v>
          </cell>
          <cell r="E701" t="str">
            <v>WELDING PROCEDURE SPECIFICATION (WPS) / PQR– 004 (AI-WPS-T-618)</v>
          </cell>
          <cell r="F701">
            <v>1</v>
          </cell>
          <cell r="G701" t="str">
            <v>IFR</v>
          </cell>
        </row>
        <row r="702">
          <cell r="A702" t="str">
            <v>KHF-00-104265-BA-6065-00605-0000-1</v>
          </cell>
          <cell r="B702" t="str">
            <v>AIP-PDO-P1701009-T-0466</v>
          </cell>
          <cell r="C702">
            <v>43289</v>
          </cell>
          <cell r="D702" t="str">
            <v>KHF-00-104265-BA-6065-00605-0000</v>
          </cell>
          <cell r="E702" t="str">
            <v>WELDING PROCEDURE SPECIFICATION (WPS) / PQR– 005 (AI-WPS-T-622)</v>
          </cell>
          <cell r="F702">
            <v>1</v>
          </cell>
          <cell r="G702" t="str">
            <v>IFR</v>
          </cell>
        </row>
        <row r="703">
          <cell r="A703" t="str">
            <v>KHF-00-104265-BA-6065-00606-0000-1</v>
          </cell>
          <cell r="B703" t="str">
            <v>AIP-PDO-P1701009-T-0466</v>
          </cell>
          <cell r="C703">
            <v>43289</v>
          </cell>
          <cell r="D703" t="str">
            <v>KHF-00-104265-BA-6065-00606-0000</v>
          </cell>
          <cell r="E703" t="str">
            <v>WELDING PROCEDURE SPECIFICATION (WPS) / PQR– 006 (AI-WPS-TM-196)</v>
          </cell>
          <cell r="F703">
            <v>1</v>
          </cell>
          <cell r="G703" t="str">
            <v>IFR</v>
          </cell>
        </row>
        <row r="704">
          <cell r="A704" t="str">
            <v>KHF-00-104265-BA-6065-00607-0000-1</v>
          </cell>
          <cell r="B704" t="str">
            <v>AIP-PDO-P1701009-T-0466</v>
          </cell>
          <cell r="C704">
            <v>43289</v>
          </cell>
          <cell r="D704" t="str">
            <v>KHF-00-104265-BA-6065-00607-0000</v>
          </cell>
          <cell r="E704" t="str">
            <v>WELDING PROCEDURE SPECIFICATION (WPS) / PQR– 007 (AI-WPS-TM-508)</v>
          </cell>
          <cell r="F704">
            <v>1</v>
          </cell>
          <cell r="G704" t="str">
            <v>IFR</v>
          </cell>
        </row>
        <row r="705">
          <cell r="A705" t="str">
            <v>KHF-00-104265-BA-6065-00608-0000-1</v>
          </cell>
          <cell r="B705" t="str">
            <v>AIP-PDO-P1701009-T-0466</v>
          </cell>
          <cell r="C705">
            <v>43289</v>
          </cell>
          <cell r="D705" t="str">
            <v>KHF-00-104265-BA-6065-00608-0000</v>
          </cell>
          <cell r="E705" t="str">
            <v>WELDING PROCEDURE SPECIFICATION (WPS) / PQR– 008 (AI-WPS-TM-549)</v>
          </cell>
          <cell r="F705">
            <v>1</v>
          </cell>
          <cell r="G705" t="str">
            <v>IFR</v>
          </cell>
        </row>
        <row r="706">
          <cell r="A706" t="str">
            <v>KHF-00-104265-BA-6065-00609-0000-1</v>
          </cell>
          <cell r="B706" t="str">
            <v>AIP-PDO-P1701009-T-0466</v>
          </cell>
          <cell r="C706">
            <v>43289</v>
          </cell>
          <cell r="D706" t="str">
            <v>KHF-00-104265-BA-6065-00609-0000</v>
          </cell>
          <cell r="E706" t="str">
            <v>WELDING PROCEDURE SPECIFICATION (WPS) / PQR– 009 (AI-WPS-TM-625)</v>
          </cell>
          <cell r="F706">
            <v>1</v>
          </cell>
          <cell r="G706" t="str">
            <v>IFR</v>
          </cell>
        </row>
        <row r="707">
          <cell r="A707" t="str">
            <v>KHF-00-104265-BA-6065-00610-0000-1</v>
          </cell>
          <cell r="B707" t="str">
            <v>AIP-PDO-P1701009-T-0466</v>
          </cell>
          <cell r="C707">
            <v>43289</v>
          </cell>
          <cell r="D707" t="str">
            <v>KHF-00-104265-BA-6065-00610-0000</v>
          </cell>
          <cell r="E707" t="str">
            <v>WELDING PROCEDURE SPECIFICATION (WPS) / PQR– 010 (AI-WPS-TS-476)</v>
          </cell>
          <cell r="F707">
            <v>1</v>
          </cell>
          <cell r="G707" t="str">
            <v>IFR</v>
          </cell>
        </row>
        <row r="708">
          <cell r="A708" t="str">
            <v>KHF-00-104265-BA-6065-00611-0000-1</v>
          </cell>
          <cell r="B708" t="str">
            <v>AIP-PDO-P1701009-T-0466</v>
          </cell>
          <cell r="C708">
            <v>43289</v>
          </cell>
          <cell r="D708" t="str">
            <v>KHF-00-104265-BA-6065-00611-0000</v>
          </cell>
          <cell r="E708" t="str">
            <v>WELDING PROCEDURE SPECIFICATION (WPS) / PQR– 011 (AI-WPS-TS-623)</v>
          </cell>
          <cell r="F708">
            <v>1</v>
          </cell>
          <cell r="G708" t="str">
            <v>IFR</v>
          </cell>
        </row>
        <row r="709">
          <cell r="A709" t="str">
            <v>KHF-00-104265-BA-6065-00612-0000-1</v>
          </cell>
          <cell r="B709" t="str">
            <v>AIP-PDO-P1701009-T-0466</v>
          </cell>
          <cell r="C709">
            <v>43289</v>
          </cell>
          <cell r="D709" t="str">
            <v>KHF-00-104265-BA-6065-00612-0000</v>
          </cell>
          <cell r="E709" t="str">
            <v>WELDING PROCEDURE SPECIFICATION (WPS) / PQR– 012 (AI-WPS-TS-625)</v>
          </cell>
          <cell r="F709">
            <v>1</v>
          </cell>
          <cell r="G709" t="str">
            <v>IFR</v>
          </cell>
        </row>
        <row r="710">
          <cell r="A710" t="str">
            <v>KHF-00-104265-BA-6065-00613-0000-1</v>
          </cell>
          <cell r="B710" t="str">
            <v>AIP-PDO-P1701009-T-0466</v>
          </cell>
          <cell r="C710">
            <v>43289</v>
          </cell>
          <cell r="D710" t="str">
            <v>KHF-00-104265-BA-6065-00613-0000</v>
          </cell>
          <cell r="E710" t="str">
            <v>WELDING PROCEDURE SPECIFICATION (WPS) / PQR– 013 (AI-WPS-T-468)</v>
          </cell>
          <cell r="F710">
            <v>1</v>
          </cell>
          <cell r="G710" t="str">
            <v>IFR</v>
          </cell>
        </row>
        <row r="711">
          <cell r="A711" t="str">
            <v>KHF-00-104265-BA-6065-00614-0000-1</v>
          </cell>
          <cell r="B711" t="str">
            <v>AIP-PDO-P1701009-T-0466</v>
          </cell>
          <cell r="C711">
            <v>43289</v>
          </cell>
          <cell r="D711" t="str">
            <v>KHF-00-104265-BA-6065-00614-0000</v>
          </cell>
          <cell r="E711" t="str">
            <v>WELDING PROCEDURE SPECIFICATION (WPS) / PQR– 014 (AI-WPS-TM-468)</v>
          </cell>
          <cell r="F711">
            <v>1</v>
          </cell>
          <cell r="G711" t="str">
            <v>IFR</v>
          </cell>
        </row>
        <row r="712">
          <cell r="A712" t="str">
            <v>KHF-00-104265-BA-6065-00615-0000-1</v>
          </cell>
          <cell r="B712" t="str">
            <v>AIP-PDO-P1701009-T-0466</v>
          </cell>
          <cell r="C712">
            <v>43289</v>
          </cell>
          <cell r="D712" t="str">
            <v>KHF-00-104265-BA-6065-00615-0000</v>
          </cell>
          <cell r="E712" t="str">
            <v>WELDING PROCEDURE SPECIFICATION (WPS) / PQR– 015 (AI-WPS-TM-551)</v>
          </cell>
          <cell r="F712">
            <v>1</v>
          </cell>
          <cell r="G712" t="str">
            <v>IFR</v>
          </cell>
        </row>
        <row r="713">
          <cell r="A713" t="str">
            <v>KHF-00-104265-BA-6065-00616-0000-1</v>
          </cell>
          <cell r="B713" t="str">
            <v>AIP-PDO-P1701009-T-0466</v>
          </cell>
          <cell r="C713">
            <v>43289</v>
          </cell>
          <cell r="D713" t="str">
            <v>KHF-00-104265-BA-6065-00616-0000</v>
          </cell>
          <cell r="E713" t="str">
            <v>WELDING PROCEDURE SPECIFICATION (WPS) / PQR– 016 (AI-WPS-TMS-551)</v>
          </cell>
          <cell r="F713">
            <v>1</v>
          </cell>
          <cell r="G713" t="str">
            <v>IFR</v>
          </cell>
        </row>
        <row r="714">
          <cell r="A714" t="str">
            <v>KHF-00-104265-RA-8241-51057-0000-1</v>
          </cell>
          <cell r="B714" t="str">
            <v>AIP-PDO-P1701009-T-0467</v>
          </cell>
          <cell r="C714">
            <v>43289</v>
          </cell>
          <cell r="D714" t="str">
            <v>KHF-00-104265-RA-8241-51057-0000</v>
          </cell>
          <cell r="E714" t="str">
            <v>Material Approval Sheet for Type-B soil used for Off Plot Construction  purpose</v>
          </cell>
          <cell r="F714">
            <v>1</v>
          </cell>
          <cell r="G714" t="str">
            <v>IFR</v>
          </cell>
        </row>
        <row r="715">
          <cell r="A715" t="str">
            <v>KHF-00-104265-AA-6944-20009-0000-1</v>
          </cell>
          <cell r="B715" t="str">
            <v>AIP-PDO-P1701009-T-0468</v>
          </cell>
          <cell r="C715">
            <v>43290</v>
          </cell>
          <cell r="D715" t="str">
            <v>KHF-00-104265-AA-6944-20009-0000</v>
          </cell>
          <cell r="E715" t="str">
            <v>Monthly Progress Report No.009 (June 2018)</v>
          </cell>
          <cell r="F715">
            <v>1</v>
          </cell>
          <cell r="G715" t="str">
            <v>IFI</v>
          </cell>
        </row>
        <row r="716">
          <cell r="A716" t="str">
            <v>KHF-00-104265-AA-6944-10035-0000-1</v>
          </cell>
          <cell r="B716" t="str">
            <v>AIP-PDO-P1701009-T-0469</v>
          </cell>
          <cell r="C716">
            <v>43290</v>
          </cell>
          <cell r="D716" t="str">
            <v>KHF-00-104265-AA-6944-10035-0000</v>
          </cell>
          <cell r="E716" t="str">
            <v>Weekly Progress Report No.035</v>
          </cell>
          <cell r="F716">
            <v>1</v>
          </cell>
          <cell r="G716" t="str">
            <v>IFI</v>
          </cell>
        </row>
        <row r="717">
          <cell r="A717" t="str">
            <v>KHF-00-104265-QA-6050-00109-0000-1</v>
          </cell>
          <cell r="B717" t="str">
            <v>AIP-PDO-P1701009-T-0470</v>
          </cell>
          <cell r="C717">
            <v>43290</v>
          </cell>
          <cell r="D717" t="str">
            <v>KHF-00-104265-QA-6050-00109-0000</v>
          </cell>
          <cell r="E717" t="str">
            <v>Quality Control Plan for Application of Stopaq</v>
          </cell>
          <cell r="F717">
            <v>1</v>
          </cell>
          <cell r="G717" t="str">
            <v>IFR</v>
          </cell>
        </row>
        <row r="718">
          <cell r="A718" t="str">
            <v>KHF-00-104265-RA-8241-51052-0000-1</v>
          </cell>
          <cell r="B718" t="str">
            <v>AIP-PDO-P1701009-T-0471</v>
          </cell>
          <cell r="C718">
            <v>43290</v>
          </cell>
          <cell r="D718" t="str">
            <v>KHF-00-104265-RA-8241-51052-0000</v>
          </cell>
          <cell r="E718" t="str">
            <v>Material Approval Sheet for Vitrified Tiles - Kerastar Series</v>
          </cell>
          <cell r="F718">
            <v>1</v>
          </cell>
          <cell r="G718" t="str">
            <v>IFA</v>
          </cell>
        </row>
        <row r="719">
          <cell r="A719" t="str">
            <v>KHF-00-104265-BA-6065-00142-0000-1</v>
          </cell>
          <cell r="B719" t="str">
            <v>AIP-PDO-P1701009-T-0472</v>
          </cell>
          <cell r="C719">
            <v>43290</v>
          </cell>
          <cell r="D719" t="str">
            <v>KHF-00-104265-BA-6065-00142-0000</v>
          </cell>
          <cell r="E719" t="str">
            <v>Welding Procedure Specification - Full Penetration Repair 16" PL-1 &amp; 2, 12" PL-3 &amp; 4</v>
          </cell>
          <cell r="F719">
            <v>1</v>
          </cell>
          <cell r="G719" t="str">
            <v>IFR</v>
          </cell>
        </row>
        <row r="720">
          <cell r="A720" t="str">
            <v>KHF-00-104265-BA-6065-00144-0000-1</v>
          </cell>
          <cell r="B720" t="str">
            <v>AIP-PDO-P1701009-T-0472</v>
          </cell>
          <cell r="C720">
            <v>43290</v>
          </cell>
          <cell r="D720" t="str">
            <v>KHF-00-104265-BA-6065-00144-0000</v>
          </cell>
          <cell r="E720" t="str">
            <v>Welding Procedure Specification - Partial Penetration Repair 16" PL-1 &amp; 2, 12" PL-3 &amp; 4</v>
          </cell>
          <cell r="F720">
            <v>1</v>
          </cell>
          <cell r="G720" t="str">
            <v>IFR</v>
          </cell>
        </row>
        <row r="721">
          <cell r="A721" t="str">
            <v>KHF-00-104265-BA-6070-00135-0000-1</v>
          </cell>
          <cell r="B721" t="str">
            <v>AIP-PDO-P1701009-T-0473</v>
          </cell>
          <cell r="C721">
            <v>43291</v>
          </cell>
          <cell r="D721" t="str">
            <v>KHF-00-104265-BA-6070-00135-0000</v>
          </cell>
          <cell r="E721" t="str">
            <v>Method Statement for Line Pipe Coating Repair</v>
          </cell>
          <cell r="F721">
            <v>1</v>
          </cell>
          <cell r="G721" t="str">
            <v>IFA</v>
          </cell>
        </row>
        <row r="722">
          <cell r="A722" t="str">
            <v>KHF-00-104265-QA-5798-00101-0000-4</v>
          </cell>
          <cell r="B722" t="str">
            <v>AIP-PDO-P1701009-T-0474</v>
          </cell>
          <cell r="C722">
            <v>43291</v>
          </cell>
          <cell r="D722" t="str">
            <v>KHF-00-104265-QA-5798-00101-0000</v>
          </cell>
          <cell r="E722" t="str">
            <v>Project Quality Plan (GPS)</v>
          </cell>
          <cell r="F722">
            <v>4</v>
          </cell>
          <cell r="G722" t="str">
            <v>IFA</v>
          </cell>
        </row>
        <row r="723">
          <cell r="A723" t="str">
            <v>KHF-00-104265-QA-6050-00106-0000-4</v>
          </cell>
          <cell r="B723" t="str">
            <v>AIP-PDO-P1701009-T-0475</v>
          </cell>
          <cell r="C723">
            <v>43291</v>
          </cell>
          <cell r="D723" t="str">
            <v>KHF-00-104265-QA-6050-00106-0000</v>
          </cell>
          <cell r="E723" t="str">
            <v>Quality Control Plan for Installation of  CS Pipeline</v>
          </cell>
          <cell r="F723">
            <v>4</v>
          </cell>
          <cell r="G723" t="str">
            <v>IFA</v>
          </cell>
        </row>
        <row r="724">
          <cell r="A724" t="str">
            <v>KHF-00-104265-AA-3341-60092-0000-1</v>
          </cell>
          <cell r="B724" t="str">
            <v>AIP-PDO-P1701009-T-0476</v>
          </cell>
          <cell r="C724">
            <v>43291</v>
          </cell>
          <cell r="D724" t="str">
            <v>KHF-00-104265-AA-3341-60092-0000</v>
          </cell>
          <cell r="E724" t="str">
            <v>CV of Mr. Soriya Miteshkumar - Project Controls Manager</v>
          </cell>
          <cell r="F724">
            <v>1</v>
          </cell>
          <cell r="G724" t="str">
            <v>IFA</v>
          </cell>
        </row>
        <row r="725">
          <cell r="A725" t="str">
            <v>KHF-00-104265-AA-3347-20008-0000-1</v>
          </cell>
          <cell r="B725" t="str">
            <v>AIP-PDO-P1701009-T-0477</v>
          </cell>
          <cell r="C725">
            <v>43291</v>
          </cell>
          <cell r="D725" t="str">
            <v>KHF-00-104265-AA-3347-20008-0000</v>
          </cell>
          <cell r="E725" t="str">
            <v>Minutes of Monthly Review Meeting No.08</v>
          </cell>
          <cell r="F725">
            <v>1</v>
          </cell>
          <cell r="G725" t="str">
            <v>IFI</v>
          </cell>
        </row>
        <row r="726">
          <cell r="A726" t="str">
            <v>-</v>
          </cell>
          <cell r="B726" t="str">
            <v>AIP-PDO-P1701009-T-0478</v>
          </cell>
          <cell r="C726">
            <v>43291</v>
          </cell>
          <cell r="D726" t="str">
            <v>KHF-00-104265-AA-3341-60093-0000</v>
          </cell>
          <cell r="E726" t="str">
            <v>CV OF MR. R. RAMJI - HSE ADVISOR</v>
          </cell>
          <cell r="F726">
            <v>1</v>
          </cell>
          <cell r="G726" t="str">
            <v>withdrawn</v>
          </cell>
        </row>
        <row r="727">
          <cell r="A727" t="str">
            <v>KHF-00-104265-RA-8241-51058-0000-1</v>
          </cell>
          <cell r="B727" t="str">
            <v>AIP-PDO-P1701009-T-0479</v>
          </cell>
          <cell r="C727">
            <v>43292</v>
          </cell>
          <cell r="D727" t="str">
            <v>KHF-00-104265-RA-8241-51058-0000</v>
          </cell>
          <cell r="E727" t="str">
            <v>MATERIAL APPROVAL SHEET FOR CONCRETE MIX DESIGN - C 25/10 SCREED MIX WITH PPF(OPC)</v>
          </cell>
          <cell r="F727">
            <v>1</v>
          </cell>
          <cell r="G727" t="str">
            <v>IFR</v>
          </cell>
        </row>
        <row r="728">
          <cell r="A728" t="str">
            <v>KHF-00-104265-FA-5804-10056-0000-1</v>
          </cell>
          <cell r="B728" t="str">
            <v>AIP-PDO-P1701009-T-0480</v>
          </cell>
          <cell r="C728">
            <v>43292</v>
          </cell>
          <cell r="D728" t="str">
            <v>KHF-00-104265-FA-5804-10056-0000</v>
          </cell>
          <cell r="E728" t="str">
            <v>CONSTRUCTION RECOVERY SCHEDULE (PIPELINE)</v>
          </cell>
          <cell r="F728">
            <v>1</v>
          </cell>
          <cell r="G728" t="str">
            <v>IFI</v>
          </cell>
        </row>
        <row r="729">
          <cell r="A729" t="str">
            <v>KHF-00-104265-FA-5804-10057-0000-1</v>
          </cell>
          <cell r="B729" t="str">
            <v>AIP-PDO-P1701009-T-0480</v>
          </cell>
          <cell r="C729">
            <v>43292</v>
          </cell>
          <cell r="D729" t="str">
            <v>KHF-00-104265-FA-5804-10057-0000</v>
          </cell>
          <cell r="E729" t="str">
            <v>WELDING RECOVERY PLAN (PIPELINE)</v>
          </cell>
          <cell r="F729">
            <v>1</v>
          </cell>
          <cell r="G729" t="str">
            <v>IFI</v>
          </cell>
        </row>
        <row r="730">
          <cell r="A730" t="str">
            <v>KHF-00-104265-BA-6065-00137-0000-1</v>
          </cell>
          <cell r="B730" t="str">
            <v>AIP-PDO-P1701009-T-0481</v>
          </cell>
          <cell r="C730">
            <v>43293</v>
          </cell>
          <cell r="D730" t="str">
            <v>KHF-00-104265-BA-6065-00137-0000</v>
          </cell>
          <cell r="E730" t="str">
            <v>Welding Procedure Specification -Welding of CS Casing Pipe for GRE P/L</v>
          </cell>
          <cell r="F730">
            <v>1</v>
          </cell>
          <cell r="G730" t="str">
            <v>IFA</v>
          </cell>
        </row>
        <row r="731">
          <cell r="A731" t="str">
            <v>KHF-00-104265-BA-6065-00138-0000-2</v>
          </cell>
          <cell r="B731" t="str">
            <v>AIP-PDO-P1701009-T-0481</v>
          </cell>
          <cell r="C731">
            <v>43293</v>
          </cell>
          <cell r="D731" t="str">
            <v>KHF-00-104265-BA-6065-00138-0000</v>
          </cell>
          <cell r="E731" t="str">
            <v>Welding Procedure Specification - Full Penetration Repair 16" PL5</v>
          </cell>
          <cell r="F731">
            <v>2</v>
          </cell>
          <cell r="G731" t="str">
            <v>IFA</v>
          </cell>
        </row>
        <row r="732">
          <cell r="A732" t="str">
            <v>KHF-00-104265-BA-6065-00139-0000-2</v>
          </cell>
          <cell r="B732" t="str">
            <v>AIP-PDO-P1701009-T-0481</v>
          </cell>
          <cell r="C732">
            <v>43293</v>
          </cell>
          <cell r="D732" t="str">
            <v>KHF-00-104265-BA-6065-00139-0000</v>
          </cell>
          <cell r="E732" t="str">
            <v>Welding Procedure Specification - Partial Penetration Repair 16" PL5</v>
          </cell>
          <cell r="F732">
            <v>2</v>
          </cell>
          <cell r="G732" t="str">
            <v>IFA</v>
          </cell>
        </row>
        <row r="733">
          <cell r="A733" t="str">
            <v>KHF-00-104265-BA-6065-00140-0000-2</v>
          </cell>
          <cell r="B733" t="str">
            <v>AIP-PDO-P1701009-T-0481</v>
          </cell>
          <cell r="C733">
            <v>43293</v>
          </cell>
          <cell r="D733" t="str">
            <v>KHF-00-104265-BA-6065-00140-0000</v>
          </cell>
          <cell r="E733" t="str">
            <v>Welding Procedure Specification - FP Repair, PL-7, 8, 9 &amp; 9A</v>
          </cell>
          <cell r="F733">
            <v>2</v>
          </cell>
          <cell r="G733" t="str">
            <v>IFA</v>
          </cell>
        </row>
        <row r="734">
          <cell r="A734" t="str">
            <v>KHF-00-104265-BA-6065-00141-0000-2</v>
          </cell>
          <cell r="B734" t="str">
            <v>AIP-PDO-P1701009-T-0481</v>
          </cell>
          <cell r="C734">
            <v>43293</v>
          </cell>
          <cell r="D734" t="str">
            <v>KHF-00-104265-BA-6065-00141-0000</v>
          </cell>
          <cell r="E734" t="str">
            <v>Welding Procedure Specification - PP Repair, PL-7, 8, 9 &amp; 9A</v>
          </cell>
          <cell r="F734">
            <v>2</v>
          </cell>
          <cell r="G734" t="str">
            <v>IFA</v>
          </cell>
        </row>
        <row r="735">
          <cell r="A735" t="str">
            <v>KHF-00-104265-BA-6065-00101-0000-2</v>
          </cell>
          <cell r="B735" t="str">
            <v>AIP-PDO-P1701009-T-0482</v>
          </cell>
          <cell r="C735">
            <v>43296</v>
          </cell>
          <cell r="D735" t="str">
            <v>KHF-00-104265-BA-6065-00101-0000</v>
          </cell>
          <cell r="E735" t="str">
            <v>Welding Procedure Specification Register (GPS)</v>
          </cell>
          <cell r="F735">
            <v>2</v>
          </cell>
          <cell r="G735" t="str">
            <v>IFA</v>
          </cell>
        </row>
        <row r="736">
          <cell r="A736" t="str">
            <v>KHF-00-104265-RA-6038-00601-0000-1</v>
          </cell>
          <cell r="B736" t="str">
            <v>AIP-PDO-P1701009-T-0483</v>
          </cell>
          <cell r="C736">
            <v>43296</v>
          </cell>
          <cell r="D736" t="str">
            <v>KHF-00-104265-RA-6038-00601-0000</v>
          </cell>
          <cell r="E736" t="str">
            <v>Procedure for Magnetic Particle Examination for Low Pressure Piping (HI-TECH)</v>
          </cell>
          <cell r="F736">
            <v>1</v>
          </cell>
          <cell r="G736" t="str">
            <v>IFR</v>
          </cell>
        </row>
        <row r="737">
          <cell r="A737" t="str">
            <v>KHF-00-104265-RA-6038-00602-0000-1</v>
          </cell>
          <cell r="B737" t="str">
            <v>AIP-PDO-P1701009-T-0483</v>
          </cell>
          <cell r="C737">
            <v>43296</v>
          </cell>
          <cell r="D737" t="str">
            <v>KHF-00-104265-RA-6038-00602-0000</v>
          </cell>
          <cell r="E737" t="str">
            <v>Procedure for Liquid Penetrant Examination for Low Pressure Piping (HI-TECH)</v>
          </cell>
          <cell r="F737">
            <v>1</v>
          </cell>
          <cell r="G737" t="str">
            <v>IFR</v>
          </cell>
        </row>
        <row r="738">
          <cell r="A738" t="str">
            <v>KHF-00-104265-RA-6038-00603-0000-1</v>
          </cell>
          <cell r="B738" t="str">
            <v>AIP-PDO-P1701009-T-0483</v>
          </cell>
          <cell r="C738">
            <v>43296</v>
          </cell>
          <cell r="D738" t="str">
            <v>KHF-00-104265-RA-6038-00603-0000</v>
          </cell>
          <cell r="E738" t="str">
            <v>Procedure for Radiographic Examination for Low pressure Piping (HI-TECH)</v>
          </cell>
          <cell r="F738">
            <v>1</v>
          </cell>
          <cell r="G738" t="str">
            <v>IFR</v>
          </cell>
        </row>
        <row r="739">
          <cell r="A739" t="str">
            <v>KHF-00-104265-RA-6038-00604-0000-1</v>
          </cell>
          <cell r="B739" t="str">
            <v>AIP-PDO-P1701009-T-0483</v>
          </cell>
          <cell r="C739">
            <v>43296</v>
          </cell>
          <cell r="D739" t="str">
            <v>KHF-00-104265-RA-6038-00604-0000</v>
          </cell>
          <cell r="E739" t="str">
            <v>Procedure for Ultrasonic Examination for Lamination Check and Thickness Measurement (HI-TECH)</v>
          </cell>
          <cell r="F739">
            <v>1</v>
          </cell>
          <cell r="G739" t="str">
            <v>IFR</v>
          </cell>
        </row>
        <row r="740">
          <cell r="A740" t="str">
            <v>KHF-00-104265-RA-6038-00605-0000-1</v>
          </cell>
          <cell r="B740" t="str">
            <v>AIP-PDO-P1701009-T-0483</v>
          </cell>
          <cell r="C740">
            <v>43296</v>
          </cell>
          <cell r="D740" t="str">
            <v>KHF-00-104265-RA-6038-00605-0000</v>
          </cell>
          <cell r="E740" t="str">
            <v>Procedure for Hardness Testing for Low Pressure Piping (HI-TECH)</v>
          </cell>
          <cell r="F740">
            <v>1</v>
          </cell>
          <cell r="G740" t="str">
            <v>IFR</v>
          </cell>
        </row>
        <row r="741">
          <cell r="A741" t="str">
            <v>KHF-00-104265-RA-6038-00606-0000-1</v>
          </cell>
          <cell r="B741" t="str">
            <v>AIP-PDO-P1701009-T-0483</v>
          </cell>
          <cell r="C741">
            <v>43296</v>
          </cell>
          <cell r="D741" t="str">
            <v>KHF-00-104265-RA-6038-00606-0000</v>
          </cell>
          <cell r="E741" t="str">
            <v>Procedure for Post Weld Heat Treatment for piping (HI-TECH)</v>
          </cell>
          <cell r="F741">
            <v>1</v>
          </cell>
          <cell r="G741" t="str">
            <v>IFR</v>
          </cell>
        </row>
        <row r="742">
          <cell r="A742" t="str">
            <v>KHF-00-104265-LA-5009-00104-0000-2</v>
          </cell>
          <cell r="B742" t="str">
            <v>AIP-PDO-P1701009-T-0484</v>
          </cell>
          <cell r="C742">
            <v>43296</v>
          </cell>
          <cell r="D742" t="str">
            <v>KHF-00-104265-LA-5009-00104-0000</v>
          </cell>
          <cell r="E742" t="str">
            <v>MAS- Wadi Crossing Gabion boxes (GI coated wire mesh 3.5mm dia)</v>
          </cell>
          <cell r="F742">
            <v>2</v>
          </cell>
          <cell r="G742" t="str">
            <v>IFA</v>
          </cell>
        </row>
        <row r="743">
          <cell r="A743" t="str">
            <v>KHF-00-104265-LA-5009-00107-0000-2</v>
          </cell>
          <cell r="B743" t="str">
            <v>AIP-PDO-P1701009-T-0484</v>
          </cell>
          <cell r="C743">
            <v>43296</v>
          </cell>
          <cell r="D743" t="str">
            <v>KHF-00-104265-LA-5009-00107-0000</v>
          </cell>
          <cell r="E743" t="str">
            <v>MAS for BRC Mesh-Road Crossing in Existing CS Pipeline</v>
          </cell>
          <cell r="F743">
            <v>2</v>
          </cell>
          <cell r="G743" t="str">
            <v>IFA</v>
          </cell>
        </row>
        <row r="744">
          <cell r="A744" t="str">
            <v>KHF-00-104265-LA-5009-00108-0000-2</v>
          </cell>
          <cell r="B744" t="str">
            <v>AIP-PDO-P1701009-T-0484</v>
          </cell>
          <cell r="C744">
            <v>43296</v>
          </cell>
          <cell r="D744" t="str">
            <v>KHF-00-104265-LA-5009-00108-0000</v>
          </cell>
          <cell r="E744" t="str">
            <v>MAS for 100mm G.I.Pipe ”C” Class (FOC Casing at Road Crossing in CS Pipeline)</v>
          </cell>
          <cell r="F744">
            <v>2</v>
          </cell>
          <cell r="G744" t="str">
            <v>IFA</v>
          </cell>
        </row>
        <row r="745">
          <cell r="A745" t="str">
            <v>KHF-00-104265-AA-3341-60094-0000-1</v>
          </cell>
          <cell r="B745" t="str">
            <v>AIP-PDO-P1701009-T-0485</v>
          </cell>
          <cell r="C745">
            <v>43296</v>
          </cell>
          <cell r="D745" t="str">
            <v>KHF-00-104265-AA-3341-60094-0000</v>
          </cell>
          <cell r="E745" t="str">
            <v>CV OF MR. K. RAVIKUMAR - QCI WELDING &amp; PAINTING</v>
          </cell>
          <cell r="F745">
            <v>1</v>
          </cell>
          <cell r="G745" t="str">
            <v>IFA</v>
          </cell>
        </row>
        <row r="746">
          <cell r="A746" t="str">
            <v>KHF-00-104265-AA-6944-10036-0000-1</v>
          </cell>
          <cell r="B746" t="str">
            <v>AIP-PDO-P1701009-T-0486</v>
          </cell>
          <cell r="C746">
            <v>43297</v>
          </cell>
          <cell r="D746" t="str">
            <v>KHF-00-104265-AA-6944-10036-0000</v>
          </cell>
          <cell r="E746" t="str">
            <v>Weekly Progress Report No.036</v>
          </cell>
          <cell r="F746">
            <v>1</v>
          </cell>
          <cell r="G746" t="str">
            <v>IFI</v>
          </cell>
        </row>
        <row r="747">
          <cell r="A747" t="str">
            <v>KHF-00-104265-AA-3347-30010-0000-1</v>
          </cell>
          <cell r="B747" t="str">
            <v>AIP-PDO-P1701009-T-0487</v>
          </cell>
          <cell r="C747">
            <v>43297</v>
          </cell>
          <cell r="D747" t="str">
            <v>KHF-00-104265-AA-3347-30010-0000</v>
          </cell>
          <cell r="E747" t="str">
            <v>Minutes of Weekly Review Meeting (Site) No.10</v>
          </cell>
          <cell r="F747">
            <v>1</v>
          </cell>
          <cell r="G747" t="str">
            <v>IFI</v>
          </cell>
        </row>
        <row r="748">
          <cell r="A748" t="str">
            <v>KHF-00-104265-QA-6050-00605-0000-1</v>
          </cell>
          <cell r="B748" t="str">
            <v>AIP-PDO-P1701009-T-0488</v>
          </cell>
          <cell r="C748">
            <v>43297</v>
          </cell>
          <cell r="D748" t="str">
            <v>KHF-00-104265-QA-6050-00605-0000</v>
          </cell>
          <cell r="E748" t="str">
            <v>HYDRO TEST PROCEDURE FOR PIPING SPOOL</v>
          </cell>
          <cell r="F748">
            <v>1</v>
          </cell>
          <cell r="G748" t="str">
            <v>IFR</v>
          </cell>
        </row>
        <row r="749">
          <cell r="A749" t="str">
            <v>KHF-00-104265-QA-6050-00606-0000-1</v>
          </cell>
          <cell r="B749" t="str">
            <v>AIP-PDO-P1701009-T-0488</v>
          </cell>
          <cell r="C749">
            <v>43297</v>
          </cell>
          <cell r="D749" t="str">
            <v>KHF-00-104265-QA-6050-00606-0000</v>
          </cell>
          <cell r="E749" t="str">
            <v>PIPING FABRICATION PROCEDURE</v>
          </cell>
          <cell r="F749">
            <v>1</v>
          </cell>
          <cell r="G749" t="str">
            <v>IFR</v>
          </cell>
        </row>
        <row r="750">
          <cell r="A750" t="str">
            <v>KHF-00-104265-MP-6180-00136-0000-1</v>
          </cell>
          <cell r="B750" t="str">
            <v>AIP-PDO-P1701009-T-0489</v>
          </cell>
          <cell r="C750">
            <v>43298</v>
          </cell>
          <cell r="D750" t="str">
            <v>KHF-00-104265-MP-6180-00136-0000</v>
          </cell>
          <cell r="E750" t="str">
            <v>Method Statement for GRE Pipe Jointing (Threaded)</v>
          </cell>
          <cell r="F750">
            <v>1</v>
          </cell>
          <cell r="G750" t="str">
            <v>IFA</v>
          </cell>
        </row>
        <row r="751">
          <cell r="A751" t="str">
            <v>KHF-00-104265-MP-6180-00137-0000-1</v>
          </cell>
          <cell r="B751" t="str">
            <v>AIP-PDO-P1701009-T-0489</v>
          </cell>
          <cell r="C751">
            <v>43298</v>
          </cell>
          <cell r="D751" t="str">
            <v>KHF-00-104265-MP-6180-00137-0000</v>
          </cell>
          <cell r="E751" t="str">
            <v>Method Statement for Field Thread Fabrication of GRE Pipes &amp; Fittings</v>
          </cell>
          <cell r="F751">
            <v>1</v>
          </cell>
          <cell r="G751" t="str">
            <v>IFA</v>
          </cell>
        </row>
        <row r="752">
          <cell r="A752" t="str">
            <v>KHF-00-104265-MP-6180-00138-0000-1</v>
          </cell>
          <cell r="B752" t="str">
            <v>AIP-PDO-P1701009-T-0489</v>
          </cell>
          <cell r="C752">
            <v>43298</v>
          </cell>
          <cell r="D752" t="str">
            <v>KHF-00-104265-MP-6180-00138-0000</v>
          </cell>
          <cell r="E752" t="str">
            <v>Method Statement for Repair Work (FGS)</v>
          </cell>
          <cell r="F752">
            <v>1</v>
          </cell>
          <cell r="G752" t="str">
            <v>IFA</v>
          </cell>
        </row>
        <row r="753">
          <cell r="A753" t="str">
            <v>KHF-00-104265-MP-6180-00139-0000-1</v>
          </cell>
          <cell r="B753" t="str">
            <v>AIP-PDO-P1701009-T-0489</v>
          </cell>
          <cell r="C753">
            <v>43298</v>
          </cell>
          <cell r="D753" t="str">
            <v>KHF-00-104265-MP-6180-00139-0000</v>
          </cell>
          <cell r="E753" t="str">
            <v>Method Statement for Flange Tightening for GRE Pipes/Fittings (Threaded)</v>
          </cell>
          <cell r="F753">
            <v>1</v>
          </cell>
          <cell r="G753" t="str">
            <v>IFA</v>
          </cell>
        </row>
        <row r="754">
          <cell r="A754" t="str">
            <v>KHF-00-104265-MP-6180-00140-0000-1</v>
          </cell>
          <cell r="B754" t="str">
            <v>AIP-PDO-P1701009-T-0489</v>
          </cell>
          <cell r="C754">
            <v>43298</v>
          </cell>
          <cell r="D754" t="str">
            <v>KHF-00-104265-MP-6180-00140-0000</v>
          </cell>
          <cell r="E754" t="str">
            <v>Method Statement for Training &amp; Crew Qualification (FGS)</v>
          </cell>
          <cell r="F754">
            <v>1</v>
          </cell>
          <cell r="G754" t="str">
            <v>IFA</v>
          </cell>
        </row>
        <row r="755">
          <cell r="A755" t="str">
            <v>KHF-00-104265-RA-8241-51059-0000-1</v>
          </cell>
          <cell r="B755" t="str">
            <v>AIP-PDO-P1701009-T-0490</v>
          </cell>
          <cell r="C755">
            <v>43298</v>
          </cell>
          <cell r="D755" t="str">
            <v>KHF-00-104265-RA-8241-51059-0000</v>
          </cell>
          <cell r="E755" t="str">
            <v>MATERIAL APPROVAL SHEET FOR HILTI MECHANICAL ANCHORS : HST3, HSA &amp; HSV</v>
          </cell>
          <cell r="F755">
            <v>1</v>
          </cell>
          <cell r="G755" t="str">
            <v>IFA</v>
          </cell>
        </row>
        <row r="756">
          <cell r="A756" t="str">
            <v>KHF-00-104265-RA-8241-51060-0000-1</v>
          </cell>
          <cell r="B756" t="str">
            <v>AIP-PDO-P1701009-T-0490</v>
          </cell>
          <cell r="C756">
            <v>43298</v>
          </cell>
          <cell r="D756" t="str">
            <v>KHF-00-104265-RA-8241-51060-0000</v>
          </cell>
          <cell r="E756" t="str">
            <v>MATERIAL APPROVAL SHEET FOR ROLLING SHUTTER</v>
          </cell>
          <cell r="F756">
            <v>1</v>
          </cell>
          <cell r="G756" t="str">
            <v>IFA</v>
          </cell>
        </row>
        <row r="757">
          <cell r="A757" t="str">
            <v>KHF-00-104265-RA-8241-51061-0000-1</v>
          </cell>
          <cell r="B757" t="str">
            <v>AIP-PDO-P1701009-T-0490</v>
          </cell>
          <cell r="C757">
            <v>43298</v>
          </cell>
          <cell r="D757" t="str">
            <v>KHF-00-104265-RA-8241-51061-0000</v>
          </cell>
          <cell r="E757" t="str">
            <v>MATERIAL APPROVAL SHEET PLASTERING ACCESSORIES - GALVANISED</v>
          </cell>
          <cell r="F757">
            <v>1</v>
          </cell>
          <cell r="G757" t="str">
            <v>IFA</v>
          </cell>
        </row>
        <row r="758">
          <cell r="A758" t="str">
            <v>KHF-00-104265-AA-3341-60095-0000-1</v>
          </cell>
          <cell r="B758" t="str">
            <v>AIP-PDO-P1701009-T-0491</v>
          </cell>
          <cell r="C758">
            <v>43298</v>
          </cell>
          <cell r="D758" t="str">
            <v>KHF-00-104265-AA-3341-60095-0000</v>
          </cell>
          <cell r="E758" t="str">
            <v>CV OF MR. SOMISETTI SRIDHAR - NDT LEVEL-III ENGINEER</v>
          </cell>
          <cell r="F758">
            <v>1</v>
          </cell>
          <cell r="G758" t="str">
            <v>IFA</v>
          </cell>
        </row>
        <row r="759">
          <cell r="A759" t="str">
            <v>KHF-00-104265-AA-3341-00126-0000-1</v>
          </cell>
          <cell r="B759" t="str">
            <v>AIP-PDO-P1701009-T-0492</v>
          </cell>
          <cell r="C759">
            <v>43298</v>
          </cell>
          <cell r="D759" t="str">
            <v>KHF-00-104265-AA-3341-00126-0000</v>
          </cell>
          <cell r="E759" t="str">
            <v>CV of Mr. Mohd. Alimuddin - NDT Technician (Multidiscipline)</v>
          </cell>
          <cell r="F759">
            <v>1</v>
          </cell>
          <cell r="G759" t="str">
            <v>IFA</v>
          </cell>
        </row>
        <row r="760">
          <cell r="A760" t="str">
            <v>KHF-00-104265-BA-6070-00408-0000-1</v>
          </cell>
          <cell r="B760" t="str">
            <v>AIP-PDO-P1701009-T-0493</v>
          </cell>
          <cell r="C760">
            <v>43298</v>
          </cell>
          <cell r="D760" t="str">
            <v>KHF-00-104265-BA-6070-00408-0000</v>
          </cell>
          <cell r="E760" t="str">
            <v xml:space="preserve">Method Statement for Erection of Pre Engineered building  - Pipe Fabrication Workshop </v>
          </cell>
          <cell r="F760">
            <v>1</v>
          </cell>
          <cell r="G760" t="str">
            <v>IFI</v>
          </cell>
        </row>
        <row r="761">
          <cell r="A761" t="str">
            <v>KHF-00-104265-BA-6070-00409-0000-1</v>
          </cell>
          <cell r="B761" t="str">
            <v>AIP-PDO-P1701009-T-0493</v>
          </cell>
          <cell r="C761">
            <v>43298</v>
          </cell>
          <cell r="D761" t="str">
            <v>KHF-00-104265-BA-6070-00409-0000</v>
          </cell>
          <cell r="E761" t="str">
            <v>Method Statement for Erection of Pre Engineered building  - Warehouse</v>
          </cell>
          <cell r="F761">
            <v>1</v>
          </cell>
          <cell r="G761" t="str">
            <v>IFI</v>
          </cell>
        </row>
        <row r="762">
          <cell r="A762" t="str">
            <v>KHF-00-104265-AA-3341-00127-0000-1</v>
          </cell>
          <cell r="B762" t="str">
            <v>AIP-PDO-P1701009-T-0494</v>
          </cell>
          <cell r="C762">
            <v>43300</v>
          </cell>
          <cell r="D762" t="str">
            <v>KHF-00-104265-AA-3341-00127-0000</v>
          </cell>
          <cell r="E762" t="str">
            <v>CV of Mr. Amrita Roy - NDT Technician for UTW, RT &amp; MPT</v>
          </cell>
          <cell r="F762">
            <v>1</v>
          </cell>
          <cell r="G762" t="str">
            <v>IFA</v>
          </cell>
        </row>
        <row r="763">
          <cell r="A763" t="str">
            <v>KHF-00-104265-AA-3341-60096-0000-1</v>
          </cell>
          <cell r="B763" t="str">
            <v>AIP-PDO-P1701009-T-0495</v>
          </cell>
          <cell r="C763">
            <v>43300</v>
          </cell>
          <cell r="D763" t="str">
            <v>KHF-00-104265-AA-3341-60096-0000</v>
          </cell>
          <cell r="E763" t="str">
            <v>CV OF MR. RADHAKRISHNAN.K.K.E - LEAD INSTRUMENT ENGINEER</v>
          </cell>
          <cell r="F763">
            <v>1</v>
          </cell>
          <cell r="G763" t="str">
            <v>IFA</v>
          </cell>
        </row>
        <row r="764">
          <cell r="A764" t="str">
            <v>KHF-00-104265-RA-8241-51062-0000-1</v>
          </cell>
          <cell r="B764" t="str">
            <v>AIP-PDO-P1701009-T-0496</v>
          </cell>
          <cell r="C764">
            <v>43300</v>
          </cell>
          <cell r="D764" t="str">
            <v>KHF-00-104265-RA-8241-51062-0000</v>
          </cell>
          <cell r="E764" t="str">
            <v>MATERIAL APPROVAL FOR MASTERTILE 707 EPOXY GROUT AND ADHESIVE FOR FLOOR &amp; WALLS TILES</v>
          </cell>
          <cell r="F764">
            <v>1</v>
          </cell>
          <cell r="G764" t="str">
            <v>IFA</v>
          </cell>
        </row>
        <row r="765">
          <cell r="A765" t="str">
            <v>KHF-00-104265-RA-8241-51063-0000-1</v>
          </cell>
          <cell r="B765" t="str">
            <v>AIP-PDO-P1701009-T-0496</v>
          </cell>
          <cell r="C765">
            <v>43300</v>
          </cell>
          <cell r="D765" t="str">
            <v>KHF-00-104265-RA-8241-51063-0000</v>
          </cell>
          <cell r="E765" t="str">
            <v>MATERIAL APPROVAL FOR CHEMICAL RESISTANT EPOXY TILE ADHESIVE / GROUT</v>
          </cell>
          <cell r="F765">
            <v>1</v>
          </cell>
          <cell r="G765" t="str">
            <v>IFA</v>
          </cell>
        </row>
        <row r="766">
          <cell r="A766" t="str">
            <v>KHF-00-104265-RA-8241-51064-0000-1</v>
          </cell>
          <cell r="B766" t="str">
            <v>AIP-PDO-P1701009-T-0496</v>
          </cell>
          <cell r="C766">
            <v>43300</v>
          </cell>
          <cell r="D766" t="str">
            <v>KHF-00-104265-RA-8241-51064-0000</v>
          </cell>
          <cell r="E766" t="str">
            <v>MATERIAL APPROVAL SHEET FOR TILES</v>
          </cell>
          <cell r="F766">
            <v>1</v>
          </cell>
          <cell r="G766" t="str">
            <v>IFA</v>
          </cell>
        </row>
        <row r="767">
          <cell r="A767" t="str">
            <v>KHF-00-104265-BA-6070-41006-0000-1</v>
          </cell>
          <cell r="B767" t="str">
            <v>AIP-PDO-P1701009-T-0497</v>
          </cell>
          <cell r="C767">
            <v>43300</v>
          </cell>
          <cell r="D767" t="str">
            <v>KHF-00-104265-BA-6070-41006-0000</v>
          </cell>
          <cell r="E767" t="str">
            <v>Method Statement for Mass Concreting Work for GTG Foundation</v>
          </cell>
          <cell r="F767">
            <v>1</v>
          </cell>
          <cell r="G767" t="str">
            <v>IFR</v>
          </cell>
        </row>
        <row r="768">
          <cell r="A768" t="str">
            <v>KHF-00-104265-AA-6944-10037-0000-1</v>
          </cell>
          <cell r="B768" t="str">
            <v>AIP-PDO-P1701009-T-0498</v>
          </cell>
          <cell r="C768">
            <v>43303</v>
          </cell>
          <cell r="D768" t="str">
            <v>KHF-00-104265-AA-6944-10037-0000</v>
          </cell>
          <cell r="E768" t="str">
            <v>Weekly Progress Report No.037</v>
          </cell>
          <cell r="F768">
            <v>1</v>
          </cell>
          <cell r="G768" t="str">
            <v>IFI</v>
          </cell>
        </row>
        <row r="769">
          <cell r="A769" t="str">
            <v>KHF-00-104265-CX-5880-10037-0000-1</v>
          </cell>
          <cell r="B769" t="str">
            <v>AIP-PDO-P1701009-T-0499</v>
          </cell>
          <cell r="C769">
            <v>43303</v>
          </cell>
          <cell r="D769" t="str">
            <v>KHF-00-104265-CX-5880-10037-0000</v>
          </cell>
          <cell r="E769" t="str">
            <v>GIS Building Roof Slab Concrete Pouring Plan</v>
          </cell>
          <cell r="F769">
            <v>1</v>
          </cell>
          <cell r="G769" t="str">
            <v>IFI</v>
          </cell>
        </row>
        <row r="770">
          <cell r="A770" t="str">
            <v>KHF-00-104265-BA-6065-00114-0000-1</v>
          </cell>
          <cell r="B770" t="str">
            <v>AIP-PDO-P1701009-T-0500</v>
          </cell>
          <cell r="C770">
            <v>43304</v>
          </cell>
          <cell r="D770" t="str">
            <v>KHF-00-104265-BA-6065-00114-0000</v>
          </cell>
          <cell r="E770" t="str">
            <v>Proposed Welding Procedure Specification Mainline 6” PL-8, 9 &amp; 9A</v>
          </cell>
          <cell r="F770">
            <v>1</v>
          </cell>
          <cell r="G770" t="str">
            <v>IFR</v>
          </cell>
        </row>
        <row r="771">
          <cell r="A771" t="str">
            <v>KHF-00-104265-BA-6065-50001-0000-2</v>
          </cell>
          <cell r="B771" t="str">
            <v>AIP-PDO-P1701009-T-0501</v>
          </cell>
          <cell r="C771">
            <v>43304</v>
          </cell>
          <cell r="D771" t="str">
            <v>KHF-00-104265-BA-6065-50001-0000</v>
          </cell>
          <cell r="E771" t="str">
            <v>PWPS register</v>
          </cell>
          <cell r="F771">
            <v>2</v>
          </cell>
          <cell r="G771" t="str">
            <v>IFA</v>
          </cell>
        </row>
        <row r="772">
          <cell r="A772" t="str">
            <v>KHF-00-104265-BA-6065-50002-0000-2</v>
          </cell>
          <cell r="B772" t="str">
            <v>AIP-PDO-P1701009-T-0501</v>
          </cell>
          <cell r="C772">
            <v>43304</v>
          </cell>
          <cell r="D772" t="str">
            <v>KHF-00-104265-BA-6065-50002-0000</v>
          </cell>
          <cell r="E772" t="str">
            <v>PWPS - Pipe to Barred Tee / Reduced Tee / Flange - Applicable for Pipeline PL1, PL2, PL3, PL4 &amp; PL7</v>
          </cell>
          <cell r="F772">
            <v>2</v>
          </cell>
          <cell r="G772" t="str">
            <v>IFA</v>
          </cell>
        </row>
        <row r="773">
          <cell r="A773" t="str">
            <v>KHF-00-104265-BA-6065-50003-0000-2</v>
          </cell>
          <cell r="B773" t="str">
            <v>AIP-PDO-P1701009-T-0501</v>
          </cell>
          <cell r="C773">
            <v>43304</v>
          </cell>
          <cell r="D773" t="str">
            <v>KHF-00-104265-BA-6065-50003-0000</v>
          </cell>
          <cell r="E773" t="str">
            <v>PWPS - Pipe to Barred Tee / Flange - Applicable for Pipeline PL8 &amp; PL9</v>
          </cell>
          <cell r="F773">
            <v>2</v>
          </cell>
          <cell r="G773" t="str">
            <v>IFA</v>
          </cell>
        </row>
        <row r="774">
          <cell r="A774" t="str">
            <v>KHF-00-104265-BA-6065-50004-0000-2</v>
          </cell>
          <cell r="B774" t="str">
            <v>AIP-PDO-P1701009-T-0501</v>
          </cell>
          <cell r="C774">
            <v>43304</v>
          </cell>
          <cell r="D774" t="str">
            <v>KHF-00-104265-BA-6065-50004-0000</v>
          </cell>
          <cell r="E774" t="str">
            <v>PWPS - Pipe to Barred Tee / Flange - Applicable for Pipeline PL5</v>
          </cell>
          <cell r="F774">
            <v>2</v>
          </cell>
          <cell r="G774" t="str">
            <v>IFA</v>
          </cell>
        </row>
        <row r="775">
          <cell r="A775" t="str">
            <v>KHF-00-104265-BA-6065-50009-0000-2</v>
          </cell>
          <cell r="B775" t="str">
            <v>AIP-PDO-P1701009-T-0501</v>
          </cell>
          <cell r="C775">
            <v>43304</v>
          </cell>
          <cell r="D775" t="str">
            <v>KHF-00-104265-BA-6065-50009-0000</v>
          </cell>
          <cell r="E775" t="str">
            <v>PWPS - Repair procedure applicable for PL1, PL2, PL3, PL4, PL5, PL7, PL8, PL9 &amp; PL9A</v>
          </cell>
          <cell r="F775">
            <v>2</v>
          </cell>
          <cell r="G775" t="str">
            <v>IFA</v>
          </cell>
        </row>
        <row r="776">
          <cell r="A776" t="str">
            <v>KHF-00-104265-HX-6613-10049-0000-1</v>
          </cell>
          <cell r="B776" t="str">
            <v>AIP-PDO-P1701009-T-0502</v>
          </cell>
          <cell r="C776">
            <v>43304</v>
          </cell>
          <cell r="D776" t="str">
            <v>KHF-00-104265-HX-6613-10049-0000</v>
          </cell>
          <cell r="E776" t="str">
            <v>WORK HEMP REGISTER (COMMERCIAL CATERING SERVICES.LLC)</v>
          </cell>
          <cell r="F776">
            <v>1</v>
          </cell>
          <cell r="G776" t="str">
            <v>IFR</v>
          </cell>
        </row>
        <row r="777">
          <cell r="A777" t="str">
            <v>KHF-00-104265-RA-8241-51066-0000-1</v>
          </cell>
          <cell r="B777" t="str">
            <v>AIP-PDO-P1701009-T-0503</v>
          </cell>
          <cell r="C777">
            <v>43305</v>
          </cell>
          <cell r="D777" t="str">
            <v>KHF-00-104265-RA-8241-51066-0000</v>
          </cell>
          <cell r="E777" t="str">
            <v>MATERIAL APPROVAL SHEET FOR FOUNDATION GROUT</v>
          </cell>
          <cell r="F777">
            <v>1</v>
          </cell>
          <cell r="G777" t="str">
            <v>IFA</v>
          </cell>
        </row>
        <row r="778">
          <cell r="A778" t="str">
            <v>KHF-00-104265-RA-8241-51067-0000-1</v>
          </cell>
          <cell r="B778" t="str">
            <v>AIP-PDO-P1701009-T-0503</v>
          </cell>
          <cell r="C778">
            <v>43305</v>
          </cell>
          <cell r="D778" t="str">
            <v>KHF-00-104265-RA-8241-51067-0000</v>
          </cell>
          <cell r="E778" t="str">
            <v>MATERIAL APPROVAL SHEET FOR PRE MIX PLASTER</v>
          </cell>
          <cell r="F778">
            <v>1</v>
          </cell>
          <cell r="G778" t="str">
            <v>IFA</v>
          </cell>
        </row>
        <row r="779">
          <cell r="A779" t="str">
            <v>KHF-00-104265-QA-6050-00607-0000-1</v>
          </cell>
          <cell r="B779" t="str">
            <v>AIP-PDO-P1701009-T-0504</v>
          </cell>
          <cell r="C779">
            <v>43305</v>
          </cell>
          <cell r="D779" t="str">
            <v>KHF-00-104265-QA-6050-00607-0000</v>
          </cell>
          <cell r="E779" t="str">
            <v>Material Control Procedure</v>
          </cell>
          <cell r="F779">
            <v>1</v>
          </cell>
          <cell r="G779" t="str">
            <v>IFR</v>
          </cell>
        </row>
        <row r="780">
          <cell r="A780" t="str">
            <v>KHF-00-104265-RA-8241-51069-0000-1</v>
          </cell>
          <cell r="B780" t="str">
            <v>AIP-PDO-P1701009-T-0505</v>
          </cell>
          <cell r="C780">
            <v>43305</v>
          </cell>
          <cell r="D780" t="str">
            <v>KHF-00-104265-RA-8241-51069-0000</v>
          </cell>
          <cell r="E780" t="str">
            <v>Material Approval Sheet for Protection Tape &amp; Warning Tape (Supplier: Zawawi Trading LLC)</v>
          </cell>
          <cell r="F780">
            <v>1</v>
          </cell>
          <cell r="G780" t="str">
            <v>IFR</v>
          </cell>
        </row>
        <row r="781">
          <cell r="A781" t="str">
            <v>KHF-00-104265-RA-8241-51070-0000-1</v>
          </cell>
          <cell r="B781" t="str">
            <v>AIP-PDO-P1701009-T-0505</v>
          </cell>
          <cell r="C781">
            <v>43305</v>
          </cell>
          <cell r="D781" t="str">
            <v>KHF-00-104265-RA-8241-51070-0000</v>
          </cell>
          <cell r="E781" t="str">
            <v>Material Approval Sheet for Protection Tape &amp; Warning Tape (Nasma Telecommunications  LLC)</v>
          </cell>
          <cell r="F781">
            <v>1</v>
          </cell>
          <cell r="G781" t="str">
            <v>IFR</v>
          </cell>
        </row>
        <row r="782">
          <cell r="A782" t="str">
            <v>KHF-00-104265-LA-1580-00139-0000-1</v>
          </cell>
          <cell r="B782" t="str">
            <v>AIP-PDO-P1701009-T-0506</v>
          </cell>
          <cell r="C782">
            <v>43306</v>
          </cell>
          <cell r="D782" t="str">
            <v>KHF-00-104265-LA-1580-00139-0000</v>
          </cell>
          <cell r="E782" t="str">
            <v>List of GRE Bonders (for FGS Station)</v>
          </cell>
          <cell r="F782">
            <v>1</v>
          </cell>
          <cell r="G782" t="str">
            <v>IFR</v>
          </cell>
        </row>
        <row r="783">
          <cell r="A783" t="str">
            <v>KHF-00-104265-AA-3341-00128-0000-1</v>
          </cell>
          <cell r="B783" t="str">
            <v>AIP-PDO-P1701009-T-0507</v>
          </cell>
          <cell r="C783">
            <v>43306</v>
          </cell>
          <cell r="D783" t="str">
            <v>KHF-00-104265-AA-3341-00128-0000</v>
          </cell>
          <cell r="E783" t="str">
            <v>CV of Sithik Baig - GRE Supervisor (FGS System)</v>
          </cell>
          <cell r="F783">
            <v>1</v>
          </cell>
          <cell r="G783" t="str">
            <v>IFA</v>
          </cell>
        </row>
        <row r="784">
          <cell r="A784" t="str">
            <v>KHF-00-104265-BA-6070-42001-0000-1</v>
          </cell>
          <cell r="B784" t="str">
            <v>AIP-PDO-P1701009-T-0508</v>
          </cell>
          <cell r="C784">
            <v>43310</v>
          </cell>
          <cell r="D784" t="str">
            <v>KHF-00-104265-BA-6070-42001-0000</v>
          </cell>
          <cell r="E784" t="str">
            <v>Method Statement for Installation of Pipe Rack Structures at Power Plant</v>
          </cell>
          <cell r="F784">
            <v>1</v>
          </cell>
          <cell r="G784" t="str">
            <v>IFA</v>
          </cell>
        </row>
        <row r="785">
          <cell r="A785" t="str">
            <v>withdrawn</v>
          </cell>
          <cell r="B785" t="str">
            <v>AIP-PDO-P1701009-T-0509</v>
          </cell>
          <cell r="C785">
            <v>43310</v>
          </cell>
          <cell r="D785" t="str">
            <v>KHF-00-104265-BA-6065-00115-0000</v>
          </cell>
          <cell r="E785" t="str">
            <v>Proposed Welding Procedure Specification TIE-IN 6” PL-8, 9 &amp; 9A</v>
          </cell>
          <cell r="F785">
            <v>1</v>
          </cell>
          <cell r="G785" t="str">
            <v>withdrawn</v>
          </cell>
        </row>
        <row r="786">
          <cell r="A786" t="str">
            <v>KHF-00-104265-BA-6070-00112-0000-2</v>
          </cell>
          <cell r="B786" t="str">
            <v>AIP-PDO-P1701009-T-0510</v>
          </cell>
          <cell r="C786">
            <v>43310</v>
          </cell>
          <cell r="D786" t="str">
            <v>KHF-00-104265-BA-6070-00112-0000</v>
          </cell>
          <cell r="E786" t="str">
            <v>Method Statement for Holiday testing, lowering, post padding &amp; back filling</v>
          </cell>
          <cell r="F786">
            <v>2</v>
          </cell>
          <cell r="G786" t="str">
            <v>IFA</v>
          </cell>
        </row>
        <row r="787">
          <cell r="A787" t="str">
            <v>KHF-00-104265-QA-6180-00122-0000-4</v>
          </cell>
          <cell r="B787" t="str">
            <v>AIP-PDO-P1701009-T-0511</v>
          </cell>
          <cell r="C787">
            <v>43310</v>
          </cell>
          <cell r="D787" t="str">
            <v>KHF-00-104265-QA-6180-00122-0000</v>
          </cell>
          <cell r="E787" t="str">
            <v>Quality Control Procedure for Material Handling, Storage &amp; Control</v>
          </cell>
          <cell r="F787">
            <v>4</v>
          </cell>
          <cell r="G787" t="str">
            <v>IFA</v>
          </cell>
        </row>
        <row r="788">
          <cell r="A788" t="str">
            <v>KHF-00-104265-QA-6050-00106-0000-5</v>
          </cell>
          <cell r="B788" t="str">
            <v>AIP-PDO-P1701009-T-0511</v>
          </cell>
          <cell r="C788">
            <v>43310</v>
          </cell>
          <cell r="D788" t="str">
            <v>KHF-00-104265-QA-6050-00106-0000</v>
          </cell>
          <cell r="E788" t="str">
            <v>Quality Control Plan for Installation of CS  Pipeline</v>
          </cell>
          <cell r="F788">
            <v>5</v>
          </cell>
          <cell r="G788" t="str">
            <v>IFA</v>
          </cell>
        </row>
        <row r="789">
          <cell r="A789" t="str">
            <v>KHF-00-104265-RA-8241-51068-0000-1</v>
          </cell>
          <cell r="B789" t="str">
            <v>AIP-PDO-P1701009-T-0512</v>
          </cell>
          <cell r="C789">
            <v>43310</v>
          </cell>
          <cell r="D789" t="str">
            <v>KHF-00-104265-RA-8241-51068-0000</v>
          </cell>
          <cell r="E789" t="str">
            <v>Material Approval Sheet for Foundation Grouting Material</v>
          </cell>
          <cell r="F789">
            <v>1</v>
          </cell>
          <cell r="G789" t="str">
            <v>IFA</v>
          </cell>
        </row>
        <row r="790">
          <cell r="A790" t="str">
            <v>KHF-00-104265-QA-5798-10009-0000-4</v>
          </cell>
          <cell r="B790" t="str">
            <v>AIP-PDO-P1701009-T-0513</v>
          </cell>
          <cell r="C790">
            <v>43310</v>
          </cell>
          <cell r="D790" t="str">
            <v>KHF-00-104265-QA-5798-10009-0000</v>
          </cell>
          <cell r="E790" t="str">
            <v>Contract Quality Plan</v>
          </cell>
          <cell r="F790">
            <v>4</v>
          </cell>
          <cell r="G790" t="str">
            <v>IFA</v>
          </cell>
        </row>
        <row r="791">
          <cell r="A791" t="str">
            <v>KHF-00-104265-AA-6944-10038-0000-1</v>
          </cell>
          <cell r="B791" t="str">
            <v>AIP-PDO-P1701009-T-0514</v>
          </cell>
          <cell r="C791">
            <v>43310</v>
          </cell>
          <cell r="D791" t="str">
            <v>KHF-00-104265-AA-6944-10038-0000</v>
          </cell>
          <cell r="E791" t="str">
            <v>Weekly Progress Report No.038</v>
          </cell>
          <cell r="F791">
            <v>1</v>
          </cell>
          <cell r="G791" t="str">
            <v>IFI</v>
          </cell>
        </row>
        <row r="792">
          <cell r="A792" t="str">
            <v>KHF-00-104265-RA-8241-51065-0000-1</v>
          </cell>
          <cell r="B792" t="str">
            <v>AIP-PDO-P1701009-T-0515</v>
          </cell>
          <cell r="C792">
            <v>43310</v>
          </cell>
          <cell r="D792" t="str">
            <v>KHF-00-104265-RA-8241-51065-0000</v>
          </cell>
          <cell r="E792" t="str">
            <v>Material Approval Sheet for Roof Concrete Tile</v>
          </cell>
          <cell r="F792">
            <v>1</v>
          </cell>
          <cell r="G792" t="str">
            <v>IFA</v>
          </cell>
        </row>
        <row r="793">
          <cell r="A793" t="str">
            <v>KHF-00-104265-BA-6070-43009-0000-1</v>
          </cell>
          <cell r="B793" t="str">
            <v>AIP-PDO-P1701009-T-0516</v>
          </cell>
          <cell r="C793">
            <v>43311</v>
          </cell>
          <cell r="D793" t="str">
            <v>KHF-00-104265-BA-6070-43009-0000</v>
          </cell>
          <cell r="E793" t="str">
            <v>METHOD STATEMENT SKIDDING &amp; JACKING OF 2 x 110 MVA TRANSFORMERS</v>
          </cell>
          <cell r="F793">
            <v>1</v>
          </cell>
          <cell r="G793" t="str">
            <v>IFA</v>
          </cell>
        </row>
        <row r="794">
          <cell r="A794" t="str">
            <v>KHF-00-104265-AA-3341-60097-0000-1</v>
          </cell>
          <cell r="B794" t="str">
            <v>AIP-PDO-P1701009-T-0517</v>
          </cell>
          <cell r="C794">
            <v>43311</v>
          </cell>
          <cell r="D794" t="str">
            <v>KHF-00-104265-AA-3341-60097-0000</v>
          </cell>
          <cell r="E794" t="str">
            <v>CV OF MR. SYED KHAWAR ZAFAR - AIP SITE BASED HSE ADVISOR</v>
          </cell>
          <cell r="F794">
            <v>1</v>
          </cell>
          <cell r="G794" t="str">
            <v>IFA</v>
          </cell>
        </row>
        <row r="795">
          <cell r="A795" t="str">
            <v>KHF-00-104265-QA-6050-00109-0000-2</v>
          </cell>
          <cell r="B795" t="str">
            <v>AIP-PDO-P1701009-T-0518</v>
          </cell>
          <cell r="C795">
            <v>43311</v>
          </cell>
          <cell r="D795" t="str">
            <v>KHF-00-104265-QA-6050-00109-0000</v>
          </cell>
          <cell r="E795" t="str">
            <v>Quality Control Plan for Application of Stopaq</v>
          </cell>
          <cell r="F795">
            <v>2</v>
          </cell>
          <cell r="G795" t="str">
            <v>IFA</v>
          </cell>
        </row>
        <row r="796">
          <cell r="A796" t="str">
            <v>KHF-00-104265-MP-6180-00141-0000-1</v>
          </cell>
          <cell r="B796" t="str">
            <v>AIP-PDO-P1701009-T-0519</v>
          </cell>
          <cell r="C796">
            <v>43311</v>
          </cell>
          <cell r="D796" t="str">
            <v>KHF-00-104265-MP-6180-00141-0000</v>
          </cell>
          <cell r="E796" t="str">
            <v>Method Statement for Road &amp; Wadi Crossing of GRE Pipeline (Threaded)</v>
          </cell>
          <cell r="F796">
            <v>1</v>
          </cell>
          <cell r="G796" t="str">
            <v>IFA</v>
          </cell>
        </row>
        <row r="797">
          <cell r="A797" t="str">
            <v>KHF-00-104265-MP-6180-00142-0000-1</v>
          </cell>
          <cell r="B797" t="str">
            <v>AIP-PDO-P1701009-T-0519</v>
          </cell>
          <cell r="C797">
            <v>43311</v>
          </cell>
          <cell r="D797" t="str">
            <v>KHF-00-104265-MP-6180-00142-0000</v>
          </cell>
          <cell r="E797" t="str">
            <v>Method Statement for Trenching, Post Padding &amp; Backfilling of GRE Pipeline (Threaded)</v>
          </cell>
          <cell r="F797">
            <v>1</v>
          </cell>
          <cell r="G797" t="str">
            <v>IFR</v>
          </cell>
        </row>
        <row r="798">
          <cell r="A798" t="str">
            <v>KHF-00-104265-RA-8241-51071-0000-1</v>
          </cell>
          <cell r="B798" t="str">
            <v>AIP-PDO-P1701009-T-0520</v>
          </cell>
          <cell r="C798">
            <v>43311</v>
          </cell>
          <cell r="D798" t="str">
            <v>KHF-00-104265-RA-8241-51071-0000</v>
          </cell>
          <cell r="E798" t="str">
            <v>MATERIAL APPROVAL SHEET FOR CS PIPE SLEEVES</v>
          </cell>
          <cell r="F798">
            <v>1</v>
          </cell>
          <cell r="G798" t="str">
            <v>IFA</v>
          </cell>
        </row>
        <row r="799">
          <cell r="A799" t="str">
            <v>KHF-00-104265-RA-8241-51073-0000-1</v>
          </cell>
          <cell r="B799" t="str">
            <v>AIP-PDO-P1701009-T-0520</v>
          </cell>
          <cell r="C799">
            <v>43311</v>
          </cell>
          <cell r="D799" t="str">
            <v>KHF-00-104265-RA-8241-51073-0000</v>
          </cell>
          <cell r="E799" t="str">
            <v>MATERIAL APPROVAL SHEET FOR WADI STONES 75-100 MM</v>
          </cell>
          <cell r="F799">
            <v>1</v>
          </cell>
          <cell r="G799" t="str">
            <v>IFA</v>
          </cell>
        </row>
        <row r="800">
          <cell r="A800" t="str">
            <v>KHF-00-104265-BA-6065-00134-0000-2</v>
          </cell>
          <cell r="B800" t="str">
            <v>AIP-PDO-P1701009-T-0521</v>
          </cell>
          <cell r="C800">
            <v>43311</v>
          </cell>
          <cell r="D800" t="str">
            <v>KHF-00-104265-BA-6065-00134-0000</v>
          </cell>
          <cell r="E800" t="str">
            <v>Welding Procedure Specification (Mainline 8 PL-7,8,9 &amp; 9A)</v>
          </cell>
          <cell r="F800">
            <v>2</v>
          </cell>
          <cell r="G800" t="str">
            <v>IFA</v>
          </cell>
        </row>
        <row r="801">
          <cell r="A801" t="str">
            <v>KHF-00-104265-AA-3341-00129-0000-1</v>
          </cell>
          <cell r="B801" t="str">
            <v>AIP-PDO-P1701009-T-0522</v>
          </cell>
          <cell r="C801">
            <v>43311</v>
          </cell>
          <cell r="D801" t="str">
            <v>KHF-00-104265-AA-3341-00129-0000</v>
          </cell>
          <cell r="E801" t="str">
            <v>CV of Mr.Aneesh.K.A - HSE Advisor</v>
          </cell>
          <cell r="F801">
            <v>1</v>
          </cell>
          <cell r="G801" t="str">
            <v>IFA</v>
          </cell>
        </row>
        <row r="802">
          <cell r="A802" t="str">
            <v>KHF-00-104265-AA-3341-00130-0000-1</v>
          </cell>
          <cell r="B802" t="str">
            <v>AIP-PDO-P1701009-T-0523</v>
          </cell>
          <cell r="C802">
            <v>43313</v>
          </cell>
          <cell r="D802" t="str">
            <v>KHF-00-104265-AA-3341-00130-0000</v>
          </cell>
          <cell r="E802" t="str">
            <v>CV of Mr. Robin K George - Welding Inspector</v>
          </cell>
          <cell r="F802">
            <v>1</v>
          </cell>
          <cell r="G802" t="str">
            <v>IFA</v>
          </cell>
        </row>
        <row r="803">
          <cell r="A803" t="str">
            <v>KHF-00-104265-RA-8241-51075-0000-1</v>
          </cell>
          <cell r="B803" t="str">
            <v>AIP-PDO-P1701009-T-0524</v>
          </cell>
          <cell r="C803">
            <v>43313</v>
          </cell>
          <cell r="D803" t="str">
            <v>KHF-00-104265-RA-8241-51075-0000</v>
          </cell>
          <cell r="E803" t="str">
            <v>Material Approval Sheet for Decorative Painting to Building</v>
          </cell>
          <cell r="F803">
            <v>1</v>
          </cell>
          <cell r="G803" t="str">
            <v>IFA</v>
          </cell>
        </row>
        <row r="804">
          <cell r="A804" t="str">
            <v>KHF-00-104265-QA-5733-00601-0000-2</v>
          </cell>
          <cell r="B804" t="str">
            <v>AIP-PDO-P1701009-T-0525</v>
          </cell>
          <cell r="C804">
            <v>43313</v>
          </cell>
          <cell r="D804" t="str">
            <v>KHF-00-104265-QA-5733-00601-0000</v>
          </cell>
          <cell r="E804" t="str">
            <v>INSPECTION &amp; TEST PLAN FOR CS &amp; LTCS PIPING FABRICATION (Off Plot / Power Plant)</v>
          </cell>
          <cell r="F804">
            <v>2</v>
          </cell>
          <cell r="G804" t="str">
            <v>IFR</v>
          </cell>
        </row>
        <row r="805">
          <cell r="A805" t="str">
            <v>KHF-00-104265-RA-6038-00607-0000-1</v>
          </cell>
          <cell r="B805" t="str">
            <v>AIP-PDO-P1701009-T-0525</v>
          </cell>
          <cell r="C805">
            <v>43313</v>
          </cell>
          <cell r="D805" t="str">
            <v>KHF-00-104265-RA-6038-00607-0000</v>
          </cell>
          <cell r="E805" t="str">
            <v>HARDNESS TEST PROCEDURE</v>
          </cell>
          <cell r="F805">
            <v>1</v>
          </cell>
          <cell r="G805" t="str">
            <v>IFR</v>
          </cell>
        </row>
        <row r="806">
          <cell r="A806" t="str">
            <v>-</v>
          </cell>
          <cell r="B806" t="str">
            <v>AIP-PDO-P1701009-T-0526</v>
          </cell>
          <cell r="C806">
            <v>43314</v>
          </cell>
          <cell r="D806" t="str">
            <v>KHF-00-104265-BA-6070-42002-0000</v>
          </cell>
          <cell r="E806" t="str">
            <v>METHOD STATEMENT FOR RECTIFICATION OF GALVANISING COATNG OF GIS TRANSFORMER INSERT / EMBEDDED PLATE</v>
          </cell>
          <cell r="F806">
            <v>1</v>
          </cell>
          <cell r="G806" t="str">
            <v>cancelled</v>
          </cell>
        </row>
        <row r="807">
          <cell r="A807" t="str">
            <v>-</v>
          </cell>
          <cell r="B807" t="str">
            <v>AIP-PDO-P1701009-T-0526</v>
          </cell>
          <cell r="C807">
            <v>43314</v>
          </cell>
          <cell r="D807" t="str">
            <v>KHF-00-104265-BA-6070-42003-0000</v>
          </cell>
          <cell r="E807" t="str">
            <v>METHOD STATEMENT FOR INSERT PLATE / EMBEDED PLATE ELEVATION, LEVELLING RECTIFICATION.</v>
          </cell>
          <cell r="F807">
            <v>1</v>
          </cell>
          <cell r="G807" t="str">
            <v>cancelled</v>
          </cell>
        </row>
        <row r="808">
          <cell r="A808" t="str">
            <v>KHF-00-104265-AA-6944-20010-0000-1</v>
          </cell>
          <cell r="B808" t="str">
            <v>AIP-PDO-P1701009-T-0527</v>
          </cell>
          <cell r="C808">
            <v>43314</v>
          </cell>
          <cell r="D808" t="str">
            <v>KHF-00-104265-AA-6944-20010-0000</v>
          </cell>
          <cell r="E808" t="str">
            <v>Monthly Progress Report No.010 (July 2018)</v>
          </cell>
          <cell r="F808">
            <v>1</v>
          </cell>
          <cell r="G808" t="str">
            <v>IFI</v>
          </cell>
        </row>
        <row r="809">
          <cell r="A809" t="str">
            <v>KHF-00-104265-AA-3341-60098-0000-1</v>
          </cell>
          <cell r="B809" t="str">
            <v>AIP-PDO-P1701009-T-0528</v>
          </cell>
          <cell r="C809">
            <v>43316</v>
          </cell>
          <cell r="D809" t="str">
            <v>KHF-00-104265-AA-3341-60098-0000</v>
          </cell>
          <cell r="E809" t="str">
            <v>CV OF MR.KUNDAN SINGH - WELDING INSPECTOR</v>
          </cell>
          <cell r="F809">
            <v>1</v>
          </cell>
          <cell r="G809" t="str">
            <v>IFA</v>
          </cell>
        </row>
        <row r="810">
          <cell r="A810" t="str">
            <v>KHF-00-104265-BA-6070-42002-0000-1</v>
          </cell>
          <cell r="B810" t="str">
            <v>AIP-PDO-P1701009-T-0529</v>
          </cell>
          <cell r="C810">
            <v>43317</v>
          </cell>
          <cell r="D810" t="str">
            <v>KHF-00-104265-BA-6070-42002-0000</v>
          </cell>
          <cell r="E810" t="str">
            <v>METHOD STATEMENT FOR RECTIFICATION OF GALVANISING COATNG OF GIS TRANSFORMER INSERT / EMBEDDED PLATE</v>
          </cell>
          <cell r="F810">
            <v>1</v>
          </cell>
          <cell r="G810" t="str">
            <v>IFR</v>
          </cell>
        </row>
        <row r="811">
          <cell r="A811" t="str">
            <v>KHF-00-104265-BA-6070-42003-0000-1</v>
          </cell>
          <cell r="B811" t="str">
            <v>AIP-PDO-P1701009-T-0529</v>
          </cell>
          <cell r="C811">
            <v>43317</v>
          </cell>
          <cell r="D811" t="str">
            <v>KHF-00-104265-BA-6070-42003-0000</v>
          </cell>
          <cell r="E811" t="str">
            <v>METHOD STATEMENT FOR INSERT PLATE / EMBEDED PLATE ELEVATION, LEVELLING RECTIFICATION.</v>
          </cell>
          <cell r="F811">
            <v>1</v>
          </cell>
          <cell r="G811" t="str">
            <v>IFR</v>
          </cell>
        </row>
        <row r="812">
          <cell r="A812" t="str">
            <v>KHF-00-104265-RA-8241-51076-0000-1</v>
          </cell>
          <cell r="B812" t="str">
            <v>AIP-PDO-P1701009-T-0530</v>
          </cell>
          <cell r="C812">
            <v>43317</v>
          </cell>
          <cell r="D812" t="str">
            <v>KHF-00-104265-RA-8241-51076-0000</v>
          </cell>
          <cell r="E812" t="str">
            <v>MATERIAL APPROVAL SHEET FOR EXTERIOR &amp; INTERIOR PAINT</v>
          </cell>
          <cell r="F812">
            <v>1</v>
          </cell>
          <cell r="G812" t="str">
            <v>IFA</v>
          </cell>
        </row>
        <row r="813">
          <cell r="A813" t="str">
            <v>KHF-00-104265-BA-6065-00617-0000-1</v>
          </cell>
          <cell r="B813" t="str">
            <v>AIP-PDO-P1701009-T-0531</v>
          </cell>
          <cell r="C813">
            <v>43317</v>
          </cell>
          <cell r="D813" t="str">
            <v>KHF-00-104265-BA-6065-00617-0000</v>
          </cell>
          <cell r="E813" t="str">
            <v>WELDING PROCEDURE SPECIFICATION (WPS) / PQR– 017 (AI-WPS-T-622FW)</v>
          </cell>
          <cell r="F813">
            <v>1</v>
          </cell>
          <cell r="G813" t="str">
            <v>IFR</v>
          </cell>
        </row>
        <row r="814">
          <cell r="A814" t="str">
            <v>KHF-00-104265-BA-6065-00618-0000-1</v>
          </cell>
          <cell r="B814" t="str">
            <v>AIP-PDO-P1701009-T-0531</v>
          </cell>
          <cell r="C814">
            <v>43317</v>
          </cell>
          <cell r="D814" t="str">
            <v>KHF-00-104265-BA-6065-00618-0000</v>
          </cell>
          <cell r="E814" t="str">
            <v>WELDING PROCEDURE SPECIFICATION (WPS) / PQR– 018 (AI-WPS-TM-549FW)</v>
          </cell>
          <cell r="F814">
            <v>1</v>
          </cell>
          <cell r="G814" t="str">
            <v>IFR</v>
          </cell>
        </row>
        <row r="815">
          <cell r="A815" t="str">
            <v>KHF-00-104265-BA-6065-00619-0000-1</v>
          </cell>
          <cell r="B815" t="str">
            <v>AIP-PDO-P1701009-T-0531</v>
          </cell>
          <cell r="C815">
            <v>43317</v>
          </cell>
          <cell r="D815" t="str">
            <v>KHF-00-104265-BA-6065-00619-0000</v>
          </cell>
          <cell r="E815" t="str">
            <v>WELDING PROCEDURE SPECIFICATION (WPS) / PQR– 019 (AI-WPS-T-618FW)</v>
          </cell>
          <cell r="F815">
            <v>1</v>
          </cell>
          <cell r="G815" t="str">
            <v>IFR</v>
          </cell>
        </row>
        <row r="816">
          <cell r="A816" t="str">
            <v>KHF-00-104265-BA-6065-00620-0000-1</v>
          </cell>
          <cell r="B816" t="str">
            <v>AIP-PDO-P1701009-T-0531</v>
          </cell>
          <cell r="C816">
            <v>43317</v>
          </cell>
          <cell r="D816" t="str">
            <v>KHF-00-104265-BA-6065-00620-0000</v>
          </cell>
          <cell r="E816" t="str">
            <v>WELDING PROCEDURE SPECIFICATION (WPS) / PQR– 020 (AI-WPS-TM-625FW)</v>
          </cell>
          <cell r="F816">
            <v>1</v>
          </cell>
          <cell r="G816" t="str">
            <v>IFR</v>
          </cell>
        </row>
        <row r="817">
          <cell r="A817" t="str">
            <v>KHF-00-104265-BA-6065-00622-0000-1</v>
          </cell>
          <cell r="B817" t="str">
            <v>AIP-PDO-P1701009-T-0531</v>
          </cell>
          <cell r="C817">
            <v>43317</v>
          </cell>
          <cell r="D817" t="str">
            <v>KHF-00-104265-BA-6065-00622-0000</v>
          </cell>
          <cell r="E817" t="str">
            <v>WELDING PROCEDURE SPECIFICATION (WPS) / PQR– 022 (AI-WPS-T-468FW)</v>
          </cell>
          <cell r="F817">
            <v>1</v>
          </cell>
          <cell r="G817" t="str">
            <v>IFR</v>
          </cell>
        </row>
        <row r="818">
          <cell r="A818" t="str">
            <v>KHF-00-104265-BA-6065-00699-0000-2</v>
          </cell>
          <cell r="B818" t="str">
            <v>AIP-PDO-P1701009-T-0532</v>
          </cell>
          <cell r="C818">
            <v>43317</v>
          </cell>
          <cell r="D818" t="str">
            <v>KHF-00-104265-BA-6065-00699-0000</v>
          </cell>
          <cell r="E818" t="str">
            <v>WPS Register</v>
          </cell>
          <cell r="F818">
            <v>2</v>
          </cell>
          <cell r="G818" t="str">
            <v>IFA</v>
          </cell>
        </row>
        <row r="819">
          <cell r="A819" t="str">
            <v>KHF-00-104265-AA-6944-10039-0000-1</v>
          </cell>
          <cell r="B819" t="str">
            <v>AIP-PDO-P1701009-T-0533</v>
          </cell>
          <cell r="C819">
            <v>43317</v>
          </cell>
          <cell r="D819" t="str">
            <v>KHF-00-104265-AA-6944-10039-0000</v>
          </cell>
          <cell r="E819" t="str">
            <v>Weekly Progress Report No.039</v>
          </cell>
          <cell r="F819">
            <v>1</v>
          </cell>
          <cell r="G819" t="str">
            <v>IFI</v>
          </cell>
        </row>
        <row r="820">
          <cell r="A820" t="str">
            <v>KHF-00-104265-QA-6050-00111-0000-1</v>
          </cell>
          <cell r="B820" t="str">
            <v>AIP-PDO-P1701009-T-0534</v>
          </cell>
          <cell r="C820">
            <v>43318</v>
          </cell>
          <cell r="D820" t="str">
            <v>KHF-00-104265-QA-6050-00111-0000</v>
          </cell>
          <cell r="E820" t="str">
            <v>Quality Control Plan for Installation of GRE Pipeline (Threaded)</v>
          </cell>
          <cell r="F820">
            <v>1</v>
          </cell>
          <cell r="G820" t="str">
            <v>IFA</v>
          </cell>
        </row>
        <row r="821">
          <cell r="A821" t="str">
            <v>KHF-00-104265-QA-6050-00102-0000-4</v>
          </cell>
          <cell r="B821" t="str">
            <v>AIP-PDO-P1701009-T-0534</v>
          </cell>
          <cell r="C821">
            <v>43318</v>
          </cell>
          <cell r="D821" t="str">
            <v>KHF-00-104265-QA-6050-00102-0000</v>
          </cell>
          <cell r="E821" t="str">
            <v>Quality Control Plan for Earthworks</v>
          </cell>
          <cell r="F821">
            <v>4</v>
          </cell>
          <cell r="G821" t="str">
            <v>IFA</v>
          </cell>
        </row>
        <row r="822">
          <cell r="A822" t="str">
            <v>KHF-00-104265-QA-6050-00103-0000-3</v>
          </cell>
          <cell r="B822" t="str">
            <v>AIP-PDO-P1701009-T-0534</v>
          </cell>
          <cell r="C822">
            <v>43318</v>
          </cell>
          <cell r="D822" t="str">
            <v>KHF-00-104265-QA-6050-00103-0000</v>
          </cell>
          <cell r="E822" t="str">
            <v>Quality Control Plan for Concrete Works</v>
          </cell>
          <cell r="F822">
            <v>3</v>
          </cell>
          <cell r="G822" t="str">
            <v>IFA</v>
          </cell>
        </row>
        <row r="823">
          <cell r="A823" t="str">
            <v>KHF-00-104265-QA-6050-00107-0000-3</v>
          </cell>
          <cell r="B823" t="str">
            <v>AIP-PDO-P1701009-T-0534</v>
          </cell>
          <cell r="C823">
            <v>43318</v>
          </cell>
          <cell r="D823" t="str">
            <v>KHF-00-104265-QA-6050-00107-0000</v>
          </cell>
          <cell r="E823" t="str">
            <v>Quality Control Plan for Painting (PCS-01)</v>
          </cell>
          <cell r="F823">
            <v>3</v>
          </cell>
          <cell r="G823" t="str">
            <v>IFA</v>
          </cell>
        </row>
        <row r="824">
          <cell r="A824" t="str">
            <v>KHF-00-104265-BA-6070-43002-0000-1</v>
          </cell>
          <cell r="B824" t="str">
            <v>AIP-PDO-P1701009-T-0535</v>
          </cell>
          <cell r="C824">
            <v>43319</v>
          </cell>
          <cell r="D824" t="str">
            <v>KHF-00-104265-BA-6070-43002-0000</v>
          </cell>
          <cell r="E824" t="str">
            <v>METHOD STATEMENT FOR INSTALLATION &amp; TESTING OF LV/HV SWITCHGEAR, PANELS</v>
          </cell>
          <cell r="F824">
            <v>1</v>
          </cell>
          <cell r="G824" t="str">
            <v>IFR</v>
          </cell>
        </row>
        <row r="825">
          <cell r="A825" t="str">
            <v>KHF-00-104265-BA-6070-43003-0000-1</v>
          </cell>
          <cell r="B825" t="str">
            <v>AIP-PDO-P1701009-T-0535</v>
          </cell>
          <cell r="C825">
            <v>43319</v>
          </cell>
          <cell r="D825" t="str">
            <v>KHF-00-104265-BA-6070-43003-0000</v>
          </cell>
          <cell r="E825" t="str">
            <v>METHOD STATEMENT FOR ERECTION OF HV TRANSFORMERS</v>
          </cell>
          <cell r="F825">
            <v>1</v>
          </cell>
          <cell r="G825" t="str">
            <v>IFR</v>
          </cell>
        </row>
        <row r="826">
          <cell r="A826" t="str">
            <v>KHF-00-104265-BA-6070-43004-0000-1</v>
          </cell>
          <cell r="B826" t="str">
            <v>AIP-PDO-P1701009-T-0535</v>
          </cell>
          <cell r="C826">
            <v>43319</v>
          </cell>
          <cell r="D826" t="str">
            <v>KHF-00-104265-BA-6070-43004-0000</v>
          </cell>
          <cell r="E826" t="str">
            <v>METHOD STATEMENT FOR INSTALLATION &amp; TESTING OF LIGHTING SYSTEM</v>
          </cell>
          <cell r="F826">
            <v>1</v>
          </cell>
          <cell r="G826" t="str">
            <v>IFR</v>
          </cell>
        </row>
        <row r="827">
          <cell r="A827" t="str">
            <v>KHF-00-104265-BA-6070-43005-0000-1</v>
          </cell>
          <cell r="B827" t="str">
            <v>AIP-PDO-P1701009-T-0535</v>
          </cell>
          <cell r="C827">
            <v>43319</v>
          </cell>
          <cell r="D827" t="str">
            <v>KHF-00-104265-BA-6070-43005-0000</v>
          </cell>
          <cell r="E827" t="str">
            <v>METHOD STATEMENT FOR INSTALLATION OF CABLE TRAY</v>
          </cell>
          <cell r="F827">
            <v>1</v>
          </cell>
          <cell r="G827" t="str">
            <v>IFR</v>
          </cell>
        </row>
        <row r="828">
          <cell r="A828" t="str">
            <v>KHF-00-104265-BA-6070-43006-0000-1</v>
          </cell>
          <cell r="B828" t="str">
            <v>AIP-PDO-P1701009-T-0535</v>
          </cell>
          <cell r="C828">
            <v>43319</v>
          </cell>
          <cell r="D828" t="str">
            <v>KHF-00-104265-BA-6070-43006-0000</v>
          </cell>
          <cell r="E828" t="str">
            <v>METHOD STATEMENT FOR INSTALLATION OF EARTHING SYSTEM</v>
          </cell>
          <cell r="F828">
            <v>1</v>
          </cell>
          <cell r="G828" t="str">
            <v>IFR</v>
          </cell>
        </row>
        <row r="829">
          <cell r="A829" t="str">
            <v>KHF-00-104265-BA-6070-43007-0000-1</v>
          </cell>
          <cell r="B829" t="str">
            <v>AIP-PDO-P1701009-T-0535</v>
          </cell>
          <cell r="C829">
            <v>43319</v>
          </cell>
          <cell r="D829" t="str">
            <v>KHF-00-104265-BA-6070-43007-0000</v>
          </cell>
          <cell r="E829" t="str">
            <v>METHOD STATEMENT FOR LAYING &amp; TERMINATION OF LV/HV Cables &amp; EARTH CABLE</v>
          </cell>
          <cell r="F829">
            <v>1</v>
          </cell>
          <cell r="G829" t="str">
            <v>IFR</v>
          </cell>
        </row>
        <row r="830">
          <cell r="A830" t="str">
            <v>KHF-00-104265-BA-6070-43008-0000-1</v>
          </cell>
          <cell r="B830" t="str">
            <v>AIP-PDO-P1701009-T-0535</v>
          </cell>
          <cell r="C830">
            <v>43319</v>
          </cell>
          <cell r="D830" t="str">
            <v>KHF-00-104265-BA-6070-43008-0000</v>
          </cell>
          <cell r="E830" t="str">
            <v>METHOD STATEMENT FOR UPS INSTALLATION &amp; TESTING</v>
          </cell>
          <cell r="F830">
            <v>1</v>
          </cell>
          <cell r="G830" t="str">
            <v>IFR</v>
          </cell>
        </row>
        <row r="831">
          <cell r="A831" t="str">
            <v>KHF-00-104265-QA-5733-00602-0000-2</v>
          </cell>
          <cell r="B831" t="str">
            <v>AIP-PDO-P1701009-T-0536</v>
          </cell>
          <cell r="C831">
            <v>43319</v>
          </cell>
          <cell r="D831" t="str">
            <v>KHF-00-104265-QA-5733-00602-0000</v>
          </cell>
          <cell r="E831" t="str">
            <v>INSPECTION &amp; TEST PLAN FOR SS, SDSS &amp; ALLOY 825 FABRICATION (Off Plot / Power Plant)</v>
          </cell>
          <cell r="F831">
            <v>2</v>
          </cell>
          <cell r="G831" t="str">
            <v>IFR</v>
          </cell>
        </row>
        <row r="832">
          <cell r="A832" t="str">
            <v>cancelled</v>
          </cell>
          <cell r="B832" t="str">
            <v>AIP-PDO-P1701009-T-0537</v>
          </cell>
          <cell r="C832">
            <v>43319</v>
          </cell>
          <cell r="D832" t="str">
            <v>KHF-00-104265-RA-8241-51073-0000</v>
          </cell>
          <cell r="E832" t="str">
            <v>MATERIAL APPROVAL SHEET FOR WADI STONES 75–100 MM</v>
          </cell>
          <cell r="F832">
            <v>1</v>
          </cell>
          <cell r="G832" t="str">
            <v>cancelled</v>
          </cell>
        </row>
        <row r="833">
          <cell r="A833" t="str">
            <v>cancelled</v>
          </cell>
          <cell r="B833" t="str">
            <v>AIP-PDO-P1701009-T-0537</v>
          </cell>
          <cell r="C833">
            <v>43319</v>
          </cell>
          <cell r="D833" t="str">
            <v>KHF-00-104265-RA-8241-51077-0000</v>
          </cell>
          <cell r="E833" t="str">
            <v>MATERIAL APPROVAL SHEET FOR CEMENT (OPC)</v>
          </cell>
          <cell r="F833">
            <v>1</v>
          </cell>
          <cell r="G833" t="str">
            <v>cancelled</v>
          </cell>
        </row>
        <row r="834">
          <cell r="A834" t="str">
            <v>KHF-00-104265-RA-8241-51077-0000-1</v>
          </cell>
          <cell r="B834" t="str">
            <v>AIP-PDO-P1701009-T-0538</v>
          </cell>
          <cell r="C834">
            <v>43319</v>
          </cell>
          <cell r="D834" t="str">
            <v>KHF-00-104265-RA-8241-51077-0000</v>
          </cell>
          <cell r="E834" t="str">
            <v>MATERIAL APPROVAL SHEET FOR CEMENT (OPC)</v>
          </cell>
          <cell r="F834">
            <v>1</v>
          </cell>
          <cell r="G834" t="str">
            <v>IFA</v>
          </cell>
        </row>
        <row r="835">
          <cell r="A835" t="str">
            <v>KHF-00-104265-QA-6050-00105-0000-5</v>
          </cell>
          <cell r="B835" t="str">
            <v>AIP-PDO-P1701009-T-0539</v>
          </cell>
          <cell r="C835">
            <v>43320</v>
          </cell>
          <cell r="D835" t="str">
            <v>KHF-00-104265-QA-6050-00105-0000</v>
          </cell>
          <cell r="E835" t="str">
            <v>Quality Control Plan for Welding of Pipeline</v>
          </cell>
          <cell r="F835">
            <v>5</v>
          </cell>
          <cell r="G835" t="str">
            <v>IFA</v>
          </cell>
        </row>
        <row r="836">
          <cell r="A836" t="str">
            <v>KHF-00-104265-QA-6050-00608-0000-1</v>
          </cell>
          <cell r="B836" t="str">
            <v>AIP-PDO-P1701009-T-0540</v>
          </cell>
          <cell r="C836">
            <v>43321</v>
          </cell>
          <cell r="D836" t="str">
            <v>KHF-00-104265-QA-6050-00608-0000</v>
          </cell>
          <cell r="E836" t="str">
            <v>Weld Repair Procedure</v>
          </cell>
          <cell r="F836">
            <v>1</v>
          </cell>
          <cell r="G836" t="str">
            <v>IFR</v>
          </cell>
        </row>
        <row r="837">
          <cell r="A837" t="str">
            <v>KHF-00-104265-QA-6050-00609-0000-1</v>
          </cell>
          <cell r="B837" t="str">
            <v>AIP-PDO-P1701009-T-0540</v>
          </cell>
          <cell r="C837">
            <v>43321</v>
          </cell>
          <cell r="D837" t="str">
            <v>KHF-00-104265-QA-6050-00609-0000</v>
          </cell>
          <cell r="E837" t="str">
            <v>Procedure for Carry Out and Maintenance of Preheat Temperature</v>
          </cell>
          <cell r="F837">
            <v>1</v>
          </cell>
          <cell r="G837" t="str">
            <v>IFR</v>
          </cell>
        </row>
        <row r="838">
          <cell r="A838" t="str">
            <v>KHF-00-104265-QA-6050-00610-0000-1</v>
          </cell>
          <cell r="B838" t="str">
            <v>AIP-PDO-P1701009-T-0540</v>
          </cell>
          <cell r="C838">
            <v>43321</v>
          </cell>
          <cell r="D838" t="str">
            <v>KHF-00-104265-QA-6050-00610-0000</v>
          </cell>
          <cell r="E838" t="str">
            <v xml:space="preserve">Welding Consumables Storage &amp; handling Procedure </v>
          </cell>
          <cell r="F838">
            <v>1</v>
          </cell>
          <cell r="G838" t="str">
            <v>IFR</v>
          </cell>
        </row>
        <row r="839">
          <cell r="A839" t="str">
            <v>cancelled</v>
          </cell>
          <cell r="B839" t="str">
            <v>AIP-PDO-P1701009-T-0541</v>
          </cell>
          <cell r="C839">
            <v>43324</v>
          </cell>
          <cell r="D839" t="str">
            <v>KHF-00-104265-LA-5009-00115-0000</v>
          </cell>
          <cell r="E839" t="str">
            <v>MAS for Fiber Glass Mat</v>
          </cell>
          <cell r="F839">
            <v>1</v>
          </cell>
          <cell r="G839" t="str">
            <v>cancelled</v>
          </cell>
        </row>
        <row r="840">
          <cell r="A840" t="str">
            <v>cancelled</v>
          </cell>
          <cell r="B840" t="str">
            <v>AIP-PDO-P1701009-T-0541</v>
          </cell>
          <cell r="C840">
            <v>43324</v>
          </cell>
          <cell r="D840" t="str">
            <v>KHF-00-104265-LA-5009-00116-0000</v>
          </cell>
          <cell r="E840" t="str">
            <v>MAS for UPVC Sleeves 100 mm Dia.</v>
          </cell>
          <cell r="F840">
            <v>1</v>
          </cell>
          <cell r="G840" t="str">
            <v>cancelled</v>
          </cell>
        </row>
        <row r="841">
          <cell r="A841" t="str">
            <v>KHF-00-104265-BA-6070-00135-0000-2</v>
          </cell>
          <cell r="B841" t="str">
            <v>AIP-PDO-P1701009-T-0542</v>
          </cell>
          <cell r="C841">
            <v>43324</v>
          </cell>
          <cell r="D841" t="str">
            <v>KHF-00-104265-BA-6070-00135-0000</v>
          </cell>
          <cell r="E841" t="str">
            <v>Method Statement for  Line Pipe Coating Repair (3LPE &amp; 3LPP)</v>
          </cell>
          <cell r="F841">
            <v>2</v>
          </cell>
          <cell r="G841" t="str">
            <v>IFA</v>
          </cell>
        </row>
        <row r="842">
          <cell r="A842" t="str">
            <v>KHF-00-104265-BA-6065-00623-0000-1</v>
          </cell>
          <cell r="B842" t="str">
            <v>AIP-PDO-P1701009-T-0543</v>
          </cell>
          <cell r="C842">
            <v>43324</v>
          </cell>
          <cell r="D842" t="str">
            <v>KHF-00-104265-BA-6065-00623-0000</v>
          </cell>
          <cell r="E842" t="str">
            <v>WELDING PROCEDURE SPECIFICATION (WPS) / PQR– 023 (AI-WPS-M-551FW)</v>
          </cell>
          <cell r="F842">
            <v>1</v>
          </cell>
          <cell r="G842" t="str">
            <v>IFR</v>
          </cell>
        </row>
        <row r="843">
          <cell r="A843" t="str">
            <v>KHF-00-104265-BA-6065-00624-0000-1</v>
          </cell>
          <cell r="B843" t="str">
            <v>AIP-PDO-P1701009-T-0543</v>
          </cell>
          <cell r="C843">
            <v>43324</v>
          </cell>
          <cell r="D843" t="str">
            <v>KHF-00-104265-BA-6065-00624-0000</v>
          </cell>
          <cell r="E843" t="str">
            <v>WELDING PROCEDURE SPECIFICATION (WPS) / PQR– 024 (AI-WPS-T-065FW)</v>
          </cell>
          <cell r="F843">
            <v>1</v>
          </cell>
          <cell r="G843" t="str">
            <v>IFR</v>
          </cell>
        </row>
        <row r="844">
          <cell r="A844" t="str">
            <v>KHF-00-104265-BA-6065-00625-0000-1</v>
          </cell>
          <cell r="B844" t="str">
            <v>AIP-PDO-P1701009-T-0543</v>
          </cell>
          <cell r="C844">
            <v>43324</v>
          </cell>
          <cell r="D844" t="str">
            <v>KHF-00-104265-BA-6065-00625-0000</v>
          </cell>
          <cell r="E844" t="str">
            <v>WELDING PROCEDURE SPECIFICATION (WPS) / PQR– 025 (AI-WPS-M-196FW)</v>
          </cell>
          <cell r="F844">
            <v>1</v>
          </cell>
          <cell r="G844" t="str">
            <v>IFR</v>
          </cell>
        </row>
        <row r="845">
          <cell r="A845" t="str">
            <v>KHF-00-104265-BA-6065-00631-0000-1</v>
          </cell>
          <cell r="B845" t="str">
            <v>AIP-PDO-P1701009-T-0543</v>
          </cell>
          <cell r="C845">
            <v>43324</v>
          </cell>
          <cell r="D845" t="str">
            <v>KHF-00-104265-BA-6065-00631-0000</v>
          </cell>
          <cell r="E845" t="str">
            <v>WELDING PROCEDURE SPECIFICATION (WPS) / PQR– 031 (AI-WPS-T-381FW)</v>
          </cell>
          <cell r="F845">
            <v>1</v>
          </cell>
          <cell r="G845" t="str">
            <v>IFR</v>
          </cell>
        </row>
        <row r="846">
          <cell r="A846" t="str">
            <v>KHF-00-104265-BA-6065-00632-0000-1</v>
          </cell>
          <cell r="B846" t="str">
            <v>AIP-PDO-P1701009-T-0543</v>
          </cell>
          <cell r="C846">
            <v>43324</v>
          </cell>
          <cell r="D846" t="str">
            <v>KHF-00-104265-BA-6065-00632-0000</v>
          </cell>
          <cell r="E846" t="str">
            <v>WELDING PROCEDURE SPECIFICATION (WPS) / PQR– 032 (AI-WPS-M-508FW)</v>
          </cell>
          <cell r="F846">
            <v>1</v>
          </cell>
          <cell r="G846" t="str">
            <v>IFR</v>
          </cell>
        </row>
        <row r="847">
          <cell r="A847" t="str">
            <v>KHF-00-104265-AA-6944-10040-0000-1</v>
          </cell>
          <cell r="B847" t="str">
            <v>AIP-PDO-P1701009-T-0544</v>
          </cell>
          <cell r="C847">
            <v>43324</v>
          </cell>
          <cell r="D847" t="str">
            <v>KHF-00-104265-AA-6944-10040-0000</v>
          </cell>
          <cell r="E847" t="str">
            <v>Weekly Progress Report No.040</v>
          </cell>
          <cell r="F847">
            <v>1</v>
          </cell>
          <cell r="G847" t="str">
            <v>IFI</v>
          </cell>
        </row>
        <row r="848">
          <cell r="A848" t="str">
            <v>KHF-00-104265-RA-8241-51078-0000-1</v>
          </cell>
          <cell r="B848" t="str">
            <v>AIP-PDO-P1701009-T-0545</v>
          </cell>
          <cell r="C848">
            <v>43325</v>
          </cell>
          <cell r="D848" t="str">
            <v>KHF-00-104265-RA-8241-51078-0000</v>
          </cell>
          <cell r="E848" t="str">
            <v>Material Approval Sheet for Earthing Material</v>
          </cell>
          <cell r="F848">
            <v>1</v>
          </cell>
          <cell r="G848" t="str">
            <v>IFA</v>
          </cell>
        </row>
        <row r="849">
          <cell r="A849" t="str">
            <v>KHF-00-104265-RA-8241-51082-0000-1</v>
          </cell>
          <cell r="B849" t="str">
            <v>AIP-PDO-P1701009-T-0546</v>
          </cell>
          <cell r="C849">
            <v>43325</v>
          </cell>
          <cell r="D849" t="str">
            <v>KHF-00-104265-RA-8241-51082-0000</v>
          </cell>
          <cell r="E849" t="str">
            <v>Material Approval Sheet for Aggregates</v>
          </cell>
          <cell r="F849">
            <v>1</v>
          </cell>
          <cell r="G849" t="str">
            <v>IFA</v>
          </cell>
        </row>
        <row r="850">
          <cell r="A850" t="str">
            <v>-</v>
          </cell>
          <cell r="B850" t="str">
            <v>AIP-PDO-P1701009-T-0547</v>
          </cell>
          <cell r="C850">
            <v>43325</v>
          </cell>
          <cell r="D850" t="str">
            <v>KHF-00-104265-BA-6065-50059-0000</v>
          </cell>
          <cell r="E850" t="str">
            <v>WELDING PROCEDURE SPECIFICATION - (AIP-WPS-T-468 (C311527)) - LTCS: 1.6 - 10.44mm (Without Impact) 4.35 to 10.44 (With Impact) - With PWHT</v>
          </cell>
          <cell r="F850">
            <v>1</v>
          </cell>
          <cell r="G850" t="str">
            <v>withdrawn, email from Mr.Sudharkar (18-09-18)</v>
          </cell>
        </row>
        <row r="851">
          <cell r="A851" t="str">
            <v>-</v>
          </cell>
          <cell r="B851" t="str">
            <v>AIP-PDO-P1701009-T-0547</v>
          </cell>
          <cell r="C851">
            <v>43325</v>
          </cell>
          <cell r="D851" t="str">
            <v>KHF-00-104265-BA-6065-50060-0000</v>
          </cell>
          <cell r="E851" t="str">
            <v>WELDING PROCEDURE SPECIFICATION - (AIP-WPS-TM-468 (C311527)) - LTCS: 4.35 mm to 10.4mm (with impact) - With PWHT</v>
          </cell>
          <cell r="F851">
            <v>1</v>
          </cell>
          <cell r="G851" t="str">
            <v>withdrawn, email from Mr.Sudharkar (18-09-18)</v>
          </cell>
        </row>
        <row r="852">
          <cell r="A852" t="str">
            <v>-</v>
          </cell>
          <cell r="B852" t="str">
            <v>AIP-PDO-P1701009-T-0547</v>
          </cell>
          <cell r="C852">
            <v>43325</v>
          </cell>
          <cell r="D852" t="str">
            <v>KHF-00-104265-BA-6065-50061-0000</v>
          </cell>
          <cell r="E852" t="str">
            <v>WELDING PROCEDURE SPECIFICATION - (AIP-WPS-TM-551 (C311527)) - LTCS: 15 to 30 (with impact) – With PWHT</v>
          </cell>
          <cell r="F852">
            <v>1</v>
          </cell>
          <cell r="G852" t="str">
            <v>withdrawn, email from Mr.Sudharkar (18-09-18)</v>
          </cell>
        </row>
        <row r="853">
          <cell r="A853" t="str">
            <v>-</v>
          </cell>
          <cell r="B853" t="str">
            <v>AIP-PDO-P1701009-T-0547</v>
          </cell>
          <cell r="C853">
            <v>43325</v>
          </cell>
          <cell r="D853" t="str">
            <v>KHF-00-104265-BA-6065-50062-0000</v>
          </cell>
          <cell r="E853" t="str">
            <v>WELDING PROCEDURE SPECIFICATION - (AIP-WPS-T-381 (C311527)) - Alloy 825: 1.5-12.0mm</v>
          </cell>
          <cell r="F853">
            <v>1</v>
          </cell>
          <cell r="G853" t="str">
            <v>withdrawn, email from Mr.Sudharkar (18-09-18)</v>
          </cell>
        </row>
        <row r="854">
          <cell r="A854" t="str">
            <v>-</v>
          </cell>
          <cell r="B854" t="str">
            <v>AIP-PDO-P1701009-T-0547</v>
          </cell>
          <cell r="C854">
            <v>43325</v>
          </cell>
          <cell r="D854" t="str">
            <v>KHF-00-104265-BA-6065-50063-0000</v>
          </cell>
          <cell r="E854" t="str">
            <v>WELDING PROCEDURE SPECIFICATION - (AIP-WPS-TM-508 (C311527)) - Alloy 825: 5.0-25.0mm</v>
          </cell>
          <cell r="F854">
            <v>1</v>
          </cell>
          <cell r="G854" t="str">
            <v>withdrawn, email from Mr.Sudharkar (18-09-18)</v>
          </cell>
        </row>
        <row r="855">
          <cell r="A855" t="str">
            <v>KHF-00-104265-AA-3341-60099-0000-1</v>
          </cell>
          <cell r="B855" t="str">
            <v>AIP-PDO-P1701009-T-0548</v>
          </cell>
          <cell r="C855">
            <v>43325</v>
          </cell>
          <cell r="D855" t="str">
            <v>KHF-00-104265-AA-3341-60099-0000</v>
          </cell>
          <cell r="E855" t="str">
            <v>CV OF MR. K. MOHAN KUMAR - PIPELINE WELDING INSPECTOR</v>
          </cell>
          <cell r="F855">
            <v>1</v>
          </cell>
          <cell r="G855" t="str">
            <v>IFA</v>
          </cell>
        </row>
        <row r="856">
          <cell r="A856" t="str">
            <v>-</v>
          </cell>
          <cell r="B856" t="str">
            <v>AIP-PDO-P1701009-T-0549</v>
          </cell>
          <cell r="C856">
            <v>43326</v>
          </cell>
          <cell r="D856" t="str">
            <v>KHF-00-104265-BA-6065-50051-0000</v>
          </cell>
          <cell r="E856" t="str">
            <v>WPS REGISTER- ON PLOT PIPING</v>
          </cell>
          <cell r="F856">
            <v>3</v>
          </cell>
          <cell r="G856" t="str">
            <v>withdrawn, email from Mr.Sudharkar (18-09-18)</v>
          </cell>
        </row>
        <row r="857">
          <cell r="A857" t="str">
            <v>-</v>
          </cell>
          <cell r="B857" t="str">
            <v>AIP-PDO-P1701009-T-0549</v>
          </cell>
          <cell r="C857">
            <v>43326</v>
          </cell>
          <cell r="D857" t="str">
            <v>KHF-00-104265-BA-6065-50052-0000</v>
          </cell>
          <cell r="E857" t="str">
            <v>WELDING PROCEDURE SPECIFICATION - (AIP-WPS-T-077 (C311527)) - Carbon Steel: 1.5mm to 12.0mm</v>
          </cell>
          <cell r="F857">
            <v>3</v>
          </cell>
          <cell r="G857" t="str">
            <v>withdrawn, email from Mr.Sudharkar (18-09-18)</v>
          </cell>
        </row>
        <row r="858">
          <cell r="A858" t="str">
            <v>-</v>
          </cell>
          <cell r="B858" t="str">
            <v>AIP-PDO-P1701009-T-0549</v>
          </cell>
          <cell r="C858">
            <v>43326</v>
          </cell>
          <cell r="D858" t="str">
            <v>KHF-00-104265-BA-6065-50053-0000</v>
          </cell>
          <cell r="E858" t="str">
            <v>WELDING PROCEDURE SPECIFICATION - (AIP-WPS-TM-549 (C311527)) - Carbon Steel: 1.5mm to 10.3mm</v>
          </cell>
          <cell r="F858">
            <v>3</v>
          </cell>
          <cell r="G858" t="str">
            <v>withdrawn, email from Mr.Sudharkar (18-09-18)</v>
          </cell>
        </row>
        <row r="859">
          <cell r="A859" t="str">
            <v>-</v>
          </cell>
          <cell r="B859" t="str">
            <v>AIP-PDO-P1701009-T-0549</v>
          </cell>
          <cell r="C859">
            <v>43326</v>
          </cell>
          <cell r="D859" t="str">
            <v>KHF-00-104265-BA-6065-50054-0000</v>
          </cell>
          <cell r="E859" t="str">
            <v>WELDING PROCEDURE SPECIFICATION - (AIP-WPS-T-065 (C311527)) - Stainless Steel: 1.5mm to 6.10mm</v>
          </cell>
          <cell r="F859">
            <v>3</v>
          </cell>
          <cell r="G859" t="str">
            <v>withdrawn, email from Mr.Sudharkar (18-09-18)</v>
          </cell>
        </row>
        <row r="860">
          <cell r="A860" t="str">
            <v>-</v>
          </cell>
          <cell r="B860" t="str">
            <v>AIP-PDO-P1701009-T-0549</v>
          </cell>
          <cell r="C860">
            <v>43326</v>
          </cell>
          <cell r="D860" t="str">
            <v>KHF-00-104265-BA-6065-50055-0000</v>
          </cell>
          <cell r="E860" t="str">
            <v>WELDING PROCEDURE SPECIFICATION - (AIP-WPS-TM-196 (C311527)) - Stainless Steel: 5.0mm to 40.0mm</v>
          </cell>
          <cell r="F860">
            <v>3</v>
          </cell>
          <cell r="G860" t="str">
            <v>withdrawn, email from Mr.Sudharkar (18-09-18)</v>
          </cell>
        </row>
        <row r="861">
          <cell r="A861" t="str">
            <v>-</v>
          </cell>
          <cell r="B861" t="str">
            <v>AIP-PDO-P1701009-T-0549</v>
          </cell>
          <cell r="C861">
            <v>43326</v>
          </cell>
          <cell r="D861" t="str">
            <v>KHF-00-104265-BA-6065-50056-0000</v>
          </cell>
          <cell r="E861" t="str">
            <v>WELDING PROCEDURE SPECIFICATION - (AIP-WPS-TM-491 (C311527)) - Carbon Steel: 11.1mm to 20.0mm</v>
          </cell>
          <cell r="F861">
            <v>2</v>
          </cell>
          <cell r="G861" t="str">
            <v>withdrawn, email from Mr.Sudharkar (18-09-18)</v>
          </cell>
        </row>
        <row r="862">
          <cell r="A862" t="str">
            <v>KHF-00-104265-QA-6050-00607-0000-2</v>
          </cell>
          <cell r="B862" t="str">
            <v>AIP-PDO-P1701009-T-0550</v>
          </cell>
          <cell r="C862">
            <v>43327</v>
          </cell>
          <cell r="D862" t="str">
            <v>KHF-00-104265-QA-6050-00607-0000</v>
          </cell>
          <cell r="E862" t="str">
            <v>MATERIAL CONTROL PROCEDURE FOR PIPING MATERIAL AT FABRICATION SHOP</v>
          </cell>
          <cell r="F862">
            <v>2</v>
          </cell>
          <cell r="G862" t="str">
            <v>IFR</v>
          </cell>
        </row>
        <row r="863">
          <cell r="A863" t="str">
            <v>KHF-00-104265-LA-5009-00115-0000-1</v>
          </cell>
          <cell r="B863" t="str">
            <v>AIP-PDO-P1701009-T-0551</v>
          </cell>
          <cell r="C863">
            <v>43327</v>
          </cell>
          <cell r="D863" t="str">
            <v>KHF-00-104265-LA-5009-00115-0000</v>
          </cell>
          <cell r="E863" t="str">
            <v>Material Approval Sheet for Fiber Glass Mat</v>
          </cell>
          <cell r="F863">
            <v>1</v>
          </cell>
          <cell r="G863" t="str">
            <v>IFA</v>
          </cell>
        </row>
        <row r="864">
          <cell r="A864" t="str">
            <v>KHF-00-104265-LA-5009-00116-0000-1</v>
          </cell>
          <cell r="B864" t="str">
            <v>AIP-PDO-P1701009-T-0551</v>
          </cell>
          <cell r="C864">
            <v>43327</v>
          </cell>
          <cell r="D864" t="str">
            <v>KHF-00-104265-LA-5009-00116-0000</v>
          </cell>
          <cell r="E864" t="str">
            <v>Material Approval Sheet for UPVC Sleeves 100 mm Dia.</v>
          </cell>
          <cell r="F864">
            <v>1</v>
          </cell>
          <cell r="G864" t="str">
            <v>IFA</v>
          </cell>
        </row>
        <row r="865">
          <cell r="A865" t="str">
            <v>KHF-00-104265-CX-4180-00701-0001-1</v>
          </cell>
          <cell r="B865" t="str">
            <v>AIP-PDO-P1701009-T-0552</v>
          </cell>
          <cell r="C865">
            <v>43328</v>
          </cell>
          <cell r="D865" t="str">
            <v>KHF-00-104265-CX-4180-00701-0001</v>
          </cell>
          <cell r="E865" t="str">
            <v>Shop Drawing Architectural - D6B - GTG Substation and Control Building</v>
          </cell>
          <cell r="F865">
            <v>1</v>
          </cell>
          <cell r="G865" t="str">
            <v>IFA</v>
          </cell>
        </row>
        <row r="866">
          <cell r="A866" t="str">
            <v>KHF-00-104265-CX-4180-00702-0001-1</v>
          </cell>
          <cell r="B866" t="str">
            <v>AIP-PDO-P1701009-T-0552</v>
          </cell>
          <cell r="C866">
            <v>43328</v>
          </cell>
          <cell r="D866" t="str">
            <v>KHF-00-104265-CX-4180-00702-0001</v>
          </cell>
          <cell r="E866" t="str">
            <v>Shop Drawing Architectural - D6A - GTG Substation and Control Building</v>
          </cell>
          <cell r="F866">
            <v>1</v>
          </cell>
          <cell r="G866" t="str">
            <v>IFA</v>
          </cell>
        </row>
        <row r="867">
          <cell r="A867" t="str">
            <v>KHF-00-104265-CX-4180-00703-0001-1</v>
          </cell>
          <cell r="B867" t="str">
            <v>AIP-PDO-P1701009-T-0552</v>
          </cell>
          <cell r="C867">
            <v>43328</v>
          </cell>
          <cell r="D867" t="str">
            <v>KHF-00-104265-CX-4180-00703-0001</v>
          </cell>
          <cell r="E867" t="str">
            <v>Shop Drawing Architectural – D5 - GTG Substation and Control Building</v>
          </cell>
          <cell r="F867">
            <v>1</v>
          </cell>
          <cell r="G867" t="str">
            <v>IFA</v>
          </cell>
        </row>
        <row r="868">
          <cell r="A868" t="str">
            <v>KHF-00-104265-CX-4180-00704-0001-1</v>
          </cell>
          <cell r="B868" t="str">
            <v>AIP-PDO-P1701009-T-0552</v>
          </cell>
          <cell r="C868">
            <v>43328</v>
          </cell>
          <cell r="D868" t="str">
            <v>KHF-00-104265-CX-4180-00704-0001</v>
          </cell>
          <cell r="E868" t="str">
            <v>Shop Drawing Architectural - D4C - GTG Substation and Control Building</v>
          </cell>
          <cell r="F868">
            <v>1</v>
          </cell>
          <cell r="G868" t="str">
            <v>IFA</v>
          </cell>
        </row>
        <row r="869">
          <cell r="A869" t="str">
            <v>KHF-00-104265-CX-4180-00705-0001-1</v>
          </cell>
          <cell r="B869" t="str">
            <v>AIP-PDO-P1701009-T-0552</v>
          </cell>
          <cell r="C869">
            <v>43328</v>
          </cell>
          <cell r="D869" t="str">
            <v>KHF-00-104265-CX-4180-00705-0001</v>
          </cell>
          <cell r="E869" t="str">
            <v>Shop Drawing Architectural - D4B - GTG Substation and Control Building</v>
          </cell>
          <cell r="F869">
            <v>1</v>
          </cell>
          <cell r="G869" t="str">
            <v>IFA</v>
          </cell>
        </row>
        <row r="870">
          <cell r="A870" t="str">
            <v>KHF-00-104265-CX-4180-00706-0001-1</v>
          </cell>
          <cell r="B870" t="str">
            <v>AIP-PDO-P1701009-T-0552</v>
          </cell>
          <cell r="C870">
            <v>43328</v>
          </cell>
          <cell r="D870" t="str">
            <v>KHF-00-104265-CX-4180-00706-0001</v>
          </cell>
          <cell r="E870" t="str">
            <v>Shop Drawing Architectural - D4A - GTG Substation and Control Building</v>
          </cell>
          <cell r="F870">
            <v>1</v>
          </cell>
          <cell r="G870" t="str">
            <v>IFA</v>
          </cell>
        </row>
        <row r="871">
          <cell r="A871" t="str">
            <v>KHF-00-104265-CX-4180-00707-0001-1</v>
          </cell>
          <cell r="B871" t="str">
            <v>AIP-PDO-P1701009-T-0552</v>
          </cell>
          <cell r="C871">
            <v>43328</v>
          </cell>
          <cell r="D871" t="str">
            <v>KHF-00-104265-CX-4180-00707-0001</v>
          </cell>
          <cell r="E871" t="str">
            <v>Shop Drawing Architectural - D3B - GTG Substation and Control Building</v>
          </cell>
          <cell r="F871">
            <v>1</v>
          </cell>
          <cell r="G871" t="str">
            <v>IFA</v>
          </cell>
        </row>
        <row r="872">
          <cell r="A872" t="str">
            <v>KHF-00-104265-CX-4180-00708-0001-1</v>
          </cell>
          <cell r="B872" t="str">
            <v>AIP-PDO-P1701009-T-0552</v>
          </cell>
          <cell r="C872">
            <v>43328</v>
          </cell>
          <cell r="D872" t="str">
            <v>KHF-00-104265-CX-4180-00708-0001</v>
          </cell>
          <cell r="E872" t="str">
            <v>Shop Drawing Architectural - D3A - GTG Substation and Control Building</v>
          </cell>
          <cell r="F872">
            <v>1</v>
          </cell>
          <cell r="G872" t="str">
            <v>IFA</v>
          </cell>
        </row>
        <row r="873">
          <cell r="A873" t="str">
            <v>KHF-00-104265-CX-4180-00709-0001-1</v>
          </cell>
          <cell r="B873" t="str">
            <v>AIP-PDO-P1701009-T-0552</v>
          </cell>
          <cell r="C873">
            <v>43328</v>
          </cell>
          <cell r="D873" t="str">
            <v>KHF-00-104265-CX-4180-00709-0001</v>
          </cell>
          <cell r="E873" t="str">
            <v>Shop Drawing Architectural - D2A - 132KV GIS Substation</v>
          </cell>
          <cell r="F873">
            <v>1</v>
          </cell>
          <cell r="G873" t="str">
            <v>IFA</v>
          </cell>
        </row>
        <row r="874">
          <cell r="A874" t="str">
            <v>KHF-00-104265-CX-4180-00710-0001-1</v>
          </cell>
          <cell r="B874" t="str">
            <v>AIP-PDO-P1701009-T-0552</v>
          </cell>
          <cell r="C874">
            <v>43328</v>
          </cell>
          <cell r="D874" t="str">
            <v>KHF-00-104265-CX-4180-00710-0001</v>
          </cell>
          <cell r="E874" t="str">
            <v>Shop Drawing Architectural - D2B - GTG Substation and Control Building</v>
          </cell>
          <cell r="F874">
            <v>1</v>
          </cell>
          <cell r="G874" t="str">
            <v>IFA</v>
          </cell>
        </row>
        <row r="875">
          <cell r="A875" t="str">
            <v>KHF-00-104265-CX-4180-00711-0001-1</v>
          </cell>
          <cell r="B875" t="str">
            <v>AIP-PDO-P1701009-T-0552</v>
          </cell>
          <cell r="C875">
            <v>43328</v>
          </cell>
          <cell r="D875" t="str">
            <v>KHF-00-104265-CX-4180-00711-0001</v>
          </cell>
          <cell r="E875" t="str">
            <v>Shop Drawing Architectural - D4 – 132KV GIS Substation</v>
          </cell>
          <cell r="F875">
            <v>1</v>
          </cell>
          <cell r="G875" t="str">
            <v>IFA</v>
          </cell>
        </row>
        <row r="876">
          <cell r="A876" t="str">
            <v>KHF-00-104265-CX-4180-00712-0001-1</v>
          </cell>
          <cell r="B876" t="str">
            <v>AIP-PDO-P1701009-T-0552</v>
          </cell>
          <cell r="C876">
            <v>43328</v>
          </cell>
          <cell r="D876" t="str">
            <v>KHF-00-104265-CX-4180-00712-0001</v>
          </cell>
          <cell r="E876" t="str">
            <v>Shop Drawing Architectural - D2A - GTG Substation and Control Building</v>
          </cell>
          <cell r="F876">
            <v>1</v>
          </cell>
          <cell r="G876" t="str">
            <v>IFA</v>
          </cell>
        </row>
        <row r="877">
          <cell r="A877" t="str">
            <v>KHF-00-104265-CX-4180-00713-0001-1</v>
          </cell>
          <cell r="B877" t="str">
            <v>AIP-PDO-P1701009-T-0552</v>
          </cell>
          <cell r="C877">
            <v>43328</v>
          </cell>
          <cell r="D877" t="str">
            <v>KHF-00-104265-CX-4180-00713-0001</v>
          </cell>
          <cell r="E877" t="str">
            <v>Shop Drawing Architectural - D1 - GTG Substation and Control Building</v>
          </cell>
          <cell r="F877">
            <v>1</v>
          </cell>
          <cell r="G877" t="str">
            <v>IFA</v>
          </cell>
        </row>
        <row r="878">
          <cell r="A878" t="str">
            <v>KHF-00-104265-CX-4180-00714-0001-1</v>
          </cell>
          <cell r="B878" t="str">
            <v>AIP-PDO-P1701009-T-0552</v>
          </cell>
          <cell r="C878">
            <v>43328</v>
          </cell>
          <cell r="D878" t="str">
            <v>KHF-00-104265-CX-4180-00714-0001</v>
          </cell>
          <cell r="E878" t="str">
            <v>Shop Drawing Architectural - D2A - 132KV GIS Substation</v>
          </cell>
          <cell r="F878">
            <v>1</v>
          </cell>
          <cell r="G878" t="str">
            <v>IFA</v>
          </cell>
        </row>
        <row r="879">
          <cell r="A879" t="str">
            <v>KHF-00-104265-RA-8241-51072-0000-1</v>
          </cell>
          <cell r="B879" t="str">
            <v>AIP-PDO-P1701009-T-0553</v>
          </cell>
          <cell r="C879">
            <v>43328</v>
          </cell>
          <cell r="D879" t="str">
            <v>KHF-00-104265-RA-8241-51072-0000</v>
          </cell>
          <cell r="E879" t="str">
            <v>MATERIAL APPROVAL SHEET FOR CS PIPE SLEEVES</v>
          </cell>
          <cell r="F879">
            <v>1</v>
          </cell>
          <cell r="G879" t="str">
            <v>IFA</v>
          </cell>
        </row>
        <row r="880">
          <cell r="A880" t="str">
            <v>KHF-00-104265-RA-8241-51079-0000-1</v>
          </cell>
          <cell r="B880" t="str">
            <v>AIP-PDO-P1701009-T-0554</v>
          </cell>
          <cell r="C880">
            <v>43328</v>
          </cell>
          <cell r="D880" t="str">
            <v>KHF-00-104265-RA-8241-51079-0000</v>
          </cell>
          <cell r="E880" t="str">
            <v>MATERIAL APPROVAL SHEET FOR EARTHING MATERIAL (KSE ELECTRICAL PVT. LTD.)</v>
          </cell>
          <cell r="F880">
            <v>1</v>
          </cell>
          <cell r="G880" t="str">
            <v>IFA</v>
          </cell>
        </row>
        <row r="881">
          <cell r="A881" t="str">
            <v>KHF-00-104265-RA-8241-51083-0000-1</v>
          </cell>
          <cell r="B881" t="str">
            <v>AIP-PDO-P1701009-T-0555</v>
          </cell>
          <cell r="C881">
            <v>43328</v>
          </cell>
          <cell r="D881" t="str">
            <v>KHF-00-104265-RA-8241-51083-0000</v>
          </cell>
          <cell r="E881" t="str">
            <v>MATERIAL APPROVAL SHEET FOR OFF PLOT FLOW LINES AREA AND RMS AT YIBAL KHUFF PROJECT</v>
          </cell>
          <cell r="F881">
            <v>1</v>
          </cell>
          <cell r="G881" t="str">
            <v>IFA</v>
          </cell>
        </row>
        <row r="882">
          <cell r="A882" t="str">
            <v>KHF-00-104265-RA-8241-51081-0000-1</v>
          </cell>
          <cell r="B882" t="str">
            <v>AIP-PDO-P1701009-T-0556</v>
          </cell>
          <cell r="C882">
            <v>43328</v>
          </cell>
          <cell r="D882" t="str">
            <v>KHF-00-104265-RA-8241-51081-0000</v>
          </cell>
          <cell r="E882" t="str">
            <v>MATERIAL APPROVAL SHEET FOR EARTHING MATERIAL (NUHAS OMAN LLC)</v>
          </cell>
          <cell r="F882">
            <v>1</v>
          </cell>
          <cell r="G882" t="str">
            <v>IFA</v>
          </cell>
        </row>
        <row r="883">
          <cell r="A883" t="str">
            <v>KHF-00-104265-QA-6050-00105-0000-6</v>
          </cell>
          <cell r="B883" t="str">
            <v>AIP-PDO-P1701009-T-0557</v>
          </cell>
          <cell r="C883">
            <v>43328</v>
          </cell>
          <cell r="D883" t="str">
            <v>KHF-00-104265-QA-6050-00105-0000</v>
          </cell>
          <cell r="E883" t="str">
            <v>Quality Control Plan for Welding Class-1 Pipeline</v>
          </cell>
          <cell r="F883">
            <v>6</v>
          </cell>
          <cell r="G883" t="str">
            <v>IFA</v>
          </cell>
        </row>
        <row r="884">
          <cell r="A884" t="str">
            <v>KHF-00-104265-AA-6944-10041-0000-1</v>
          </cell>
          <cell r="B884" t="str">
            <v>AIP-PDO-P1701009-T-0558</v>
          </cell>
          <cell r="C884">
            <v>43330</v>
          </cell>
          <cell r="D884" t="str">
            <v>KHF-00-104265-AA-6944-10041-0000</v>
          </cell>
          <cell r="E884" t="str">
            <v>Weekly Progress Report No.041</v>
          </cell>
          <cell r="F884">
            <v>1</v>
          </cell>
          <cell r="G884" t="str">
            <v>IFI</v>
          </cell>
        </row>
        <row r="885">
          <cell r="A885" t="str">
            <v>KHF-00-104265-AA-3341-00107-0000-2</v>
          </cell>
          <cell r="B885" t="str">
            <v>AIP-PDO-P1701009-T-0559</v>
          </cell>
          <cell r="C885">
            <v>43331</v>
          </cell>
          <cell r="D885" t="str">
            <v>KHF-00-104265-AA-3341-00107-0000</v>
          </cell>
          <cell r="E885" t="str">
            <v>CV OF MR. JOBY ANTONY - WELDING INSPECTOR</v>
          </cell>
          <cell r="F885">
            <v>2</v>
          </cell>
          <cell r="G885" t="str">
            <v>IFA</v>
          </cell>
        </row>
        <row r="886">
          <cell r="A886" t="str">
            <v>KHF-00-104265-AA-3341-00124-0000-2</v>
          </cell>
          <cell r="B886" t="str">
            <v>AIP-PDO-P1701009-T-0559</v>
          </cell>
          <cell r="C886">
            <v>43331</v>
          </cell>
          <cell r="D886" t="str">
            <v>KHF-00-104265-AA-3341-00124-0000</v>
          </cell>
          <cell r="E886" t="str">
            <v>CV OF MR. HARISH RAJENDRAN - WELDING INSPECTOR</v>
          </cell>
          <cell r="F886">
            <v>2</v>
          </cell>
          <cell r="G886" t="str">
            <v>IFA</v>
          </cell>
        </row>
        <row r="887">
          <cell r="A887" t="str">
            <v>KHF-00-104265-AA-3341-00130-0000-2</v>
          </cell>
          <cell r="B887" t="str">
            <v>AIP-PDO-P1701009-T-0559</v>
          </cell>
          <cell r="C887">
            <v>43331</v>
          </cell>
          <cell r="D887" t="str">
            <v>KHF-00-104265-AA-3341-00130-0000</v>
          </cell>
          <cell r="E887" t="str">
            <v>CV OF MR. ROBIN K GEORGE - WELDING INSPECTOR</v>
          </cell>
          <cell r="F887">
            <v>2</v>
          </cell>
          <cell r="G887" t="str">
            <v>IFA</v>
          </cell>
        </row>
        <row r="888">
          <cell r="A888" t="str">
            <v>KHF-00-104265-AA-3341-00131-0000-1</v>
          </cell>
          <cell r="B888" t="str">
            <v>AIP-PDO-P1701009-T-0560</v>
          </cell>
          <cell r="C888">
            <v>43333</v>
          </cell>
          <cell r="D888" t="str">
            <v>KHF-00-104265-AA-3341-00131-0000</v>
          </cell>
          <cell r="E888" t="str">
            <v>CV OF MR.PENTAYYA BABU - CIVIL INSPECTOR</v>
          </cell>
          <cell r="F888">
            <v>1</v>
          </cell>
          <cell r="G888" t="str">
            <v>IFA</v>
          </cell>
        </row>
        <row r="889">
          <cell r="A889" t="str">
            <v>cancelled</v>
          </cell>
          <cell r="B889" t="str">
            <v>AIP-PDO-P1701009-T-0561</v>
          </cell>
          <cell r="C889">
            <v>43338</v>
          </cell>
          <cell r="D889" t="str">
            <v>KHF-00-104265-AA-3341-60043-0000</v>
          </cell>
          <cell r="E889" t="str">
            <v xml:space="preserve">CV of Mr. Sudhakar Kajipuram - Welding Engineer </v>
          </cell>
          <cell r="F889">
            <v>2</v>
          </cell>
          <cell r="G889" t="str">
            <v>cancelled</v>
          </cell>
        </row>
        <row r="890">
          <cell r="A890" t="str">
            <v>cancelled</v>
          </cell>
          <cell r="B890" t="str">
            <v>AIP-PDO-P1701009-T-0561</v>
          </cell>
          <cell r="C890">
            <v>43338</v>
          </cell>
          <cell r="D890" t="str">
            <v>KHF-00-104265-AA-3341-60064-0000</v>
          </cell>
          <cell r="E890" t="str">
            <v>CV of Mr. Balendran S - Lead QA/QC Engineer</v>
          </cell>
          <cell r="F890">
            <v>2</v>
          </cell>
          <cell r="G890" t="str">
            <v>cancelled</v>
          </cell>
        </row>
        <row r="891">
          <cell r="A891" t="str">
            <v>cancelled</v>
          </cell>
          <cell r="B891" t="str">
            <v>AIP-PDO-P1701009-T-0561</v>
          </cell>
          <cell r="C891">
            <v>43338</v>
          </cell>
          <cell r="D891" t="str">
            <v>KHF-00-104265-AA-3341-60074-0000</v>
          </cell>
          <cell r="E891" t="str">
            <v>CV of Mr. Sunil Kumar Nayak - Welding Inspector - Pipelines</v>
          </cell>
          <cell r="F891">
            <v>2</v>
          </cell>
          <cell r="G891" t="str">
            <v>cancelled</v>
          </cell>
        </row>
        <row r="892">
          <cell r="A892" t="str">
            <v>cancelled</v>
          </cell>
          <cell r="B892" t="str">
            <v>AIP-PDO-P1701009-T-0561</v>
          </cell>
          <cell r="C892">
            <v>43338</v>
          </cell>
          <cell r="D892" t="str">
            <v>KHF-00-104265-AA-3341-60077-0000</v>
          </cell>
          <cell r="E892" t="str">
            <v>CV of Mr. Dixon P Davis - Welding Inspector Pipeline</v>
          </cell>
          <cell r="F892">
            <v>2</v>
          </cell>
          <cell r="G892" t="str">
            <v>cancelled</v>
          </cell>
        </row>
        <row r="893">
          <cell r="A893" t="str">
            <v>cancelled</v>
          </cell>
          <cell r="B893" t="str">
            <v>AIP-PDO-P1701009-T-0561</v>
          </cell>
          <cell r="C893">
            <v>43338</v>
          </cell>
          <cell r="D893" t="str">
            <v>KHF-00-104265-AA-3341-60079-0000</v>
          </cell>
          <cell r="E893" t="str">
            <v>CV of Mr. DHARMA RAO DRONADULA - ELECTRICAL QC INSPECTOR</v>
          </cell>
          <cell r="F893">
            <v>2</v>
          </cell>
          <cell r="G893" t="str">
            <v>cancelled</v>
          </cell>
        </row>
        <row r="894">
          <cell r="A894" t="str">
            <v>cancelled</v>
          </cell>
          <cell r="B894" t="str">
            <v>AIP-PDO-P1701009-T-0561</v>
          </cell>
          <cell r="C894">
            <v>43338</v>
          </cell>
          <cell r="D894" t="str">
            <v>KHF-00-104265-AA-3341-60084-0000</v>
          </cell>
          <cell r="E894" t="str">
            <v>CV OF MR. ANEES AHAMED SHAIK - QUALITY INSPECTOR - INSTRUMENTATION</v>
          </cell>
          <cell r="F894">
            <v>2</v>
          </cell>
          <cell r="G894" t="str">
            <v>cancelled</v>
          </cell>
        </row>
        <row r="895">
          <cell r="A895" t="str">
            <v>cancelled</v>
          </cell>
          <cell r="B895" t="str">
            <v>AIP-PDO-P1701009-T-0561</v>
          </cell>
          <cell r="C895">
            <v>43338</v>
          </cell>
          <cell r="D895" t="str">
            <v>KHF-00-104265-AA-3341-60088-0000</v>
          </cell>
          <cell r="E895" t="str">
            <v>CV OF MR.KUNDAN SINGH - QC INSPECTOR - MECHANICAL</v>
          </cell>
          <cell r="F895">
            <v>2</v>
          </cell>
          <cell r="G895" t="str">
            <v>cancelled</v>
          </cell>
        </row>
        <row r="896">
          <cell r="A896" t="str">
            <v>KHF-00-104265-AA-6944-10042-0000-1</v>
          </cell>
          <cell r="B896" t="str">
            <v>AIP-PDO-P1701009-T-0562</v>
          </cell>
          <cell r="C896">
            <v>43338</v>
          </cell>
          <cell r="D896" t="str">
            <v>KHF-00-104265-AA-6944-10042-0000</v>
          </cell>
          <cell r="E896" t="str">
            <v>Weekly Progress Report No.042</v>
          </cell>
          <cell r="F896">
            <v>1</v>
          </cell>
          <cell r="G896" t="str">
            <v>IFI</v>
          </cell>
        </row>
        <row r="897">
          <cell r="A897" t="str">
            <v>KHF-00-104265-QA-5733-24004-0000-1</v>
          </cell>
          <cell r="B897" t="str">
            <v>AIP-PDO-P1701009-T-0563</v>
          </cell>
          <cell r="C897">
            <v>43338</v>
          </cell>
          <cell r="D897" t="str">
            <v>KHF-00-104265-QA-5733-24004-0000</v>
          </cell>
          <cell r="E897" t="str">
            <v>INSPECTION AND TEST PLAN FOR INSTALLATION AND TESTING OF IMPLUSE AND AIRLINE TUBING</v>
          </cell>
          <cell r="F897">
            <v>1</v>
          </cell>
          <cell r="G897" t="str">
            <v>IFR</v>
          </cell>
        </row>
        <row r="898">
          <cell r="A898" t="str">
            <v>KHF-00-104265-QA-5733-24005-0000-1</v>
          </cell>
          <cell r="B898" t="str">
            <v>AIP-PDO-P1701009-T-0563</v>
          </cell>
          <cell r="C898">
            <v>43338</v>
          </cell>
          <cell r="D898" t="str">
            <v>KHF-00-104265-QA-5733-24005-0000</v>
          </cell>
          <cell r="E898" t="str">
            <v>INSPECTION AND TEST PLAN FOR INSTALLATION OF FIRE &amp; GAS INSTRUMENTS</v>
          </cell>
          <cell r="F898">
            <v>1</v>
          </cell>
          <cell r="G898" t="str">
            <v>IFR</v>
          </cell>
        </row>
        <row r="899">
          <cell r="A899" t="str">
            <v>KHF-00-104265-VA-6180-10050-0000-1</v>
          </cell>
          <cell r="B899" t="str">
            <v>AIP-PDO-P1701009-T-0564</v>
          </cell>
          <cell r="C899">
            <v>43339</v>
          </cell>
          <cell r="D899" t="str">
            <v>KHF-00-104265-VA-6180-10050-0000</v>
          </cell>
          <cell r="E899" t="str">
            <v>VENDOR MOBILISATION PLAN</v>
          </cell>
          <cell r="F899">
            <v>1</v>
          </cell>
          <cell r="G899" t="str">
            <v>IFR</v>
          </cell>
        </row>
        <row r="900">
          <cell r="A900" t="str">
            <v>KHF-00-104265-QA-5733-24007-0000-1</v>
          </cell>
          <cell r="B900" t="str">
            <v>AIP-PDO-P1701009-T-0565</v>
          </cell>
          <cell r="C900">
            <v>43340</v>
          </cell>
          <cell r="D900" t="str">
            <v>KHF-00-104265-QA-5733-24007-0000</v>
          </cell>
          <cell r="E900" t="str">
            <v>Inspection &amp; Test Plan for Calibration of Valves (Control Valves / ON-OFF Valves &amp; MOVs)</v>
          </cell>
          <cell r="F900">
            <v>1</v>
          </cell>
          <cell r="G900" t="str">
            <v>IFR</v>
          </cell>
        </row>
        <row r="901">
          <cell r="A901" t="str">
            <v>KHF-00-104265-BA-6070-41007-0000-1</v>
          </cell>
          <cell r="B901" t="str">
            <v>AIP-PDO-P1701009-T-0566</v>
          </cell>
          <cell r="C901">
            <v>43340</v>
          </cell>
          <cell r="D901" t="str">
            <v>KHF-00-104265-BA-6070-41007-0000</v>
          </cell>
          <cell r="E901" t="str">
            <v>Method Statement for Block Work</v>
          </cell>
          <cell r="F901">
            <v>1</v>
          </cell>
          <cell r="G901" t="str">
            <v>IFR</v>
          </cell>
        </row>
        <row r="902">
          <cell r="A902" t="str">
            <v>KHF-00-104265-BA-6065-00101-0000-3</v>
          </cell>
          <cell r="B902" t="str">
            <v>AIP-PDO-P1701009-T-0567</v>
          </cell>
          <cell r="C902">
            <v>43341</v>
          </cell>
          <cell r="D902" t="str">
            <v>KHF-00-104265-BA-6065-00101-0000</v>
          </cell>
          <cell r="E902" t="str">
            <v xml:space="preserve">Welding Procedure Specification Register </v>
          </cell>
          <cell r="F902">
            <v>3</v>
          </cell>
          <cell r="G902" t="str">
            <v>IFR</v>
          </cell>
        </row>
        <row r="903">
          <cell r="A903" t="str">
            <v>KHF-00-104265-BA-6065-00145-0000-1</v>
          </cell>
          <cell r="B903" t="str">
            <v>AIP-PDO-P1701009-T-0567</v>
          </cell>
          <cell r="C903">
            <v>43341</v>
          </cell>
          <cell r="D903" t="str">
            <v>KHF-00-104265-BA-6065-00145-0000</v>
          </cell>
          <cell r="E903" t="str">
            <v>Welding Procedure Specification (CP Cleat Welding 16” PL 5)</v>
          </cell>
          <cell r="F903">
            <v>1</v>
          </cell>
          <cell r="G903" t="str">
            <v>IFR</v>
          </cell>
        </row>
        <row r="904">
          <cell r="A904" t="str">
            <v>KHF-00-104265-BA-6065-00146-0000-1</v>
          </cell>
          <cell r="B904" t="str">
            <v>AIP-PDO-P1701009-T-0567</v>
          </cell>
          <cell r="C904">
            <v>43341</v>
          </cell>
          <cell r="D904" t="str">
            <v>KHF-00-104265-BA-6065-00146-0000</v>
          </cell>
          <cell r="E904" t="str">
            <v>Welding Procedure Specification (CP Cleat Welding PL 1-4,7,8,9 &amp; 9A)</v>
          </cell>
          <cell r="F904">
            <v>1</v>
          </cell>
          <cell r="G904" t="str">
            <v>IFR</v>
          </cell>
        </row>
        <row r="905">
          <cell r="A905" t="str">
            <v>KHF-00-104265-RA-8241-51013-0000-2</v>
          </cell>
          <cell r="B905" t="str">
            <v>AIP-PDO-P1701009-T-0568</v>
          </cell>
          <cell r="C905">
            <v>43341</v>
          </cell>
          <cell r="D905" t="str">
            <v>KHF-00-104265-RA-8241-51013-0000</v>
          </cell>
          <cell r="E905" t="str">
            <v>MATERIAL APPROVAL SHEET FOR CONCRETE COVER BLOCK</v>
          </cell>
          <cell r="F905">
            <v>2</v>
          </cell>
          <cell r="G905" t="str">
            <v>IFA</v>
          </cell>
        </row>
        <row r="906">
          <cell r="A906" t="str">
            <v>KHF-00-104265-AA-3341-60043-0000-2</v>
          </cell>
          <cell r="B906" t="str">
            <v>AIP-PDO-P1701009-T-0569</v>
          </cell>
          <cell r="C906">
            <v>43342</v>
          </cell>
          <cell r="D906" t="str">
            <v>KHF-00-104265-AA-3341-60043-0000</v>
          </cell>
          <cell r="E906" t="str">
            <v xml:space="preserve">CV of Mr. Sudhakar Kajipuram - Welding Engineer </v>
          </cell>
          <cell r="F906">
            <v>2</v>
          </cell>
          <cell r="G906" t="str">
            <v>IFA</v>
          </cell>
        </row>
        <row r="907">
          <cell r="A907" t="str">
            <v>KHF-00-104265-AA-3341-60064-0000-2</v>
          </cell>
          <cell r="B907" t="str">
            <v>AIP-PDO-P1701009-T-0569</v>
          </cell>
          <cell r="C907">
            <v>43342</v>
          </cell>
          <cell r="D907" t="str">
            <v>KHF-00-104265-AA-3341-60064-0000</v>
          </cell>
          <cell r="E907" t="str">
            <v>CV of Mr. Balendran S - Lead QA/QC Engineer</v>
          </cell>
          <cell r="F907">
            <v>2</v>
          </cell>
          <cell r="G907" t="str">
            <v>IFA</v>
          </cell>
        </row>
        <row r="908">
          <cell r="A908" t="str">
            <v>KHF-00-104265-AA-3341-60077-0000-2</v>
          </cell>
          <cell r="B908" t="str">
            <v>AIP-PDO-P1701009-T-0569</v>
          </cell>
          <cell r="C908">
            <v>43342</v>
          </cell>
          <cell r="D908" t="str">
            <v>KHF-00-104265-AA-3341-60077-0000</v>
          </cell>
          <cell r="E908" t="str">
            <v>CV of Mr. Dixon P Davis - Welding Inspector Pipeline</v>
          </cell>
          <cell r="F908">
            <v>2</v>
          </cell>
          <cell r="G908" t="str">
            <v>IFA</v>
          </cell>
        </row>
        <row r="909">
          <cell r="A909" t="str">
            <v>KHF-00-104265-AA-3341-60100-0000-1</v>
          </cell>
          <cell r="B909" t="str">
            <v>AIP-PDO-P1701009-T-0570</v>
          </cell>
          <cell r="C909">
            <v>43342</v>
          </cell>
          <cell r="D909" t="str">
            <v>KHF-00-104265-AA-3341-60100-0000</v>
          </cell>
          <cell r="E909" t="str">
            <v>CV OF MR. KRISHNA KUMAR. A - PAINTING/COATING INSPECTOR</v>
          </cell>
          <cell r="F909">
            <v>1</v>
          </cell>
          <cell r="G909" t="str">
            <v>IFA</v>
          </cell>
        </row>
        <row r="910">
          <cell r="A910" t="str">
            <v>KHF-00-104265-AA-6944-10043-0000-1</v>
          </cell>
          <cell r="B910" t="str">
            <v>AIP-PDO-P1701009-T-0571</v>
          </cell>
          <cell r="C910">
            <v>43345</v>
          </cell>
          <cell r="D910" t="str">
            <v>KHF-00-104265-AA-6944-10043-0000</v>
          </cell>
          <cell r="E910" t="str">
            <v>Weekly Progress Report No.043</v>
          </cell>
          <cell r="F910">
            <v>1</v>
          </cell>
          <cell r="G910" t="str">
            <v>IFI</v>
          </cell>
        </row>
        <row r="911">
          <cell r="A911" t="str">
            <v>KHF-00-104265-AA-3341-60101-0000-1</v>
          </cell>
          <cell r="B911" t="str">
            <v>AIP-PDO-P1701009-T-0572</v>
          </cell>
          <cell r="C911">
            <v>43345</v>
          </cell>
          <cell r="D911" t="str">
            <v>KHF-00-104265-AA-3341-60101-0000</v>
          </cell>
          <cell r="E911" t="str">
            <v>CV OF MR. SYED ABBAS.S - PROCUREMENT MANAGER</v>
          </cell>
          <cell r="F911">
            <v>1</v>
          </cell>
          <cell r="G911" t="str">
            <v>IFA</v>
          </cell>
        </row>
        <row r="912">
          <cell r="A912" t="str">
            <v>KHF-00-104265-LA-5009-00114-0000-1</v>
          </cell>
          <cell r="B912" t="str">
            <v>AIP-PDO-P1701009-T-0573</v>
          </cell>
          <cell r="C912">
            <v>43345</v>
          </cell>
          <cell r="D912" t="str">
            <v>KHF-00-104265-LA-5009-00114-0000</v>
          </cell>
          <cell r="E912" t="str">
            <v>Material Approval Sheet for Back filling Material (Type B)</v>
          </cell>
          <cell r="F912">
            <v>1</v>
          </cell>
          <cell r="G912" t="str">
            <v>IFA</v>
          </cell>
        </row>
        <row r="913">
          <cell r="A913" t="str">
            <v>KHF-00-104265-LA-5009-00106-0000-1</v>
          </cell>
          <cell r="B913" t="str">
            <v>AIP-PDO-P1701009-T-0573</v>
          </cell>
          <cell r="C913">
            <v>43345</v>
          </cell>
          <cell r="D913" t="str">
            <v>KHF-00-104265-LA-5009-00106-0000</v>
          </cell>
          <cell r="E913" t="str">
            <v>Material Approval Sheet for Polythene sheet 1000 Gauge for wadi crossing concrete</v>
          </cell>
          <cell r="F913">
            <v>1</v>
          </cell>
          <cell r="G913" t="str">
            <v>IFA</v>
          </cell>
        </row>
        <row r="914">
          <cell r="A914" t="str">
            <v>KHF-00-104265-BA-6070-00117-0000-3</v>
          </cell>
          <cell r="B914" t="str">
            <v>AIP-PDO-P1701009-T-0574</v>
          </cell>
          <cell r="C914">
            <v>43345</v>
          </cell>
          <cell r="D914" t="str">
            <v>KHF-00-104265-BA-6070-00117-0000</v>
          </cell>
          <cell r="E914" t="str">
            <v>Method Statement for GRE material transportation, handling, storage and control</v>
          </cell>
          <cell r="F914">
            <v>3</v>
          </cell>
          <cell r="G914" t="str">
            <v>IFA</v>
          </cell>
        </row>
        <row r="915">
          <cell r="A915" t="str">
            <v>KHF-00-104265-BA-6070-00106-0000-2</v>
          </cell>
          <cell r="B915" t="str">
            <v>AIP-PDO-P1701009-T-0575</v>
          </cell>
          <cell r="C915">
            <v>43346</v>
          </cell>
          <cell r="D915" t="str">
            <v>KHF-00-104265-BA-6070-00106-0000</v>
          </cell>
          <cell r="E915" t="str">
            <v>Method Statement for Stringing of line pipes</v>
          </cell>
          <cell r="F915">
            <v>2</v>
          </cell>
          <cell r="G915" t="str">
            <v>IFA</v>
          </cell>
        </row>
        <row r="916">
          <cell r="A916" t="str">
            <v>KHF-00-104265-BA-6070-00108-0000-2</v>
          </cell>
          <cell r="B916" t="str">
            <v>AIP-PDO-P1701009-T-0575</v>
          </cell>
          <cell r="C916">
            <v>43346</v>
          </cell>
          <cell r="D916" t="str">
            <v>KHF-00-104265-BA-6070-00108-0000</v>
          </cell>
          <cell r="E916" t="str">
            <v>Method Statement for Cold Bending of Line Pipes</v>
          </cell>
          <cell r="F916">
            <v>2</v>
          </cell>
          <cell r="G916" t="str">
            <v>IFA</v>
          </cell>
        </row>
        <row r="917">
          <cell r="A917" t="str">
            <v>KHF-00-104265-LA-5009-00117-0000-1</v>
          </cell>
          <cell r="B917" t="str">
            <v>AIP-PDO-P1701009-T-0576</v>
          </cell>
          <cell r="C917">
            <v>43346</v>
          </cell>
          <cell r="D917" t="str">
            <v>KHF-00-104265-LA-5009-00117-0000</v>
          </cell>
          <cell r="E917" t="str">
            <v>Material Approval Sheet (MAS) for C30 Concrete (C30/10)</v>
          </cell>
          <cell r="F917">
            <v>1</v>
          </cell>
          <cell r="G917" t="str">
            <v>IFR</v>
          </cell>
        </row>
        <row r="918">
          <cell r="A918" t="str">
            <v>KHF-00-104265-RA-8241-51091-0000-1</v>
          </cell>
          <cell r="B918" t="str">
            <v>AIP-PDO-P1701009-T-0577</v>
          </cell>
          <cell r="C918">
            <v>43346</v>
          </cell>
          <cell r="D918" t="str">
            <v>KHF-00-104265-RA-8241-51091-0000</v>
          </cell>
          <cell r="E918" t="str">
            <v>MATERIAL APPROVAL SHEET FOR CEMENT (OPC)</v>
          </cell>
          <cell r="F918">
            <v>1</v>
          </cell>
          <cell r="G918" t="str">
            <v>IFA</v>
          </cell>
        </row>
        <row r="919">
          <cell r="A919" t="str">
            <v>KHF-00-104265-BA-6070-00143-0000-1</v>
          </cell>
          <cell r="B919" t="str">
            <v>AIP-PDO-P1701009-T-0578</v>
          </cell>
          <cell r="C919">
            <v>43347</v>
          </cell>
          <cell r="D919" t="str">
            <v>KHF-00-104265-BA-6070-00143-0000</v>
          </cell>
          <cell r="E919" t="str">
            <v>Method Statement for Tie-In of GRE Pipeline (Adhesive Bonding)</v>
          </cell>
          <cell r="F919">
            <v>1</v>
          </cell>
          <cell r="G919" t="str">
            <v>IFR</v>
          </cell>
        </row>
        <row r="920">
          <cell r="A920" t="str">
            <v>KHF-00-104265-CS-0580-10039-0000-1</v>
          </cell>
          <cell r="B920" t="str">
            <v>AIP-PDO-P1701009-T-0579</v>
          </cell>
          <cell r="C920">
            <v>43347</v>
          </cell>
          <cell r="D920" t="str">
            <v>KHF-00-104265-CS-0580-10039-0000</v>
          </cell>
          <cell r="E920" t="str">
            <v>STRUCTURAL ANALYSIS REPORT FOR GTG FOUNDATION-PEDESTAL FOMEWORK</v>
          </cell>
          <cell r="F920">
            <v>1</v>
          </cell>
          <cell r="G920" t="str">
            <v>IFI</v>
          </cell>
        </row>
        <row r="921">
          <cell r="A921" t="str">
            <v>KHF-00-104265-QA-5733-23006-0000-1</v>
          </cell>
          <cell r="B921" t="str">
            <v>AIP-PDO-P1701009-T-0580</v>
          </cell>
          <cell r="C921">
            <v>43347</v>
          </cell>
          <cell r="D921" t="str">
            <v>KHF-00-104265-QA-5733-23006-0000</v>
          </cell>
          <cell r="E921" t="str">
            <v>Inspection &amp; Test Plan for UPS Installation &amp; Testing</v>
          </cell>
          <cell r="F921">
            <v>1</v>
          </cell>
          <cell r="G921" t="str">
            <v>IFR</v>
          </cell>
        </row>
        <row r="922">
          <cell r="A922" t="str">
            <v>KHF-00-104265-MP-6180-00133-0000-3</v>
          </cell>
          <cell r="B922" t="str">
            <v>AIP-PDO-P1701009-T-0581</v>
          </cell>
          <cell r="C922">
            <v>43347</v>
          </cell>
          <cell r="D922" t="str">
            <v>KHF-00-104265-MP-6180-00133-0000</v>
          </cell>
          <cell r="E922" t="str">
            <v>Method Statement for Coating with Hempadur 85531 (PCS 02A)</v>
          </cell>
          <cell r="F922">
            <v>3</v>
          </cell>
          <cell r="G922" t="str">
            <v>IFA</v>
          </cell>
        </row>
        <row r="923">
          <cell r="A923" t="str">
            <v>KHF-00-104265-RA-8241-51087-0000-1</v>
          </cell>
          <cell r="B923" t="str">
            <v>AIP-PDO-P1701009-T-0582</v>
          </cell>
          <cell r="C923">
            <v>43347</v>
          </cell>
          <cell r="D923" t="str">
            <v>KHF-00-104265-RA-8241-51087-0000</v>
          </cell>
          <cell r="E923" t="str">
            <v>MATERIAL APPROVAL SHEET FOR ROOF CONCRETE TILES</v>
          </cell>
          <cell r="F923">
            <v>1</v>
          </cell>
          <cell r="G923" t="str">
            <v>IFA</v>
          </cell>
        </row>
        <row r="924">
          <cell r="A924" t="str">
            <v>KHF-00-104265-BA-6070-00102-0000-2</v>
          </cell>
          <cell r="B924" t="str">
            <v>AIP-PDO-P1701009-T-0583</v>
          </cell>
          <cell r="C924">
            <v>43349</v>
          </cell>
          <cell r="D924" t="str">
            <v>KHF-00-104265-BA-6070-00102-0000</v>
          </cell>
          <cell r="E924" t="str">
            <v>METHOD STATEMENT FOR CONCRETE WORKS</v>
          </cell>
          <cell r="F924">
            <v>2</v>
          </cell>
          <cell r="G924" t="str">
            <v>IFA</v>
          </cell>
        </row>
        <row r="925">
          <cell r="A925" t="str">
            <v>KHF-00-104265-BA-6070-00104-0000-2</v>
          </cell>
          <cell r="B925" t="str">
            <v>AIP-PDO-P1701009-T-0583</v>
          </cell>
          <cell r="C925">
            <v>43349</v>
          </cell>
          <cell r="D925" t="str">
            <v>KHF-00-104265-BA-6070-00104-0000</v>
          </cell>
          <cell r="E925" t="str">
            <v>METHOD STATEMENT FOR WELDING (OFFPLOT)</v>
          </cell>
          <cell r="F925">
            <v>2</v>
          </cell>
          <cell r="G925" t="str">
            <v>IFA</v>
          </cell>
        </row>
        <row r="926">
          <cell r="A926" t="str">
            <v>KHF-00-104265-BA-6070-00113-0000-2</v>
          </cell>
          <cell r="B926" t="str">
            <v>AIP-PDO-P1701009-T-0583</v>
          </cell>
          <cell r="C926">
            <v>43349</v>
          </cell>
          <cell r="D926" t="str">
            <v>KHF-00-104265-BA-6070-00113-0000</v>
          </cell>
          <cell r="E926" t="str">
            <v>METHOD STATEMENT FOR WADI CROSSING-CARBON STEEL PIPELINE</v>
          </cell>
          <cell r="F926">
            <v>2</v>
          </cell>
          <cell r="G926" t="str">
            <v>IFA</v>
          </cell>
        </row>
        <row r="927">
          <cell r="A927" t="str">
            <v>KHF-00-104265-AA-3341-60102-0000-1</v>
          </cell>
          <cell r="B927" t="str">
            <v>AIP-PDO-P1701009-T-0584</v>
          </cell>
          <cell r="C927">
            <v>43349</v>
          </cell>
          <cell r="D927" t="str">
            <v>KHF-00-104265-AA-3341-60102-0000</v>
          </cell>
          <cell r="E927" t="str">
            <v>CV OF MR. PRASATH. V - QC INSPECTOR - GRE &amp; COATING</v>
          </cell>
          <cell r="F927">
            <v>1</v>
          </cell>
          <cell r="G927" t="str">
            <v>IFA</v>
          </cell>
        </row>
        <row r="928">
          <cell r="A928" t="str">
            <v>KHF-00-104265-QA-6050-00108-0000-3</v>
          </cell>
          <cell r="B928" t="str">
            <v>AIP-PDO-P1701009-T-0585</v>
          </cell>
          <cell r="C928">
            <v>43352</v>
          </cell>
          <cell r="D928" t="str">
            <v>KHF-00-104265-QA-6050-00108-0000</v>
          </cell>
          <cell r="E928" t="str">
            <v>Quality Control Plan for Coating (PCS 2A)</v>
          </cell>
          <cell r="F928">
            <v>3</v>
          </cell>
          <cell r="G928" t="str">
            <v>IFA</v>
          </cell>
        </row>
        <row r="929">
          <cell r="A929" t="str">
            <v>KHF-00-104265-QA-6050-00111-0000-2</v>
          </cell>
          <cell r="B929" t="str">
            <v>AIP-PDO-P1701009-T-0585</v>
          </cell>
          <cell r="C929">
            <v>43352</v>
          </cell>
          <cell r="D929" t="str">
            <v>KHF-00-104265-QA-6050-00111-0000</v>
          </cell>
          <cell r="E929" t="str">
            <v>Quality Control Plan for Installation of GRE Pipeline (Threaded)</v>
          </cell>
          <cell r="F929">
            <v>2</v>
          </cell>
          <cell r="G929" t="str">
            <v>IFA</v>
          </cell>
        </row>
        <row r="930">
          <cell r="A930" t="str">
            <v>Rejected by PDO</v>
          </cell>
          <cell r="B930" t="str">
            <v>AIP-PDO-P1701009-T-0586</v>
          </cell>
          <cell r="C930">
            <v>43352</v>
          </cell>
          <cell r="D930" t="str">
            <v>KHF-00-104265-RA-8241-51004-0000</v>
          </cell>
          <cell r="E930" t="str">
            <v>MATERIAL APPROVAL SHEET FOR CONCRETE PROTECTIVE COATING FOR SURFACES IN CONTACT WITH SOIL - PRODUCT - FOSROC NITOCOTE PE135</v>
          </cell>
          <cell r="F930">
            <v>2</v>
          </cell>
          <cell r="G930" t="str">
            <v>Rejected by PDO</v>
          </cell>
        </row>
        <row r="931">
          <cell r="A931" t="str">
            <v>KHF-00-104265-RA-8241-51088-0000-1</v>
          </cell>
          <cell r="B931" t="str">
            <v>AIP-PDO-P1701009-T-0587</v>
          </cell>
          <cell r="C931">
            <v>43352</v>
          </cell>
          <cell r="D931" t="str">
            <v>KHF-00-104265-RA-8241-51088-0000</v>
          </cell>
          <cell r="E931" t="str">
            <v>MATERIAL APPROVAL SHEET FOR AGGREGATES</v>
          </cell>
          <cell r="F931">
            <v>1</v>
          </cell>
          <cell r="G931" t="str">
            <v>IFA</v>
          </cell>
        </row>
        <row r="932">
          <cell r="A932" t="str">
            <v>KHF-00-104265-QA-5733-23008-0000-1</v>
          </cell>
          <cell r="B932" t="str">
            <v>AIP-PDO-P1701009-T-0588</v>
          </cell>
          <cell r="C932">
            <v>43352</v>
          </cell>
          <cell r="D932" t="str">
            <v>KHF-00-104265-QA-5733-23008-0000</v>
          </cell>
          <cell r="E932" t="str">
            <v>INSPECTION AND TEST PLAN FOR LIGHTING &amp; SMALL POWER WORKS</v>
          </cell>
          <cell r="F932">
            <v>1</v>
          </cell>
          <cell r="G932" t="str">
            <v>IFR</v>
          </cell>
        </row>
        <row r="933">
          <cell r="A933" t="str">
            <v>KHF-00-104265-QA-5733-00603-0000-2</v>
          </cell>
          <cell r="B933" t="str">
            <v>AIP-PDO-P1701009-T-0589</v>
          </cell>
          <cell r="C933">
            <v>43352</v>
          </cell>
          <cell r="D933" t="str">
            <v>KHF-00-104265-QA-5733-00603-0000</v>
          </cell>
          <cell r="E933" t="str">
            <v>INSPECTION &amp; TEST PLAN FOR EXTERNAL SURFACE PREPARATION &amp; PAINTING PCS-1, PCS-3, PCS-4 &amp; PCS-6</v>
          </cell>
          <cell r="F933">
            <v>2</v>
          </cell>
          <cell r="G933" t="str">
            <v>IFA</v>
          </cell>
        </row>
        <row r="934">
          <cell r="A934" t="str">
            <v>KHF-00-104265-QA-6050-00601-0000-2</v>
          </cell>
          <cell r="B934" t="str">
            <v>AIP-PDO-P1701009-T-0589</v>
          </cell>
          <cell r="C934">
            <v>43352</v>
          </cell>
          <cell r="D934" t="str">
            <v>KHF-00-104265-QA-6050-00601-0000</v>
          </cell>
          <cell r="E934" t="str">
            <v xml:space="preserve">EXTERNAL SURFACE PREPARATION AND PAINTING PROCEDURE </v>
          </cell>
          <cell r="F934">
            <v>2</v>
          </cell>
          <cell r="G934" t="str">
            <v>IFA</v>
          </cell>
        </row>
        <row r="935">
          <cell r="A935" t="str">
            <v>KHF-00-104265-QA-6050-00602-0000-2</v>
          </cell>
          <cell r="B935" t="str">
            <v>AIP-PDO-P1701009-T-0589</v>
          </cell>
          <cell r="C935">
            <v>43352</v>
          </cell>
          <cell r="D935" t="str">
            <v>KHF-00-104265-QA-6050-00602-0000</v>
          </cell>
          <cell r="E935" t="str">
            <v xml:space="preserve">POSITIVE MATERIAL IDENTIFICATION PROCEDURE </v>
          </cell>
          <cell r="F935">
            <v>2</v>
          </cell>
          <cell r="G935" t="str">
            <v>IFA</v>
          </cell>
        </row>
        <row r="936">
          <cell r="A936" t="str">
            <v>KHF-00-104265-RA-8241-51004-0000-2</v>
          </cell>
          <cell r="B936" t="str">
            <v>AIP-PDO-P1701009-T-0590</v>
          </cell>
          <cell r="C936">
            <v>43352</v>
          </cell>
          <cell r="D936" t="str">
            <v>KHF-00-104265-RA-8241-51004-0000</v>
          </cell>
          <cell r="E936" t="str">
            <v>MATERIAL APPROVAL SHEET FOR CONCRETE PROTECTIVE COATING FOR SURFACES IN CONTACT WITH SOIL - PRODUCT - FOSROC NITOCOTE PE135</v>
          </cell>
          <cell r="F936">
            <v>2</v>
          </cell>
          <cell r="G936" t="str">
            <v>IFA</v>
          </cell>
        </row>
        <row r="937">
          <cell r="A937" t="str">
            <v>KHF-00-104265-AA-6944-20011-0000-1</v>
          </cell>
          <cell r="B937" t="str">
            <v>AIP-PDO-P1701009-T-0591</v>
          </cell>
          <cell r="C937">
            <v>43352</v>
          </cell>
          <cell r="D937" t="str">
            <v>KHF-00-104265-AA-6944-20011-0000</v>
          </cell>
          <cell r="E937" t="str">
            <v>Monthly Progress Report No.011 (August 2018)</v>
          </cell>
          <cell r="F937">
            <v>1</v>
          </cell>
          <cell r="G937" t="str">
            <v>IFI</v>
          </cell>
        </row>
        <row r="938">
          <cell r="A938" t="str">
            <v>KHF-00-104265-AA-6944-10044-0000-1</v>
          </cell>
          <cell r="B938" t="str">
            <v>AIP-PDO-P1701009-T-0592</v>
          </cell>
          <cell r="C938">
            <v>43353</v>
          </cell>
          <cell r="D938" t="str">
            <v>KHF-00-104265-AA-6944-10044-0000</v>
          </cell>
          <cell r="E938" t="str">
            <v>Weekly Progress Report No.044</v>
          </cell>
          <cell r="F938">
            <v>1</v>
          </cell>
          <cell r="G938" t="str">
            <v>IFI</v>
          </cell>
        </row>
        <row r="939">
          <cell r="A939" t="str">
            <v>-</v>
          </cell>
          <cell r="B939" t="str">
            <v>AIP-PDO-P1701009-T-0593</v>
          </cell>
          <cell r="C939">
            <v>43353</v>
          </cell>
          <cell r="D939" t="str">
            <v>KHF-00-104265-BA-6070-43010-0000</v>
          </cell>
          <cell r="E939" t="str">
            <v>METHOD STATEMENT - SKIDDING &amp; JACKING OF 50/63 MVA, 11/134.5KV GTG STEP UP TRANSFORMERG-23001-TX</v>
          </cell>
          <cell r="F939">
            <v>1</v>
          </cell>
          <cell r="G939" t="str">
            <v>withdrawn</v>
          </cell>
        </row>
        <row r="940">
          <cell r="A940" t="str">
            <v>KHF-00-104265-RA-8241-51094-0000-1</v>
          </cell>
          <cell r="B940" t="str">
            <v>AIP-PDO-P1701009-T-0594</v>
          </cell>
          <cell r="C940">
            <v>43355</v>
          </cell>
          <cell r="D940" t="str">
            <v>KHF-00-104265-RA-8241-51094-0000</v>
          </cell>
          <cell r="E940" t="str">
            <v>MATERIAL APPROVAL SHEET FOR LIGHT WEIGHT CONCRETE</v>
          </cell>
          <cell r="F940">
            <v>1</v>
          </cell>
          <cell r="G940" t="str">
            <v>IFA</v>
          </cell>
        </row>
        <row r="941">
          <cell r="A941" t="str">
            <v>KHF-00-104265-BA-6070-00103-0000-1</v>
          </cell>
          <cell r="B941" t="str">
            <v>AIP-PDO-P1701009-T-0595</v>
          </cell>
          <cell r="C941">
            <v>43355</v>
          </cell>
          <cell r="D941" t="str">
            <v>KHF-00-104265-BA-6070-00103-0000</v>
          </cell>
          <cell r="E941" t="str">
            <v>METHOD STATEMENT FOR INSTALLATION OF SLEEPERS &amp; FOUNDATIONS</v>
          </cell>
          <cell r="F941">
            <v>1</v>
          </cell>
          <cell r="G941" t="str">
            <v>IFR</v>
          </cell>
        </row>
        <row r="942">
          <cell r="A942" t="str">
            <v>KHF-00-104265-QA-5733-24008-0000-1</v>
          </cell>
          <cell r="B942" t="str">
            <v>AIP-PDO-P1701009-T-0596</v>
          </cell>
          <cell r="C942">
            <v>43355</v>
          </cell>
          <cell r="D942" t="str">
            <v>KHF-00-104265-QA-5733-24008-0000</v>
          </cell>
          <cell r="E942" t="str">
            <v>Inspection &amp; Test Plan for Fiber Optic Cable (FOC) Installation &amp; Testing</v>
          </cell>
          <cell r="F942">
            <v>1</v>
          </cell>
          <cell r="G942" t="str">
            <v>IFR</v>
          </cell>
        </row>
        <row r="943">
          <cell r="A943" t="str">
            <v>KHF-00-104265-QA-6050-00105-0000-7</v>
          </cell>
          <cell r="B943" t="str">
            <v>AIP-PDO-P1701009-T-0597</v>
          </cell>
          <cell r="C943">
            <v>43355</v>
          </cell>
          <cell r="D943" t="str">
            <v>KHF-00-104265-QA-6050-00105-0000</v>
          </cell>
          <cell r="E943" t="str">
            <v>Quality Control Plan for Welding - Class 1 Pipelines</v>
          </cell>
          <cell r="F943">
            <v>7</v>
          </cell>
          <cell r="G943" t="str">
            <v>IFA</v>
          </cell>
        </row>
        <row r="944">
          <cell r="A944" t="str">
            <v>KHF-00-104265-AA-3341-00132-0000-1</v>
          </cell>
          <cell r="B944" t="str">
            <v>AIP-PDO-P1701009-T-0598</v>
          </cell>
          <cell r="C944">
            <v>43355</v>
          </cell>
          <cell r="D944" t="str">
            <v>KHF-00-104265-AA-3341-00132-0000</v>
          </cell>
          <cell r="E944" t="str">
            <v>CV OF MR.RAJARAM NAGA MANTHA - WELDING INSPECTOR PIPELINE</v>
          </cell>
          <cell r="F944">
            <v>1</v>
          </cell>
          <cell r="G944" t="str">
            <v>IFA</v>
          </cell>
        </row>
        <row r="945">
          <cell r="A945" t="str">
            <v>KHF-00-104265-AA-3341-60103-0000-1</v>
          </cell>
          <cell r="B945" t="str">
            <v>AIP-PDO-P1701009-T-0599</v>
          </cell>
          <cell r="C945">
            <v>43356</v>
          </cell>
          <cell r="D945" t="str">
            <v>KHF-00-104265-AA-3341-60103-0000</v>
          </cell>
          <cell r="E945" t="str">
            <v>CV OF MR.MAHER AL ALAWI - SITE BASED HSE ADVISOR</v>
          </cell>
          <cell r="F945">
            <v>1</v>
          </cell>
          <cell r="G945" t="str">
            <v>IFA</v>
          </cell>
        </row>
        <row r="946">
          <cell r="A946" t="str">
            <v>KHF-00-104265-AA-3341-60104-0000-1</v>
          </cell>
          <cell r="B946" t="str">
            <v>AIP-PDO-P1701009-T-0599</v>
          </cell>
          <cell r="C946">
            <v>43356</v>
          </cell>
          <cell r="D946" t="str">
            <v>KHF-00-104265-AA-3341-60104-0000</v>
          </cell>
          <cell r="E946" t="str">
            <v>CV OF MR. HAMED ALI MOHAMMED ALJAFARI - SITE BASED HSE ADVISOR</v>
          </cell>
          <cell r="F946">
            <v>1</v>
          </cell>
          <cell r="G946" t="str">
            <v>IFA</v>
          </cell>
        </row>
        <row r="947">
          <cell r="A947" t="str">
            <v>KHF-00-104265-CX-4180-10005-0001-8</v>
          </cell>
          <cell r="B947" t="str">
            <v>AIP-PDO-P1701009-T-0600</v>
          </cell>
          <cell r="C947">
            <v>43356</v>
          </cell>
          <cell r="D947" t="str">
            <v>KHF-00-104265-CX-4180-10005-0001</v>
          </cell>
          <cell r="E947" t="str">
            <v>Site Camp Layout</v>
          </cell>
          <cell r="F947">
            <v>8</v>
          </cell>
          <cell r="G947" t="str">
            <v>IFA</v>
          </cell>
        </row>
        <row r="948">
          <cell r="A948" t="str">
            <v>KHF-00-104265-RA-8241-51001-0000-2</v>
          </cell>
          <cell r="B948" t="str">
            <v>AIP-PDO-P1701009-T-0601</v>
          </cell>
          <cell r="C948">
            <v>43358</v>
          </cell>
          <cell r="D948" t="str">
            <v>KHF-00-104265-RA-8241-51001-0000</v>
          </cell>
          <cell r="E948" t="str">
            <v>Material Approval Sheet - Reinforcement Steel for Concrete Grade B 500S - JINDAL SHADEED - AL ANSARI BMT</v>
          </cell>
          <cell r="F948">
            <v>2</v>
          </cell>
          <cell r="G948" t="str">
            <v>IFA</v>
          </cell>
        </row>
        <row r="949">
          <cell r="A949" t="str">
            <v>KHF-00-104265-RA-8241-51002-0000-2</v>
          </cell>
          <cell r="B949" t="str">
            <v>AIP-PDO-P1701009-T-0601</v>
          </cell>
          <cell r="C949">
            <v>43358</v>
          </cell>
          <cell r="D949" t="str">
            <v>KHF-00-104265-RA-8241-51002-0000</v>
          </cell>
          <cell r="E949" t="str">
            <v>MATERIAL APPROVAL SHEET - REINFORCEMENT STEEL FOR CONCRETE GRADE B 500S - MUSCAT STEEL INDUSTRIES</v>
          </cell>
          <cell r="F949">
            <v>2</v>
          </cell>
          <cell r="G949" t="str">
            <v>IFA</v>
          </cell>
        </row>
        <row r="950">
          <cell r="A950" t="str">
            <v>KHF-00-104265-AA-6944-10045-0000-1</v>
          </cell>
          <cell r="B950" t="str">
            <v>AIP-PDO-P1701009-T-0602</v>
          </cell>
          <cell r="C950">
            <v>43358</v>
          </cell>
          <cell r="D950" t="str">
            <v>KHF-00-104265-AA-6944-10045-0000</v>
          </cell>
          <cell r="E950" t="str">
            <v>Weekly Progress Report No.045</v>
          </cell>
          <cell r="F950">
            <v>1</v>
          </cell>
          <cell r="G950" t="str">
            <v>IFI</v>
          </cell>
        </row>
        <row r="951">
          <cell r="A951" t="str">
            <v>KHF-00-104265-RA-8241-51095-0000-1</v>
          </cell>
          <cell r="B951" t="str">
            <v>AIP-PDO-P1701009-T-0603</v>
          </cell>
          <cell r="C951">
            <v>43358</v>
          </cell>
          <cell r="D951" t="str">
            <v>KHF-00-104265-RA-8241-51095-0000</v>
          </cell>
          <cell r="E951" t="str">
            <v>MATERIAL APPROVAL SHEET FOR WOODEN DOOR / WOODEN ARCHITRAVE</v>
          </cell>
          <cell r="F951">
            <v>1</v>
          </cell>
          <cell r="G951" t="str">
            <v>IFA</v>
          </cell>
        </row>
        <row r="952">
          <cell r="A952" t="str">
            <v>KHF-00-104265-AA-3341-60102-0000-2</v>
          </cell>
          <cell r="B952" t="str">
            <v>AIP-PDO-P1701009-T-0604</v>
          </cell>
          <cell r="C952">
            <v>43359</v>
          </cell>
          <cell r="D952" t="str">
            <v>KHF-00-104265-AA-3341-60102-0000</v>
          </cell>
          <cell r="E952" t="str">
            <v>CV OF MR. PRASATH. V - GRE INSPECTOR</v>
          </cell>
          <cell r="F952">
            <v>2</v>
          </cell>
          <cell r="G952" t="str">
            <v>IFA</v>
          </cell>
        </row>
        <row r="953">
          <cell r="A953" t="str">
            <v>KHF-00-104265-BA-6070-43010-0000-1</v>
          </cell>
          <cell r="B953" t="str">
            <v>AIP-PDO-P1701009-T-0605</v>
          </cell>
          <cell r="C953">
            <v>43359</v>
          </cell>
          <cell r="D953" t="str">
            <v>KHF-00-104265-BA-6070-43010-0000</v>
          </cell>
          <cell r="E953" t="str">
            <v>METHOD STATEMENT SKIDDING &amp; JACKING/ MECHANICAL PROTECTION OF 50/63 MVA, 11/134.5KV GTG STEP UP TRANSFORMERG-23001-TX</v>
          </cell>
          <cell r="F953">
            <v>1</v>
          </cell>
          <cell r="G953" t="str">
            <v>IFR</v>
          </cell>
        </row>
        <row r="954">
          <cell r="A954" t="str">
            <v>KHF-00-104265-RA-8241-51003-0000-2</v>
          </cell>
          <cell r="B954" t="str">
            <v>AIP-PDO-P1701009-T-0606</v>
          </cell>
          <cell r="C954">
            <v>43360</v>
          </cell>
          <cell r="D954" t="str">
            <v>KHF-00-104265-RA-8241-51003-0000</v>
          </cell>
          <cell r="E954" t="str">
            <v>MATERIAL APPROVAL SHEET - REINFORCEMENT STEEL FOR CONCRETE GRADE B 500S - SHARQ SOHAR STEEL -MIDDLE EAST TRADERS</v>
          </cell>
          <cell r="F954">
            <v>2</v>
          </cell>
          <cell r="G954" t="str">
            <v>IFA</v>
          </cell>
        </row>
        <row r="955">
          <cell r="A955" t="str">
            <v>KHF-00-104265-QA-6050-00115-0000-1</v>
          </cell>
          <cell r="B955" t="str">
            <v>AIP-PDO-P1701009-T-0607</v>
          </cell>
          <cell r="C955">
            <v>43360</v>
          </cell>
          <cell r="D955" t="str">
            <v>KHF-00-104265-QA-6050-00115-0000</v>
          </cell>
          <cell r="E955" t="str">
            <v>Quality Control Plan for Hydro testing of CS Pipelines</v>
          </cell>
          <cell r="F955">
            <v>1</v>
          </cell>
          <cell r="G955" t="str">
            <v>IFR</v>
          </cell>
        </row>
        <row r="956">
          <cell r="A956" t="str">
            <v>Rejected by PDO</v>
          </cell>
          <cell r="B956" t="str">
            <v>AIP-PDO-P1701009-T-0608</v>
          </cell>
          <cell r="C956">
            <v>43361</v>
          </cell>
          <cell r="D956" t="str">
            <v>KHF-00-104265-RA-8241-51100-0000</v>
          </cell>
          <cell r="E956" t="str">
            <v>MATERIAL APPROVAL SHEET FOR CABLE TRAYS WITH ACCESSORIES / LADDER &amp; PERFORRATED Manufacturer : Power solution industries LLC</v>
          </cell>
          <cell r="F956">
            <v>1</v>
          </cell>
          <cell r="G956" t="str">
            <v>Rejected by PDO</v>
          </cell>
        </row>
        <row r="957">
          <cell r="A957" t="str">
            <v>Rejected by PDO</v>
          </cell>
          <cell r="B957" t="str">
            <v>AIP-PDO-P1701009-T-0608</v>
          </cell>
          <cell r="C957">
            <v>43361</v>
          </cell>
          <cell r="D957" t="str">
            <v>KHF-00-104265-RA-8241-51101-0000</v>
          </cell>
          <cell r="E957" t="str">
            <v>MATERIAL APPROVAL SHEET FOR CABLE TRAYS WITH ACCESSORIES / LADDER &amp; PERFORRATED Manufacturer : SIGMA FACTORY FOR STEEL PRODUCTS</v>
          </cell>
          <cell r="F957">
            <v>1</v>
          </cell>
          <cell r="G957" t="str">
            <v>Rejected by PDO</v>
          </cell>
        </row>
        <row r="958">
          <cell r="A958" t="str">
            <v>KHF-00-104265-RA-8241-51100-0000-1</v>
          </cell>
          <cell r="B958" t="str">
            <v>AIP-PDO-P1701009-T-0609</v>
          </cell>
          <cell r="C958">
            <v>43362</v>
          </cell>
          <cell r="D958" t="str">
            <v>KHF-00-104265-RA-8241-51100-0000</v>
          </cell>
          <cell r="E958" t="str">
            <v>MATERIAL APPROVAL SHEET FOR CABLE TRAYS WITH ACCESSORIES / LADDER &amp; PERFORRATED - VENDOR 01</v>
          </cell>
          <cell r="F958">
            <v>1</v>
          </cell>
          <cell r="G958" t="str">
            <v>IFA</v>
          </cell>
        </row>
        <row r="959">
          <cell r="A959" t="str">
            <v>KHF-00-104265-RA-8241-51101-0000-1</v>
          </cell>
          <cell r="B959" t="str">
            <v>AIP-PDO-P1701009-T-0609</v>
          </cell>
          <cell r="C959">
            <v>43362</v>
          </cell>
          <cell r="D959" t="str">
            <v>KHF-00-104265-RA-8241-51101-0000</v>
          </cell>
          <cell r="E959" t="str">
            <v>MATERIAL APPROVAL SHEET FOR CABLE TRAYS WITH ACCESSORIES / LADDER &amp; PERFORRATED - VENDOR 02</v>
          </cell>
          <cell r="F959">
            <v>1</v>
          </cell>
          <cell r="G959" t="str">
            <v>IFA</v>
          </cell>
        </row>
        <row r="960">
          <cell r="A960" t="str">
            <v>KHF-00-104265-RA-8241-51102-0000-1</v>
          </cell>
          <cell r="B960" t="str">
            <v>AIP-PDO-P1701009-T-0610</v>
          </cell>
          <cell r="C960">
            <v>43362</v>
          </cell>
          <cell r="D960" t="str">
            <v>KHF-00-104265-RA-8241-51102-0000</v>
          </cell>
          <cell r="E960" t="str">
            <v>MATERIAL APPROVAL SHEET FOR PVC CABLE</v>
          </cell>
          <cell r="F960">
            <v>1</v>
          </cell>
          <cell r="G960" t="str">
            <v>IFA</v>
          </cell>
        </row>
        <row r="961">
          <cell r="A961" t="str">
            <v>KHF-00-104265-RA-8241-51105-0000-1</v>
          </cell>
          <cell r="B961" t="str">
            <v>AIP-PDO-P1701009-T-0611</v>
          </cell>
          <cell r="C961">
            <v>43363</v>
          </cell>
          <cell r="D961" t="str">
            <v>KHF-00-104265-RA-8241-51105-0000</v>
          </cell>
          <cell r="E961" t="str">
            <v>MATERIAL APPROVAL SHEET FOR GRP MANHOLES</v>
          </cell>
          <cell r="F961">
            <v>1</v>
          </cell>
          <cell r="G961" t="str">
            <v>IFA</v>
          </cell>
        </row>
        <row r="962">
          <cell r="A962" t="str">
            <v>KHF-00-104265-AA-6944-10046-0000-1</v>
          </cell>
          <cell r="B962" t="str">
            <v>AIP-PDO-P1701009-T-0612</v>
          </cell>
          <cell r="C962">
            <v>43365</v>
          </cell>
          <cell r="D962" t="str">
            <v>KHF-00-104265-AA-6944-10046-0000</v>
          </cell>
          <cell r="E962" t="str">
            <v>Weekly Progress Report No.046</v>
          </cell>
          <cell r="F962">
            <v>1</v>
          </cell>
          <cell r="G962" t="str">
            <v>IFI</v>
          </cell>
        </row>
        <row r="963">
          <cell r="A963" t="str">
            <v>KHF-00-104265-RA-8241-51107-0000-1</v>
          </cell>
          <cell r="B963" t="str">
            <v>AIP-PDO-P1701009-T-0613</v>
          </cell>
          <cell r="C963">
            <v>43366</v>
          </cell>
          <cell r="D963" t="str">
            <v>KHF-00-104265-RA-8241-51107-0000</v>
          </cell>
          <cell r="E963" t="str">
            <v>MATERIAL APPROVAL SHEET FOR PVC CONDUIT &amp; ACCESORIES (VENDOR-2)</v>
          </cell>
          <cell r="F963">
            <v>1</v>
          </cell>
          <cell r="G963" t="str">
            <v>IFA</v>
          </cell>
        </row>
        <row r="964">
          <cell r="A964" t="str">
            <v>KHF-00-104265-RA-8241-51108-0000-1</v>
          </cell>
          <cell r="B964" t="str">
            <v>AIP-PDO-P1701009-T-0613</v>
          </cell>
          <cell r="C964">
            <v>43366</v>
          </cell>
          <cell r="D964" t="str">
            <v>KHF-00-104265-RA-8241-51108-0000</v>
          </cell>
          <cell r="E964" t="str">
            <v>MATERIAL APPROVAL SHEET FOR ELECTRICAL CABLE TRUNKING &amp; ACCESSORIES</v>
          </cell>
          <cell r="F964">
            <v>1</v>
          </cell>
          <cell r="G964" t="str">
            <v>IFA</v>
          </cell>
        </row>
        <row r="965">
          <cell r="A965" t="str">
            <v>KHF-00-104265-BA-6070-00143-0000-2</v>
          </cell>
          <cell r="B965" t="str">
            <v>AIP-PDO-P1701009-T-0614</v>
          </cell>
          <cell r="C965">
            <v>43366</v>
          </cell>
          <cell r="D965" t="str">
            <v>KHF-00-104265-BA-6070-00143-0000</v>
          </cell>
          <cell r="E965" t="str">
            <v>Method Statement for Tie-In of GRE Pipeline (Adhesive Bonding)</v>
          </cell>
          <cell r="F965">
            <v>2</v>
          </cell>
          <cell r="G965" t="str">
            <v>IFA</v>
          </cell>
        </row>
        <row r="966">
          <cell r="A966" t="str">
            <v>KHF-00-104265-BA-6070-42004-0000-1</v>
          </cell>
          <cell r="B966" t="str">
            <v>AIP-PDO-P1701009-T-0615</v>
          </cell>
          <cell r="C966">
            <v>43366</v>
          </cell>
          <cell r="D966" t="str">
            <v>KHF-00-104265-BA-6070-42004-0000</v>
          </cell>
          <cell r="E966" t="str">
            <v>METHOD STATEMENT FOR INSTALLATION OF EOT CRANE AT 132 KV GIS BUILDING IN AREA 100</v>
          </cell>
          <cell r="F966">
            <v>1</v>
          </cell>
          <cell r="G966" t="str">
            <v>IFR</v>
          </cell>
        </row>
        <row r="967">
          <cell r="A967" t="str">
            <v>KHF-00-104265-AA-3341-00133-0000-1</v>
          </cell>
          <cell r="B967" t="str">
            <v>AIP-PDO-P1701009-T-0616</v>
          </cell>
          <cell r="C967">
            <v>43366</v>
          </cell>
          <cell r="D967" t="str">
            <v>KHF-00-104265-AA-3341-00133-0000</v>
          </cell>
          <cell r="E967" t="str">
            <v>CV OF MR. AYYAPAA RAYAPUREDDI - NDT TECHNICIAN</v>
          </cell>
          <cell r="F967">
            <v>1</v>
          </cell>
          <cell r="G967" t="str">
            <v>IFA</v>
          </cell>
        </row>
        <row r="968">
          <cell r="A968" t="str">
            <v>KHF-00-104265-QA-6050-00116-0000-1</v>
          </cell>
          <cell r="B968" t="str">
            <v>AIP-PDO-P1701009-T-0617</v>
          </cell>
          <cell r="C968">
            <v>43366</v>
          </cell>
          <cell r="D968" t="str">
            <v>KHF-00-104265-QA-6050-00116-0000</v>
          </cell>
          <cell r="E968" t="str">
            <v>Quality Control Plan CP System for Pipelines and Trunk Lines</v>
          </cell>
          <cell r="F968">
            <v>1</v>
          </cell>
          <cell r="G968" t="str">
            <v>IFR</v>
          </cell>
        </row>
        <row r="969">
          <cell r="A969" t="str">
            <v>KHF-00-104265-RA-8241-51085-0000-1</v>
          </cell>
          <cell r="B969" t="str">
            <v>AIP-PDO-P1701009-T-0618</v>
          </cell>
          <cell r="C969">
            <v>43368</v>
          </cell>
          <cell r="D969" t="str">
            <v>KHF-00-104265-RA-8241-51085-0000</v>
          </cell>
          <cell r="E969" t="str">
            <v>MATERIAL APPROVAL SHEET FOR PE WARNING TAPE, CABLE TILES</v>
          </cell>
          <cell r="F969">
            <v>1</v>
          </cell>
          <cell r="G969" t="str">
            <v>IFA</v>
          </cell>
        </row>
        <row r="970">
          <cell r="A970" t="str">
            <v>KHF-00-104265-RA-8241-51087-0000-2</v>
          </cell>
          <cell r="B970" t="str">
            <v>AIP-PDO-P1701009-T-0618</v>
          </cell>
          <cell r="C970">
            <v>43368</v>
          </cell>
          <cell r="D970" t="str">
            <v>KHF-00-104265-RA-8241-51087-0000</v>
          </cell>
          <cell r="E970" t="str">
            <v>MATERIAL APPROVAL SHEET FOR ROOF CONCRETE TILES</v>
          </cell>
          <cell r="F970">
            <v>2</v>
          </cell>
          <cell r="G970" t="str">
            <v>IFA</v>
          </cell>
        </row>
        <row r="971">
          <cell r="A971" t="str">
            <v>KHF-00-104265-RA-8241-51093-0000-1</v>
          </cell>
          <cell r="B971" t="str">
            <v>AIP-PDO-P1701009-T-0618</v>
          </cell>
          <cell r="C971">
            <v>43368</v>
          </cell>
          <cell r="D971" t="str">
            <v>KHF-00-104265-RA-8241-51093-0000</v>
          </cell>
          <cell r="E971" t="str">
            <v>MATERIAL APPROVAL SHEET FOR GLASS DOOR AND FIXED GLASS WINDOW / VENTILATORS</v>
          </cell>
          <cell r="F971">
            <v>1</v>
          </cell>
          <cell r="G971" t="str">
            <v>IFA</v>
          </cell>
        </row>
        <row r="972">
          <cell r="A972" t="str">
            <v>KHF-00-104265-RA-8241-51106-0000-1</v>
          </cell>
          <cell r="B972" t="str">
            <v>AIP-PDO-P1701009-T-0618</v>
          </cell>
          <cell r="C972">
            <v>43368</v>
          </cell>
          <cell r="D972" t="str">
            <v>KHF-00-104265-RA-8241-51106-0000</v>
          </cell>
          <cell r="E972" t="str">
            <v>MATERIAL APPROVAL SHEET FOR NITOBOND SBR</v>
          </cell>
          <cell r="F972">
            <v>1</v>
          </cell>
          <cell r="G972" t="str">
            <v>IFA</v>
          </cell>
        </row>
        <row r="973">
          <cell r="A973" t="str">
            <v>KHF-00-104265-BA-6070-42001-0000-2</v>
          </cell>
          <cell r="B973" t="str">
            <v>AIP-PDO-P1701009-T-0619</v>
          </cell>
          <cell r="C973">
            <v>43368</v>
          </cell>
          <cell r="D973" t="str">
            <v>KHF-00-104265-BA-6070-42001-0000</v>
          </cell>
          <cell r="E973" t="str">
            <v>METHOD STATEMENT FOR INSTALLATION OF PIPE RACK STRUCTURES AT POWER PLANT</v>
          </cell>
          <cell r="F973">
            <v>2</v>
          </cell>
          <cell r="G973" t="str">
            <v>IFA</v>
          </cell>
        </row>
        <row r="974">
          <cell r="A974" t="str">
            <v>KHF-00-104265-CS-0580-10053-0000-1</v>
          </cell>
          <cell r="B974" t="str">
            <v>AIP-PDO-P1701009-T-0620</v>
          </cell>
          <cell r="C974">
            <v>43369</v>
          </cell>
          <cell r="D974" t="str">
            <v>KHF-00-104265-CS-0580-10053-0000</v>
          </cell>
          <cell r="E974" t="str">
            <v>ROOF SLAB FORMWORK STRUCTURE ANALSIS FOR GTG SUBSTATION AND CONTROL BUILDING</v>
          </cell>
          <cell r="F974">
            <v>1</v>
          </cell>
          <cell r="G974" t="str">
            <v>IFI</v>
          </cell>
        </row>
        <row r="975">
          <cell r="A975" t="str">
            <v>KHF-00-104265-HX-6180-10012-0000-6</v>
          </cell>
          <cell r="B975" t="str">
            <v>AIP-PDO-P1701009-T-0621</v>
          </cell>
          <cell r="C975">
            <v>43369</v>
          </cell>
          <cell r="D975" t="str">
            <v>KHF-00-104265-HX-6180-10012-0000</v>
          </cell>
          <cell r="E975" t="str">
            <v>PERMIT TO WORK PROCEDURE (GREEN FIELD)</v>
          </cell>
          <cell r="F975">
            <v>6</v>
          </cell>
          <cell r="G975" t="str">
            <v>IFA</v>
          </cell>
        </row>
        <row r="976">
          <cell r="A976" t="str">
            <v>KHF-00-104265-RA-8241-51018-0000-2</v>
          </cell>
          <cell r="B976" t="str">
            <v>AIP-PDO-P1701009-T-0622</v>
          </cell>
          <cell r="C976">
            <v>43369</v>
          </cell>
          <cell r="D976" t="str">
            <v>KHF-00-104265-RA-8241-51018-0000</v>
          </cell>
          <cell r="E976" t="str">
            <v>MATERIAL APPROVAL SHEET FOR ANCHOR BOLT (VENDOR 01 - CLASSIC METALLIC SHEET FACTORY)</v>
          </cell>
          <cell r="F976">
            <v>2</v>
          </cell>
          <cell r="G976" t="str">
            <v>IFA</v>
          </cell>
        </row>
        <row r="977">
          <cell r="A977" t="str">
            <v>KHF-00-104265-RA-8241-51019-0000-2</v>
          </cell>
          <cell r="B977" t="str">
            <v>AIP-PDO-P1701009-T-0622</v>
          </cell>
          <cell r="C977">
            <v>43369</v>
          </cell>
          <cell r="D977" t="str">
            <v>KHF-00-104265-RA-8241-51019-0000</v>
          </cell>
          <cell r="E977" t="str">
            <v>MATERIAL APPROVAL SHEET FOR ANCHOR BOLT (VENDOR 2 - ASIA BOLT INDUSTRIES)</v>
          </cell>
          <cell r="F977">
            <v>2</v>
          </cell>
          <cell r="G977" t="str">
            <v>IFA</v>
          </cell>
        </row>
        <row r="978">
          <cell r="A978" t="str">
            <v>KHF-00-104265-BA-6070-00144-0000-1</v>
          </cell>
          <cell r="B978" t="str">
            <v>AIP-PDO-P1701009-T-0623</v>
          </cell>
          <cell r="C978">
            <v>43369</v>
          </cell>
          <cell r="D978" t="str">
            <v>KHF-00-104265-BA-6070-00144-0000</v>
          </cell>
          <cell r="E978" t="str">
            <v>Method Statement for Temporary/Permanent CP System for Pipelines and Trunk Lines</v>
          </cell>
          <cell r="F978">
            <v>1</v>
          </cell>
          <cell r="G978" t="str">
            <v>IFR</v>
          </cell>
        </row>
        <row r="979">
          <cell r="A979" t="str">
            <v>KHF-00-104265-QA-5733-22001-0000-1</v>
          </cell>
          <cell r="B979" t="str">
            <v>AIP-PDO-P1701009-T-0624</v>
          </cell>
          <cell r="C979">
            <v>43369</v>
          </cell>
          <cell r="D979" t="str">
            <v>KHF-00-104265-QA-5733-22001-0000</v>
          </cell>
          <cell r="E979" t="str">
            <v>INSPECTION AND TEST PLAN FOR INSTALLATION AND TESTING OF EOT CRANE</v>
          </cell>
          <cell r="F979">
            <v>1</v>
          </cell>
          <cell r="G979" t="str">
            <v>IFR</v>
          </cell>
        </row>
        <row r="980">
          <cell r="A980" t="str">
            <v>KHF-00-104265-AA-3341-60074-0000-2</v>
          </cell>
          <cell r="B980" t="str">
            <v>AIP-PDO-P1701009-T-0625</v>
          </cell>
          <cell r="C980">
            <v>43369</v>
          </cell>
          <cell r="D980" t="str">
            <v>KHF-00-104265-AA-3341-60074-0000</v>
          </cell>
          <cell r="E980" t="str">
            <v>CV OF MR. SUNIL KUMAR NAYAK - WELDING INSPECTOR-PIPELINES</v>
          </cell>
          <cell r="F980">
            <v>2</v>
          </cell>
          <cell r="G980" t="str">
            <v>IFA</v>
          </cell>
        </row>
        <row r="981">
          <cell r="A981" t="str">
            <v>cancelled</v>
          </cell>
          <cell r="B981" t="str">
            <v>AIP-PDO-P1701009-T-0626</v>
          </cell>
          <cell r="C981">
            <v>43369</v>
          </cell>
          <cell r="D981" t="str">
            <v>KHF-00-104265-RA-8241-51006-0000</v>
          </cell>
          <cell r="E981" t="str">
            <v>MATERIAL APPROVAL SHEET FOR CEMENTITIOUS GROUT PRODUCT - FOSROC CONBEXTRA BB80</v>
          </cell>
          <cell r="F981">
            <v>2</v>
          </cell>
          <cell r="G981" t="str">
            <v>cancelled</v>
          </cell>
        </row>
        <row r="982">
          <cell r="A982" t="str">
            <v>cancelled</v>
          </cell>
          <cell r="B982" t="str">
            <v>AIP-PDO-P1701009-T-0626</v>
          </cell>
          <cell r="C982">
            <v>43369</v>
          </cell>
          <cell r="D982" t="str">
            <v>KHF-00-104265-RA-8241-51090-0000</v>
          </cell>
          <cell r="E982" t="str">
            <v>MATERIAL APPROVAL SHEET FOR FITBOND SBR</v>
          </cell>
          <cell r="F982">
            <v>1</v>
          </cell>
          <cell r="G982" t="str">
            <v>cancelled</v>
          </cell>
        </row>
        <row r="983">
          <cell r="A983" t="str">
            <v>cancelled</v>
          </cell>
          <cell r="B983" t="str">
            <v>AIP-PDO-P1701009-T-0626</v>
          </cell>
          <cell r="C983">
            <v>43369</v>
          </cell>
          <cell r="D983" t="str">
            <v>KHF-00-104265-RA-8241-51098-0000</v>
          </cell>
          <cell r="E983" t="str">
            <v>MATERIAL APPROVAL SHEET FOR HILTI INJECTABLE MORTAR HIT RE-100</v>
          </cell>
          <cell r="F983">
            <v>1</v>
          </cell>
          <cell r="G983" t="str">
            <v>cancelled</v>
          </cell>
        </row>
        <row r="984">
          <cell r="A984" t="str">
            <v>cancelled</v>
          </cell>
          <cell r="B984" t="str">
            <v>AIP-PDO-P1701009-T-0626</v>
          </cell>
          <cell r="C984">
            <v>43369</v>
          </cell>
          <cell r="D984" t="str">
            <v>KHF-00-104265-RA-8241-51103-0000</v>
          </cell>
          <cell r="E984" t="str">
            <v>MATERIAL APPROVAL SHEET  FOR INDOOR SOCKET OUT LETS AND SWITCHES</v>
          </cell>
          <cell r="F984">
            <v>1</v>
          </cell>
          <cell r="G984" t="str">
            <v>cancelled</v>
          </cell>
        </row>
        <row r="985">
          <cell r="A985" t="str">
            <v>KHF-00-104265-AA-6944-10047-0000-1</v>
          </cell>
          <cell r="B985" t="str">
            <v>AIP-PDO-P1701009-T-0627</v>
          </cell>
          <cell r="C985">
            <v>43373</v>
          </cell>
          <cell r="D985" t="str">
            <v>KHF-00-104265-AA-6944-10047-0000</v>
          </cell>
          <cell r="E985" t="str">
            <v>Weekly Progress Report No.047</v>
          </cell>
          <cell r="F985">
            <v>1</v>
          </cell>
          <cell r="G985" t="str">
            <v>IFI</v>
          </cell>
        </row>
        <row r="986">
          <cell r="A986" t="str">
            <v>KHF-00-104265-AA-3341-60105-0000-1</v>
          </cell>
          <cell r="B986" t="str">
            <v>AIP-PDO-P1701009-T-0628</v>
          </cell>
          <cell r="C986">
            <v>43373</v>
          </cell>
          <cell r="D986" t="str">
            <v>KHF-00-104265-AA-3341-60105-0000</v>
          </cell>
          <cell r="E986" t="str">
            <v>CV OF MR. RAMJI R. - AIP PTW COORDINATOR</v>
          </cell>
          <cell r="F986">
            <v>1</v>
          </cell>
          <cell r="G986" t="str">
            <v>IFA</v>
          </cell>
        </row>
        <row r="987">
          <cell r="A987" t="str">
            <v>KHF-00-104265-RA-8241-51006-0000-2</v>
          </cell>
          <cell r="B987" t="str">
            <v>AIP-PDO-P1701009-T-0629</v>
          </cell>
          <cell r="C987">
            <v>43373</v>
          </cell>
          <cell r="D987" t="str">
            <v>KHF-00-104265-RA-8241-51006-0000</v>
          </cell>
          <cell r="E987" t="str">
            <v>MATERIAL APPROVAL SHEET FOR CEMENTITIOUS GROUT PRODUCT - FOSROC CONBEXTRA BB80</v>
          </cell>
          <cell r="F987">
            <v>2</v>
          </cell>
          <cell r="G987" t="str">
            <v>IFA</v>
          </cell>
        </row>
        <row r="988">
          <cell r="A988" t="str">
            <v>KHF-00-104265-RA-8241-51090-0000-1</v>
          </cell>
          <cell r="B988" t="str">
            <v>AIP-PDO-P1701009-T-0629</v>
          </cell>
          <cell r="C988">
            <v>43373</v>
          </cell>
          <cell r="D988" t="str">
            <v>KHF-00-104265-RA-8241-51090-0000</v>
          </cell>
          <cell r="E988" t="str">
            <v>MATERIAL APPROVAL SHEET FOR FITBOND SBR</v>
          </cell>
          <cell r="F988">
            <v>1</v>
          </cell>
          <cell r="G988" t="str">
            <v>IFA</v>
          </cell>
        </row>
        <row r="989">
          <cell r="A989" t="str">
            <v>KHF-00-104265-RA-8241-51098-0000-1</v>
          </cell>
          <cell r="B989" t="str">
            <v>AIP-PDO-P1701009-T-0629</v>
          </cell>
          <cell r="C989">
            <v>43373</v>
          </cell>
          <cell r="D989" t="str">
            <v>KHF-00-104265-RA-8241-51098-0000</v>
          </cell>
          <cell r="E989" t="str">
            <v>MATERIAL APPROVAL SHEET FOR HILTI INJECTABLE MORTAR HIT RE-100</v>
          </cell>
          <cell r="F989">
            <v>1</v>
          </cell>
          <cell r="G989" t="str">
            <v>IFA</v>
          </cell>
        </row>
        <row r="990">
          <cell r="A990" t="str">
            <v>KHF-00-104265-RA-8241-51103-0000-1</v>
          </cell>
          <cell r="B990" t="str">
            <v>AIP-PDO-P1701009-T-0629</v>
          </cell>
          <cell r="C990">
            <v>43373</v>
          </cell>
          <cell r="D990" t="str">
            <v>KHF-00-104265-RA-8241-51103-0000</v>
          </cell>
          <cell r="E990" t="str">
            <v>MATERIAL APPROVAL SHEET  FOR INDOOR SOCKET OUT LETS AND SWITCHES</v>
          </cell>
          <cell r="F990">
            <v>1</v>
          </cell>
          <cell r="G990" t="str">
            <v>IFA</v>
          </cell>
        </row>
        <row r="991">
          <cell r="A991" t="str">
            <v>KHF-00-104265-AA-3341-60101-0000-2</v>
          </cell>
          <cell r="B991" t="str">
            <v>AIP-PDO-P1701009-T-0630</v>
          </cell>
          <cell r="C991">
            <v>43373</v>
          </cell>
          <cell r="D991" t="str">
            <v>KHF-00-104265-AA-3341-60101-0000</v>
          </cell>
          <cell r="E991" t="str">
            <v>CV OF MR. SYED ABBAS.S - PROCUREMENT MANAGER</v>
          </cell>
          <cell r="F991">
            <v>2</v>
          </cell>
          <cell r="G991" t="str">
            <v>IFA</v>
          </cell>
        </row>
        <row r="992">
          <cell r="A992" t="str">
            <v>KHF-00-104265-BA-6065-00801-0000-1</v>
          </cell>
          <cell r="B992" t="str">
            <v>AIP-PDO-P1701009-T-0631</v>
          </cell>
          <cell r="C992">
            <v>43373</v>
          </cell>
          <cell r="D992" t="str">
            <v>KHF-00-104265-BA-6065-00801-0000</v>
          </cell>
          <cell r="E992" t="str">
            <v>WELDING PROCEDURE SPECIFICATION &amp; PROCEDURE QUALIFICATION RECORD (WPS &amp; PQR NO: 01)</v>
          </cell>
          <cell r="F992">
            <v>1</v>
          </cell>
          <cell r="G992" t="str">
            <v>IFR</v>
          </cell>
        </row>
        <row r="993">
          <cell r="A993" t="str">
            <v>KHF-00-104265-BA-6065-00803-0000-1</v>
          </cell>
          <cell r="B993" t="str">
            <v>AIP-PDO-P1701009-T-0631</v>
          </cell>
          <cell r="C993">
            <v>43373</v>
          </cell>
          <cell r="D993" t="str">
            <v>KHF-00-104265-BA-6065-00803-0000</v>
          </cell>
          <cell r="E993" t="str">
            <v>WELDING PROCEDURE SPECIFICATION &amp; PROCEDURE QUALIFICATION RECORD (WPS &amp; PQR NO: 03)</v>
          </cell>
          <cell r="F993">
            <v>1</v>
          </cell>
          <cell r="G993" t="str">
            <v>IFR</v>
          </cell>
        </row>
        <row r="994">
          <cell r="A994" t="str">
            <v>KHF-00-104265-BA-6065-00804-0000-1</v>
          </cell>
          <cell r="B994" t="str">
            <v>AIP-PDO-P1701009-T-0631</v>
          </cell>
          <cell r="C994">
            <v>43373</v>
          </cell>
          <cell r="D994" t="str">
            <v>KHF-00-104265-BA-6065-00804-0000</v>
          </cell>
          <cell r="E994" t="str">
            <v>WELDING PROCEDURE SPECIFICATION &amp; PROCEDURE QUALIFICATION RECORD (WPS &amp; PQR NO: 04)</v>
          </cell>
          <cell r="F994">
            <v>1</v>
          </cell>
          <cell r="G994" t="str">
            <v>IFR</v>
          </cell>
        </row>
        <row r="995">
          <cell r="A995" t="str">
            <v>KHF-00-104265-BA-6065-00805-0000-1</v>
          </cell>
          <cell r="B995" t="str">
            <v>AIP-PDO-P1701009-T-0631</v>
          </cell>
          <cell r="C995">
            <v>43373</v>
          </cell>
          <cell r="D995" t="str">
            <v>KHF-00-104265-BA-6065-00805-0000</v>
          </cell>
          <cell r="E995" t="str">
            <v>WELDING PROCEDURE SPECIFICATION &amp; PROCEDURE QUALIFICATION RECORD (WPS &amp; PQR NO: 08)</v>
          </cell>
          <cell r="F995">
            <v>1</v>
          </cell>
          <cell r="G995" t="str">
            <v>IFR</v>
          </cell>
        </row>
        <row r="996">
          <cell r="A996" t="str">
            <v>KHF-00-104265-BA-6065-00808-0000-1</v>
          </cell>
          <cell r="B996" t="str">
            <v>AIP-PDO-P1701009-T-0631</v>
          </cell>
          <cell r="C996">
            <v>43373</v>
          </cell>
          <cell r="D996" t="str">
            <v>KHF-00-104265-BA-6065-00808-0000</v>
          </cell>
          <cell r="E996" t="str">
            <v>WELDING PROCEDURE SPECIFICATION &amp; PROCEDURE QUALIFICATION RECORD (WPS NO: 10B &amp; PQR NO: 10)</v>
          </cell>
          <cell r="F996">
            <v>1</v>
          </cell>
          <cell r="G996" t="str">
            <v>IFR</v>
          </cell>
        </row>
        <row r="997">
          <cell r="A997" t="str">
            <v>KHF-00-104265-BA-6065-00809-0000-1</v>
          </cell>
          <cell r="B997" t="str">
            <v>AIP-PDO-P1701009-T-0631</v>
          </cell>
          <cell r="C997">
            <v>43373</v>
          </cell>
          <cell r="D997" t="str">
            <v>KHF-00-104265-BA-6065-00809-0000</v>
          </cell>
          <cell r="E997" t="str">
            <v>WELDING PROCEDURE SPECIFICATION &amp; PROCEDURE QUALIFICATION RECORD (WPS &amp; PQR NO: 02)</v>
          </cell>
          <cell r="F997">
            <v>1</v>
          </cell>
          <cell r="G997" t="str">
            <v>IFR</v>
          </cell>
        </row>
        <row r="998">
          <cell r="A998" t="str">
            <v>KHF-00-104265-FA-5765-10040-0000-4</v>
          </cell>
          <cell r="B998" t="str">
            <v>AIP-PDO-P1701009-T-0632</v>
          </cell>
          <cell r="C998">
            <v>43373</v>
          </cell>
          <cell r="D998" t="str">
            <v>KHF-00-104265-FA-5765-10040-0000</v>
          </cell>
          <cell r="E998" t="str">
            <v>PROJECT SCHEDULE - LEVEL 04</v>
          </cell>
          <cell r="F998">
            <v>4</v>
          </cell>
          <cell r="G998" t="str">
            <v>IFA</v>
          </cell>
        </row>
        <row r="999">
          <cell r="A999" t="str">
            <v>KHF-00-104265-LA-5009-00110-0000-1</v>
          </cell>
          <cell r="B999" t="str">
            <v>AIP-PDO-P1701009-T-0633</v>
          </cell>
          <cell r="C999">
            <v>43373</v>
          </cell>
          <cell r="D999" t="str">
            <v>KHF-00-104265-LA-5009-00110-0000</v>
          </cell>
          <cell r="E999" t="str">
            <v>MAS for G.I.Welded Mesh (Wadi Crossing Pipe Protection Concrete)</v>
          </cell>
          <cell r="F999">
            <v>1</v>
          </cell>
          <cell r="G999" t="str">
            <v>IFR</v>
          </cell>
        </row>
        <row r="1000">
          <cell r="A1000" t="str">
            <v>KHF-00-104265-QA-5733-00601-0000-3</v>
          </cell>
          <cell r="B1000" t="str">
            <v>AIP-PDO-P1701009-T-0634</v>
          </cell>
          <cell r="C1000">
            <v>43374</v>
          </cell>
          <cell r="D1000" t="str">
            <v>KHF-00-104265-QA-5733-00601-0000</v>
          </cell>
          <cell r="E1000" t="str">
            <v>INSPECTION &amp; TEST PLAN FOR CS &amp; LTCS PIPING FABRICATION (Off Plot / Power Plant)</v>
          </cell>
          <cell r="F1000">
            <v>3</v>
          </cell>
          <cell r="G1000" t="str">
            <v>IFA</v>
          </cell>
        </row>
        <row r="1001">
          <cell r="A1001" t="str">
            <v>KHF-00-104265-QA-5733-00801-0000-1</v>
          </cell>
          <cell r="B1001" t="str">
            <v>AIP-PDO-P1701009-T-0635</v>
          </cell>
          <cell r="C1001">
            <v>43374</v>
          </cell>
          <cell r="D1001" t="str">
            <v>KHF-00-104265-QA-5733-00801-0000</v>
          </cell>
          <cell r="E1001" t="str">
            <v>INSPECTION AND TEST PLAN - FABRICATION &amp; WELDING OF STRUCTURAL STEEL</v>
          </cell>
          <cell r="F1001">
            <v>1</v>
          </cell>
          <cell r="G1001" t="str">
            <v>IFR</v>
          </cell>
        </row>
        <row r="1002">
          <cell r="A1002" t="str">
            <v>KHF-00-104265-BA-6070-43003-0000-2</v>
          </cell>
          <cell r="B1002" t="str">
            <v>AIP-PDO-P1701009-T-0636</v>
          </cell>
          <cell r="C1002">
            <v>43374</v>
          </cell>
          <cell r="D1002" t="str">
            <v>KHF-00-104265-BA-6070-43003-0000</v>
          </cell>
          <cell r="E1002" t="str">
            <v>METHOD STATEMENT FOR ERECTION OF TRANSFORMERS</v>
          </cell>
          <cell r="F1002">
            <v>2</v>
          </cell>
          <cell r="G1002" t="str">
            <v>IFA</v>
          </cell>
        </row>
        <row r="1003">
          <cell r="A1003" t="str">
            <v>KHF-00-104265-RA-8241-51092-0000-1</v>
          </cell>
          <cell r="B1003" t="str">
            <v>AIP-PDO-P1701009-T-0637</v>
          </cell>
          <cell r="C1003">
            <v>43374</v>
          </cell>
          <cell r="D1003" t="str">
            <v>KHF-00-104265-RA-8241-51092-0000</v>
          </cell>
          <cell r="E1003" t="str">
            <v>MATERIAL APPROVAL SHEET FOR POLYBOND SBR (MATERIAL OPTION-2)</v>
          </cell>
          <cell r="F1003">
            <v>1</v>
          </cell>
          <cell r="G1003" t="str">
            <v>IFA</v>
          </cell>
        </row>
        <row r="1004">
          <cell r="A1004" t="str">
            <v>KHF-00-104265-RA-8241-51110-0000-1</v>
          </cell>
          <cell r="B1004" t="str">
            <v>AIP-PDO-P1701009-T-0637</v>
          </cell>
          <cell r="C1004">
            <v>43374</v>
          </cell>
          <cell r="D1004" t="str">
            <v>KHF-00-104265-RA-8241-51110-0000</v>
          </cell>
          <cell r="E1004" t="str">
            <v>MATERIAL APPROVAL SHEET FOR FOSROC LOKFIX DUR</v>
          </cell>
          <cell r="F1004">
            <v>1</v>
          </cell>
          <cell r="G1004" t="str">
            <v>IFA</v>
          </cell>
        </row>
        <row r="1005">
          <cell r="A1005" t="str">
            <v>KHF-00-104265-RA-8241-51111-0000-1</v>
          </cell>
          <cell r="B1005" t="str">
            <v>AIP-PDO-P1701009-T-0637</v>
          </cell>
          <cell r="C1005">
            <v>43374</v>
          </cell>
          <cell r="D1005" t="str">
            <v>KHF-00-104265-RA-8241-51111-0000</v>
          </cell>
          <cell r="E1005" t="str">
            <v>MATERIAL APPROVAL SHEET FOR LV CABLE JOINT KIT AT YKP (ON PLOT &amp; OFF PLOT WORKS )</v>
          </cell>
          <cell r="F1005">
            <v>1</v>
          </cell>
          <cell r="G1005" t="str">
            <v>IFA</v>
          </cell>
        </row>
        <row r="1006">
          <cell r="A1006" t="str">
            <v>KHF-00-104265-AA-3347-20011-0000-1</v>
          </cell>
          <cell r="B1006" t="str">
            <v>AIP-PDO-P1701009-T-0638</v>
          </cell>
          <cell r="C1006">
            <v>43374</v>
          </cell>
          <cell r="D1006" t="str">
            <v>KHF-00-104265-AA-3347-20011-0000</v>
          </cell>
          <cell r="E1006" t="str">
            <v>Minutes of Monthly Review Meeting  No.11</v>
          </cell>
          <cell r="F1006">
            <v>1</v>
          </cell>
          <cell r="G1006" t="str">
            <v>IFI</v>
          </cell>
        </row>
        <row r="1007">
          <cell r="A1007" t="str">
            <v>KHF-00-104265-QA-5733-00802-0000-1</v>
          </cell>
          <cell r="B1007" t="str">
            <v>AIP-PDO-P1701009-T-0639</v>
          </cell>
          <cell r="C1007">
            <v>43374</v>
          </cell>
          <cell r="D1007" t="str">
            <v>KHF-00-104265-QA-5733-00802-0000</v>
          </cell>
          <cell r="E1007" t="str">
            <v xml:space="preserve">Inspection and Test Plan for Surface preparation &amp; Painting of Structural Steel </v>
          </cell>
          <cell r="F1007">
            <v>1</v>
          </cell>
          <cell r="G1007" t="str">
            <v>IFR</v>
          </cell>
        </row>
        <row r="1008">
          <cell r="A1008" t="str">
            <v>KHF-00-104265-QA-5733-24004-0000-2</v>
          </cell>
          <cell r="B1008" t="str">
            <v>AIP-PDO-P1701009-T-0640</v>
          </cell>
          <cell r="C1008">
            <v>43374</v>
          </cell>
          <cell r="D1008" t="str">
            <v>KHF-00-104265-QA-5733-24004-0000</v>
          </cell>
          <cell r="E1008" t="str">
            <v>Inspection &amp; Test Plan for Installation and Testing of Impulse and Airline Tubing</v>
          </cell>
          <cell r="F1008">
            <v>2</v>
          </cell>
          <cell r="G1008" t="str">
            <v>IFA</v>
          </cell>
        </row>
        <row r="1009">
          <cell r="A1009" t="str">
            <v>cancelled</v>
          </cell>
          <cell r="B1009" t="str">
            <v>AIP-PDO-P1701009-T-0641</v>
          </cell>
          <cell r="C1009">
            <v>43375</v>
          </cell>
          <cell r="D1009" t="str">
            <v>KHF-00-104265-BA-6180-00801-0000</v>
          </cell>
          <cell r="E1009" t="str">
            <v>METHOD STATEMENT FOR FABRICATION AND WELDING OF STRUCTURAL STEEL WORKS</v>
          </cell>
          <cell r="F1009">
            <v>1</v>
          </cell>
          <cell r="G1009" t="str">
            <v>resubmitted via 644</v>
          </cell>
        </row>
        <row r="1010">
          <cell r="A1010" t="str">
            <v>cancelled</v>
          </cell>
          <cell r="B1010" t="str">
            <v>AIP-PDO-P1701009-T-0641</v>
          </cell>
          <cell r="C1010">
            <v>43375</v>
          </cell>
          <cell r="D1010" t="str">
            <v>KHF-00-104265-BA-6180-00802-0000</v>
          </cell>
          <cell r="E1010" t="str">
            <v>METHOD STATEMENT FOR SURFACE PREPARATION AND PAINTING OF STRUCTURAL STEEL (PCS-1 SYSTEM)</v>
          </cell>
          <cell r="F1010">
            <v>1</v>
          </cell>
          <cell r="G1010" t="str">
            <v>resubmitted via 644</v>
          </cell>
        </row>
        <row r="1011">
          <cell r="A1011" t="str">
            <v>KHF-00-104265-RA-6038-00801-0000-1</v>
          </cell>
          <cell r="B1011" t="str">
            <v>AIP-PDO-P1701009-T-0642</v>
          </cell>
          <cell r="C1011">
            <v>43375</v>
          </cell>
          <cell r="D1011" t="str">
            <v>KHF-00-104265-RA-6038-00801-0000</v>
          </cell>
          <cell r="E1011" t="str">
            <v>NDE OPERATOR QUALIFICATION RECORD</v>
          </cell>
          <cell r="F1011">
            <v>1</v>
          </cell>
          <cell r="G1011" t="str">
            <v>IFR</v>
          </cell>
        </row>
        <row r="1012">
          <cell r="A1012" t="str">
            <v>KHF-00-104265-RA-6038-00802-0000-1</v>
          </cell>
          <cell r="B1012" t="str">
            <v>AIP-PDO-P1701009-T-0642</v>
          </cell>
          <cell r="C1012">
            <v>43375</v>
          </cell>
          <cell r="D1012" t="str">
            <v>KHF-00-104265-RA-6038-00802-0000</v>
          </cell>
          <cell r="E1012" t="str">
            <v>MAGNETIC PARTICLE INSPECTION PROCEDURE</v>
          </cell>
          <cell r="F1012">
            <v>1</v>
          </cell>
          <cell r="G1012" t="str">
            <v>IFR</v>
          </cell>
        </row>
        <row r="1013">
          <cell r="A1013" t="str">
            <v>cancelled</v>
          </cell>
          <cell r="B1013" t="str">
            <v>AIP-PDO-P1701009-T-0643</v>
          </cell>
          <cell r="C1013">
            <v>43375</v>
          </cell>
          <cell r="D1013" t="str">
            <v>KHF-00-104265-RA-8241-51116-0000</v>
          </cell>
          <cell r="E1013" t="str">
            <v>MATERIAL APPROVAL SHEET FOR CABLE TRAYS WITH ACCESSORIES / LADDER &amp; PERFORATED - VENDOR 01</v>
          </cell>
          <cell r="F1013">
            <v>1</v>
          </cell>
          <cell r="G1013" t="str">
            <v>IFA</v>
          </cell>
        </row>
        <row r="1014">
          <cell r="A1014" t="str">
            <v>cancelled</v>
          </cell>
          <cell r="B1014" t="str">
            <v>AIP-PDO-P1701009-T-0643</v>
          </cell>
          <cell r="C1014">
            <v>43375</v>
          </cell>
          <cell r="D1014" t="str">
            <v>KHF-00-104265-RA-8241-51118-0000</v>
          </cell>
          <cell r="E1014" t="str">
            <v>MATERIAL APPROVAL SHEET FOR CABLE TRAYS WITH ACCESSORIES / LADDER &amp; PERFORATED - VENDOR 02</v>
          </cell>
          <cell r="F1014">
            <v>1</v>
          </cell>
          <cell r="G1014" t="str">
            <v>IFA</v>
          </cell>
        </row>
        <row r="1015">
          <cell r="A1015" t="str">
            <v>cancelled</v>
          </cell>
          <cell r="B1015" t="str">
            <v>AIP-PDO-P1701009-T-0643</v>
          </cell>
          <cell r="C1015">
            <v>43375</v>
          </cell>
          <cell r="D1015" t="str">
            <v>KHF-00-104265-RA-8241-51119-0000</v>
          </cell>
          <cell r="E1015" t="str">
            <v>MATERIAL APPROVAL SHEET FOR ROOF DRAIN</v>
          </cell>
          <cell r="F1015">
            <v>1</v>
          </cell>
          <cell r="G1015" t="str">
            <v>IFA</v>
          </cell>
        </row>
        <row r="1016">
          <cell r="A1016" t="str">
            <v>KHF-00-104265-BA-6070-00801-0000-1</v>
          </cell>
          <cell r="B1016" t="str">
            <v>AIP-PDO-P1701009-T-0644</v>
          </cell>
          <cell r="C1016">
            <v>43375</v>
          </cell>
          <cell r="D1016" t="str">
            <v>KHF-00-104265-BA-6070-00801-0000</v>
          </cell>
          <cell r="E1016" t="str">
            <v>METHOD STATEMENT FOR FABRICATION AND WELDING OF STRUCTURAL STEEL WORKS</v>
          </cell>
          <cell r="F1016">
            <v>1</v>
          </cell>
          <cell r="G1016" t="str">
            <v>IFR</v>
          </cell>
        </row>
        <row r="1017">
          <cell r="A1017" t="str">
            <v>KHF-00-104265-BA-6070-00802-0000-1</v>
          </cell>
          <cell r="B1017" t="str">
            <v>AIP-PDO-P1701009-T-0644</v>
          </cell>
          <cell r="C1017">
            <v>43375</v>
          </cell>
          <cell r="D1017" t="str">
            <v>KHF-00-104265-BA-6070-00802-0000</v>
          </cell>
          <cell r="E1017" t="str">
            <v>METHOD STATEMENT FOR SURFACE PREPARATION AND PAINTING OF STRUCTURAL STEEL (PCS-1 SYSTEM)</v>
          </cell>
          <cell r="F1017">
            <v>1</v>
          </cell>
          <cell r="G1017" t="str">
            <v>IFR</v>
          </cell>
        </row>
        <row r="1018">
          <cell r="A1018" t="str">
            <v>KHF-00-104265-LA-5009-00118-0000-1</v>
          </cell>
          <cell r="B1018" t="str">
            <v>AIP-PDO-P1701009-T-0645</v>
          </cell>
          <cell r="C1018">
            <v>43375</v>
          </cell>
          <cell r="D1018" t="str">
            <v>KHF-00-104265-LA-5009-00118-0000</v>
          </cell>
          <cell r="E1018" t="str">
            <v>MAS for 3" G.I Pipe (Class L2 ) For Pipeline Marker Post-Off Plot</v>
          </cell>
          <cell r="F1018">
            <v>1</v>
          </cell>
          <cell r="G1018" t="str">
            <v>IFA</v>
          </cell>
        </row>
        <row r="1019">
          <cell r="A1019" t="str">
            <v>KHF-00-104265-RA-8241-51116-0000-1</v>
          </cell>
          <cell r="B1019" t="str">
            <v>AIP-PDO-P1701009-T-0646</v>
          </cell>
          <cell r="C1019">
            <v>43375</v>
          </cell>
          <cell r="D1019" t="str">
            <v>KHF-00-104265-RA-8241-51116-0000</v>
          </cell>
          <cell r="E1019" t="str">
            <v>MATERIAL APPROVAL SHEET FOR CABLE TRAYS WITH ACCESSORIES / LADDER &amp; PERFORATED - VENDOR 01</v>
          </cell>
          <cell r="F1019">
            <v>1</v>
          </cell>
          <cell r="G1019" t="str">
            <v>IFA</v>
          </cell>
        </row>
        <row r="1020">
          <cell r="A1020" t="str">
            <v>KHF-00-104265-RA-8241-51118-0000-1</v>
          </cell>
          <cell r="B1020" t="str">
            <v>AIP-PDO-P1701009-T-0646</v>
          </cell>
          <cell r="C1020">
            <v>43375</v>
          </cell>
          <cell r="D1020" t="str">
            <v>KHF-00-104265-RA-8241-51118-0000</v>
          </cell>
          <cell r="E1020" t="str">
            <v>MATERIAL APPROVAL SHEET FOR CABLE TRAYS WITH ACCESSORIES / LADDER &amp; PERFORATED - VENDOR 02</v>
          </cell>
          <cell r="F1020">
            <v>1</v>
          </cell>
          <cell r="G1020" t="str">
            <v>IFA</v>
          </cell>
        </row>
        <row r="1021">
          <cell r="A1021" t="str">
            <v>KHF-00-104265-RA-8241-51119-0000-1</v>
          </cell>
          <cell r="B1021" t="str">
            <v>AIP-PDO-P1701009-T-0646</v>
          </cell>
          <cell r="C1021">
            <v>43375</v>
          </cell>
          <cell r="D1021" t="str">
            <v>KHF-00-104265-RA-8241-51119-0000</v>
          </cell>
          <cell r="E1021" t="str">
            <v>MATERIAL APPROVAL SHEET FOR ROOF DRAIN</v>
          </cell>
          <cell r="F1021">
            <v>1</v>
          </cell>
          <cell r="G1021" t="str">
            <v>IFA</v>
          </cell>
        </row>
        <row r="1022">
          <cell r="A1022" t="str">
            <v>KHF-00-104265-AA-3341-00134-0000-1</v>
          </cell>
          <cell r="B1022" t="str">
            <v>AIP-PDO-P1701009-T-0647</v>
          </cell>
          <cell r="C1022">
            <v>43375</v>
          </cell>
          <cell r="D1022" t="str">
            <v>KHF-00-104265-AA-3341-00134-0000</v>
          </cell>
          <cell r="E1022" t="str">
            <v>CV OF MR. PANKE ANAND SANTOSH KUMAR - NDT TECHNICIAN</v>
          </cell>
          <cell r="F1022">
            <v>1</v>
          </cell>
          <cell r="G1022" t="str">
            <v>IFA</v>
          </cell>
        </row>
        <row r="1023">
          <cell r="A1023" t="str">
            <v>KHF-00-104265-BA-6065-00806-0000-1</v>
          </cell>
          <cell r="B1023" t="str">
            <v>AIP-PDO-P1701009-T-0648</v>
          </cell>
          <cell r="C1023">
            <v>43375</v>
          </cell>
          <cell r="D1023" t="str">
            <v>KHF-00-104265-BA-6065-00806-0000</v>
          </cell>
          <cell r="E1023" t="str">
            <v>WELDING PROCEDURE SPECIFICATION &amp; PROCEDURE QUALIFICATION RECORD (WPS &amp; PQR NO: 09)</v>
          </cell>
          <cell r="F1023">
            <v>1</v>
          </cell>
          <cell r="G1023" t="str">
            <v>IFR</v>
          </cell>
        </row>
        <row r="1024">
          <cell r="A1024" t="str">
            <v>KHF-00-104265-BA-6065-00807-0000-1</v>
          </cell>
          <cell r="B1024" t="str">
            <v>AIP-PDO-P1701009-T-0648</v>
          </cell>
          <cell r="C1024">
            <v>43375</v>
          </cell>
          <cell r="D1024" t="str">
            <v>KHF-00-104265-BA-6065-00807-0000</v>
          </cell>
          <cell r="E1024" t="str">
            <v>WELDING PROCEDURE SPECIFICATION &amp; PROCEDURE QUALIFICATION RECORD (WPS NO: 10A &amp; PQR NO: 10)</v>
          </cell>
          <cell r="F1024">
            <v>1</v>
          </cell>
          <cell r="G1024" t="str">
            <v>IFR</v>
          </cell>
        </row>
        <row r="1025">
          <cell r="A1025" t="str">
            <v>KHF-00-104265-BA-6070-44001-0000-1</v>
          </cell>
          <cell r="B1025" t="str">
            <v>AIP-PDO-P1701009-T-0649</v>
          </cell>
          <cell r="C1025">
            <v>43375</v>
          </cell>
          <cell r="D1025" t="str">
            <v>KHF-00-104265-BA-6070-44001-0000</v>
          </cell>
          <cell r="E1025" t="str">
            <v>METHOD STATEMENT FOR INSTALLATION OF CABLE TRAYS AND CONDUITS</v>
          </cell>
          <cell r="F1025">
            <v>1</v>
          </cell>
          <cell r="G1025" t="str">
            <v>IFR</v>
          </cell>
        </row>
        <row r="1026">
          <cell r="A1026" t="str">
            <v>KHF-00-104265-QA-5733-23008-0000-2</v>
          </cell>
          <cell r="B1026" t="str">
            <v>AIP-PDO-P1701009-T-0650</v>
          </cell>
          <cell r="C1026">
            <v>43375</v>
          </cell>
          <cell r="D1026" t="str">
            <v>KHF-00-104265-QA-5733-23008-0000</v>
          </cell>
          <cell r="E1026" t="str">
            <v>Inspection &amp; Test Plan for Lighting &amp; Small Power works</v>
          </cell>
          <cell r="F1026">
            <v>2</v>
          </cell>
          <cell r="G1026" t="str">
            <v>IFA</v>
          </cell>
        </row>
        <row r="1027">
          <cell r="A1027" t="str">
            <v>KHF-00-104265-RA-8241-00801-0000-1</v>
          </cell>
          <cell r="B1027" t="str">
            <v>AIP-PDO-P1701009-T-0651</v>
          </cell>
          <cell r="C1027">
            <v>43376</v>
          </cell>
          <cell r="D1027" t="str">
            <v>KHF-00-104265-RA-8241-00801-0000</v>
          </cell>
          <cell r="E1027" t="str">
            <v>MATERIAL APPROVAL SHEET FOR STEEL MATERIALS</v>
          </cell>
          <cell r="F1027">
            <v>1</v>
          </cell>
          <cell r="G1027" t="str">
            <v>IFA</v>
          </cell>
        </row>
        <row r="1028">
          <cell r="A1028" t="str">
            <v>KHF-00-104265-RA-6038-00804-0000-1</v>
          </cell>
          <cell r="B1028" t="str">
            <v>AIP-PDO-P1701009-T-0652</v>
          </cell>
          <cell r="C1028">
            <v>43376</v>
          </cell>
          <cell r="D1028" t="str">
            <v>KHF-00-104265-RA-6038-00804-0000</v>
          </cell>
          <cell r="E1028" t="str">
            <v>RADIOGRAPHIC TESTING PROCEDURE</v>
          </cell>
          <cell r="F1028">
            <v>1</v>
          </cell>
          <cell r="G1028" t="str">
            <v>IFR</v>
          </cell>
        </row>
        <row r="1029">
          <cell r="A1029" t="str">
            <v>KHF-00-104265-LA-5009-00119-0000-1</v>
          </cell>
          <cell r="B1029" t="str">
            <v>AIP-PDO-P1701009-T-0653</v>
          </cell>
          <cell r="C1029">
            <v>43377</v>
          </cell>
          <cell r="D1029" t="str">
            <v>KHF-00-104265-LA-5009-00119-0000</v>
          </cell>
          <cell r="E1029" t="str">
            <v>Material Approval Sheet for Boulders for Gabions</v>
          </cell>
          <cell r="F1029">
            <v>1</v>
          </cell>
          <cell r="G1029" t="str">
            <v>IFR</v>
          </cell>
        </row>
        <row r="1030">
          <cell r="A1030" t="str">
            <v>KHF-00-104265-BA-6070-00143-0000-3</v>
          </cell>
          <cell r="B1030" t="str">
            <v>AIP-PDO-P1701009-T-0654</v>
          </cell>
          <cell r="C1030">
            <v>43377</v>
          </cell>
          <cell r="D1030" t="str">
            <v>KHF-00-104265-BA-6070-00143-0000</v>
          </cell>
          <cell r="E1030" t="str">
            <v>Method Statement For Tie-In of GRE Pipeline (Adhesive Bonding)</v>
          </cell>
          <cell r="F1030">
            <v>3</v>
          </cell>
          <cell r="G1030" t="str">
            <v>IFA</v>
          </cell>
        </row>
        <row r="1031">
          <cell r="A1031" t="str">
            <v>KHF-00-104265-RA-8241-51096-0000-1</v>
          </cell>
          <cell r="B1031" t="str">
            <v>AIP-PDO-P1701009-T-0655</v>
          </cell>
          <cell r="C1031">
            <v>43377</v>
          </cell>
          <cell r="D1031" t="str">
            <v>KHF-00-104265-RA-8241-51096-0000</v>
          </cell>
          <cell r="E1031" t="str">
            <v>MATERIAL APPROVAL SHEET FOR CEMENTITIOUS WATERPROOF COATING (RICHFLEX)</v>
          </cell>
          <cell r="F1031">
            <v>1</v>
          </cell>
          <cell r="G1031" t="str">
            <v>IFA</v>
          </cell>
        </row>
        <row r="1032">
          <cell r="A1032" t="str">
            <v>KHF-00-104265-RA-8241-51114-0000-1</v>
          </cell>
          <cell r="B1032" t="str">
            <v>AIP-PDO-P1701009-T-0655</v>
          </cell>
          <cell r="C1032">
            <v>43377</v>
          </cell>
          <cell r="D1032" t="str">
            <v>KHF-00-104265-RA-8241-51114-0000</v>
          </cell>
          <cell r="E1032" t="str">
            <v>MATERIAL APPROVAL SHEET FOR SUSPENDED CEILING</v>
          </cell>
          <cell r="F1032">
            <v>1</v>
          </cell>
          <cell r="G1032" t="str">
            <v>IFA</v>
          </cell>
        </row>
        <row r="1033">
          <cell r="A1033" t="str">
            <v>KHF-00-104265-RA-8241-51115-0000-1</v>
          </cell>
          <cell r="B1033" t="str">
            <v>AIP-PDO-P1701009-T-0655</v>
          </cell>
          <cell r="C1033">
            <v>43377</v>
          </cell>
          <cell r="D1033" t="str">
            <v>KHF-00-104265-RA-8241-51115-0000</v>
          </cell>
          <cell r="E1033" t="str">
            <v>MATERIAL APPROVAL SHEET FOR PVC CONDUIT &amp; ACCESORIES</v>
          </cell>
          <cell r="F1033">
            <v>1</v>
          </cell>
          <cell r="G1033" t="str">
            <v>IFA</v>
          </cell>
        </row>
        <row r="1034">
          <cell r="A1034" t="str">
            <v>KHF-00-104265-AA-6944-20012-0000-1</v>
          </cell>
          <cell r="B1034" t="str">
            <v>AIP-PDO-P1701009-T-0656</v>
          </cell>
          <cell r="C1034">
            <v>43380</v>
          </cell>
          <cell r="D1034" t="str">
            <v>KHF-00-104265-AA-6944-20012-0000</v>
          </cell>
          <cell r="E1034" t="str">
            <v>Monthly Progress Report No.012 (Sept 2018)</v>
          </cell>
          <cell r="F1034">
            <v>1</v>
          </cell>
          <cell r="G1034" t="str">
            <v>IFI</v>
          </cell>
        </row>
        <row r="1035">
          <cell r="A1035" t="str">
            <v>KHF-00-104265-AA-6944-10048-0000-1</v>
          </cell>
          <cell r="B1035" t="str">
            <v>AIP-PDO-P1701009-T-0657</v>
          </cell>
          <cell r="C1035">
            <v>43380</v>
          </cell>
          <cell r="D1035" t="str">
            <v>KHF-00-104265-AA-6944-10048-0000</v>
          </cell>
          <cell r="E1035" t="str">
            <v>Weekly Progress Report No.048</v>
          </cell>
          <cell r="F1035">
            <v>1</v>
          </cell>
          <cell r="G1035" t="str">
            <v>IFI</v>
          </cell>
        </row>
        <row r="1036">
          <cell r="A1036" t="str">
            <v>KHF-00-104265-AA-3341-60106-0000-1</v>
          </cell>
          <cell r="B1036" t="str">
            <v>AIP-PDO-P1701009-T-0658</v>
          </cell>
          <cell r="C1036">
            <v>43380</v>
          </cell>
          <cell r="D1036" t="str">
            <v>KHF-00-104265-AA-3341-60106-0000</v>
          </cell>
          <cell r="E1036" t="str">
            <v>CV OF MR. KUNDAN SINGH - WELDING INSPECTOR - PIPELINE</v>
          </cell>
          <cell r="F1036">
            <v>1</v>
          </cell>
          <cell r="G1036" t="str">
            <v>IFA</v>
          </cell>
        </row>
        <row r="1037">
          <cell r="A1037" t="str">
            <v>KHF-00-104265-QA-6050-00603-0000-2</v>
          </cell>
          <cell r="B1037" t="str">
            <v>AIP-PDO-P1701009-T-0659</v>
          </cell>
          <cell r="C1037">
            <v>43380</v>
          </cell>
          <cell r="D1037" t="str">
            <v>KHF-00-104265-QA-6050-00603-0000</v>
          </cell>
          <cell r="E1037" t="str">
            <v>Ferrite Check Procedure</v>
          </cell>
          <cell r="F1037">
            <v>2</v>
          </cell>
          <cell r="G1037" t="str">
            <v>IFA</v>
          </cell>
        </row>
        <row r="1038">
          <cell r="A1038" t="str">
            <v>KHF-00-104265-QA-6050-00604-0000-2</v>
          </cell>
          <cell r="B1038" t="str">
            <v>AIP-PDO-P1701009-T-0659</v>
          </cell>
          <cell r="C1038">
            <v>43380</v>
          </cell>
          <cell r="D1038" t="str">
            <v>KHF-00-104265-QA-6050-00604-0000</v>
          </cell>
          <cell r="E1038" t="str">
            <v>Pickling &amp; Passivation Procedure</v>
          </cell>
          <cell r="F1038">
            <v>2</v>
          </cell>
          <cell r="G1038" t="str">
            <v>IFA</v>
          </cell>
        </row>
        <row r="1039">
          <cell r="A1039" t="str">
            <v>KHF-00-104265-RA-8241-51020-0000-2</v>
          </cell>
          <cell r="B1039" t="str">
            <v>AIP-PDO-P1701009-T-0660</v>
          </cell>
          <cell r="C1039">
            <v>43380</v>
          </cell>
          <cell r="D1039" t="str">
            <v>KHF-00-104265-RA-8241-51020-0000</v>
          </cell>
          <cell r="E1039" t="str">
            <v>MATERIAL APPROVAL SHEET FOR PVC WATERSTOPER (SUPERCAST WATAFOIL SECTIONS - 250 MM)</v>
          </cell>
          <cell r="F1039">
            <v>2</v>
          </cell>
          <cell r="G1039" t="str">
            <v>IFA</v>
          </cell>
        </row>
        <row r="1040">
          <cell r="A1040" t="str">
            <v>KHF-00-104265-RA-8241-51120-0000-1</v>
          </cell>
          <cell r="B1040" t="str">
            <v>AIP-PDO-P1701009-T-0660</v>
          </cell>
          <cell r="C1040">
            <v>43380</v>
          </cell>
          <cell r="D1040" t="str">
            <v>KHF-00-104265-RA-8241-51120-0000</v>
          </cell>
          <cell r="E1040" t="str">
            <v>MATERIAL APPROVAL SHEET FOR PVC CONDUIT &amp; ACCESSORIES - VENDOR-2</v>
          </cell>
          <cell r="F1040">
            <v>1</v>
          </cell>
          <cell r="G1040" t="str">
            <v>IFA</v>
          </cell>
        </row>
        <row r="1041">
          <cell r="A1041" t="str">
            <v>KHF-00-104265-BA-6070-41008-0000-1</v>
          </cell>
          <cell r="B1041" t="str">
            <v>AIP-PDO-P1701009-T-0661</v>
          </cell>
          <cell r="C1041">
            <v>43380</v>
          </cell>
          <cell r="D1041" t="str">
            <v>KHF-00-104265-BA-6070-41008-0000</v>
          </cell>
          <cell r="E1041" t="str">
            <v>METHOD OF STATEMENT FOR DRAIN VESSEL PIT</v>
          </cell>
          <cell r="F1041">
            <v>1</v>
          </cell>
          <cell r="G1041" t="str">
            <v>IFR</v>
          </cell>
        </row>
        <row r="1042">
          <cell r="A1042" t="str">
            <v>KHF-00-104265-BA-6070-41009-0000-1</v>
          </cell>
          <cell r="B1042" t="str">
            <v>AIP-PDO-P1701009-T-0661</v>
          </cell>
          <cell r="C1042">
            <v>43380</v>
          </cell>
          <cell r="D1042" t="str">
            <v>KHF-00-104265-BA-6070-41009-0000</v>
          </cell>
          <cell r="E1042" t="str">
            <v>METHOD OF STATEMENT FOR FLANGE PIT</v>
          </cell>
          <cell r="F1042">
            <v>1</v>
          </cell>
          <cell r="G1042" t="str">
            <v>IFR</v>
          </cell>
        </row>
        <row r="1043">
          <cell r="A1043" t="str">
            <v>KHF-00-104265-AA-3341-60107-0000-1</v>
          </cell>
          <cell r="B1043" t="str">
            <v>AIP-PDO-P1701009-T-0662</v>
          </cell>
          <cell r="C1043">
            <v>43380</v>
          </cell>
          <cell r="D1043" t="str">
            <v>KHF-00-104265-AA-3341-60107-0000</v>
          </cell>
          <cell r="E1043" t="str">
            <v>CV OF MR. ASHRAF FATHI AHMED ABDELAL - MEDICAL OFFICER</v>
          </cell>
          <cell r="F1043">
            <v>1</v>
          </cell>
          <cell r="G1043" t="str">
            <v>IFA</v>
          </cell>
        </row>
        <row r="1044">
          <cell r="A1044" t="str">
            <v>KHF-00-104265-AA-3341-60108-0000-1</v>
          </cell>
          <cell r="B1044" t="str">
            <v>AIP-PDO-P1701009-T-0663</v>
          </cell>
          <cell r="C1044">
            <v>43380</v>
          </cell>
          <cell r="D1044" t="str">
            <v>KHF-00-104265-AA-3341-60108-0000</v>
          </cell>
          <cell r="E1044" t="str">
            <v>CV OF MR.CHERAN SOLLIN SELVAN - HSE ADVISOR</v>
          </cell>
          <cell r="F1044">
            <v>1</v>
          </cell>
          <cell r="G1044" t="str">
            <v>IFA</v>
          </cell>
        </row>
        <row r="1045">
          <cell r="A1045" t="str">
            <v>KHF-00-104265-AA-3341-60109-0000-1</v>
          </cell>
          <cell r="B1045" t="str">
            <v>AIP-PDO-P1701009-T-0664</v>
          </cell>
          <cell r="C1045">
            <v>43380</v>
          </cell>
          <cell r="D1045" t="str">
            <v>KHF-00-104265-AA-3341-60109-0000</v>
          </cell>
          <cell r="E1045" t="str">
            <v>CV OF MR.PREMNATH V. - HSE ADVISOR</v>
          </cell>
          <cell r="F1045">
            <v>1</v>
          </cell>
          <cell r="G1045" t="str">
            <v>IFA</v>
          </cell>
        </row>
        <row r="1046">
          <cell r="A1046" t="str">
            <v>KHF-00-104265-AA-3341-60110-0000-1</v>
          </cell>
          <cell r="B1046" t="str">
            <v>AIP-PDO-P1701009-T-0664</v>
          </cell>
          <cell r="C1046">
            <v>43380</v>
          </cell>
          <cell r="D1046" t="str">
            <v>KHF-00-104265-AA-3341-60110-0000</v>
          </cell>
          <cell r="E1046" t="str">
            <v>CV OF MR. SUNIL LOPAS - HSE ADVISOR</v>
          </cell>
          <cell r="F1046">
            <v>1</v>
          </cell>
          <cell r="G1046" t="str">
            <v>IFA</v>
          </cell>
        </row>
        <row r="1047">
          <cell r="A1047" t="str">
            <v>KHF-00-104265-AA-3341-60111-0000-1</v>
          </cell>
          <cell r="B1047" t="str">
            <v>AIP-PDO-P1701009-T-0665</v>
          </cell>
          <cell r="C1047">
            <v>43381</v>
          </cell>
          <cell r="D1047" t="str">
            <v>KHF-00-104265-AA-3341-60111-0000</v>
          </cell>
          <cell r="E1047" t="str">
            <v>CV OF MR. MOHAMMAD ALI KHAN - QC INSPECTOR - COATING</v>
          </cell>
          <cell r="F1047">
            <v>1</v>
          </cell>
          <cell r="G1047" t="str">
            <v>IFA</v>
          </cell>
        </row>
        <row r="1048">
          <cell r="A1048" t="str">
            <v>KHF-00-104265-QA-5733-00604-0000-1</v>
          </cell>
          <cell r="B1048" t="str">
            <v>AIP-PDO-P1701009-T-0666</v>
          </cell>
          <cell r="C1048">
            <v>43381</v>
          </cell>
          <cell r="D1048" t="str">
            <v>KHF-00-104265-QA-5733-00604-0000</v>
          </cell>
          <cell r="E1048" t="str">
            <v>Inspection &amp; Test Plan for Surface preparation &amp; TSA Coating of Stainless Steel Spools</v>
          </cell>
          <cell r="F1048">
            <v>1</v>
          </cell>
          <cell r="G1048" t="str">
            <v>IFR</v>
          </cell>
        </row>
        <row r="1049">
          <cell r="A1049" t="str">
            <v>KHF-00-104265-QA-6050-00611-0000-1</v>
          </cell>
          <cell r="B1049" t="str">
            <v>AIP-PDO-P1701009-T-0666</v>
          </cell>
          <cell r="C1049">
            <v>43381</v>
          </cell>
          <cell r="D1049" t="str">
            <v>KHF-00-104265-QA-6050-00611-0000</v>
          </cell>
          <cell r="E1049" t="str">
            <v>Surface Preparation &amp; Coating Procedure (TSA) for Stainless Steel Spools.</v>
          </cell>
          <cell r="F1049">
            <v>1</v>
          </cell>
          <cell r="G1049" t="str">
            <v>IFR</v>
          </cell>
        </row>
        <row r="1050">
          <cell r="A1050" t="str">
            <v>KHF-00-104265-RA-8241-51026-0000-2</v>
          </cell>
          <cell r="B1050" t="str">
            <v>AIP-PDO-P1701009-T-0667</v>
          </cell>
          <cell r="C1050">
            <v>43381</v>
          </cell>
          <cell r="D1050" t="str">
            <v>KHF-00-104265-RA-8241-51026-0000</v>
          </cell>
          <cell r="E1050" t="str">
            <v>MATERIAL APPROVAL SHEET FOR FENCING</v>
          </cell>
          <cell r="F1050">
            <v>2</v>
          </cell>
          <cell r="G1050" t="str">
            <v>IFA</v>
          </cell>
        </row>
        <row r="1051">
          <cell r="A1051" t="str">
            <v>KHF-00-104265-RA-8241-51072-0000-2</v>
          </cell>
          <cell r="B1051" t="str">
            <v>AIP-PDO-P1701009-T-0667</v>
          </cell>
          <cell r="C1051">
            <v>43381</v>
          </cell>
          <cell r="D1051" t="str">
            <v>KHF-00-104265-RA-8241-51072-0000</v>
          </cell>
          <cell r="E1051" t="str">
            <v>MATERIAL APPROVAL SHEET FOR CS PIPE SLEEVES</v>
          </cell>
          <cell r="F1051">
            <v>2</v>
          </cell>
          <cell r="G1051" t="str">
            <v>IFA</v>
          </cell>
        </row>
        <row r="1052">
          <cell r="A1052" t="str">
            <v>KHF-00-104265-RA-8241-51112-0000-1</v>
          </cell>
          <cell r="B1052" t="str">
            <v>AIP-PDO-P1701009-T-0668</v>
          </cell>
          <cell r="C1052">
            <v>43381</v>
          </cell>
          <cell r="D1052" t="str">
            <v>KHF-00-104265-RA-8241-51112-0000</v>
          </cell>
          <cell r="E1052" t="str">
            <v>MATERIAL APPROVAL SHEET FOR GRANOLITHIC FLOOR MATERIALS</v>
          </cell>
          <cell r="F1052">
            <v>1</v>
          </cell>
          <cell r="G1052" t="str">
            <v>IFA</v>
          </cell>
        </row>
        <row r="1053">
          <cell r="A1053" t="str">
            <v>KHF-00-104265-RA-8241-51121-0000-1</v>
          </cell>
          <cell r="B1053" t="str">
            <v>AIP-PDO-P1701009-T-0668</v>
          </cell>
          <cell r="C1053">
            <v>43381</v>
          </cell>
          <cell r="D1053" t="str">
            <v>KHF-00-104265-RA-8241-51121-0000</v>
          </cell>
          <cell r="E1053" t="str">
            <v>MATERIAL APPROVAL SHEET FOR FLEXIBLE METALLIC CONDUIT &amp; ACCESORIES</v>
          </cell>
          <cell r="F1053">
            <v>1</v>
          </cell>
          <cell r="G1053" t="str">
            <v>IFA</v>
          </cell>
        </row>
        <row r="1054">
          <cell r="A1054" t="str">
            <v>KHF-00-104265-RA-8241-51122-0000-1</v>
          </cell>
          <cell r="B1054" t="str">
            <v>AIP-PDO-P1701009-T-0668</v>
          </cell>
          <cell r="C1054">
            <v>43381</v>
          </cell>
          <cell r="D1054" t="str">
            <v>KHF-00-104265-RA-8241-51122-0000</v>
          </cell>
          <cell r="E1054" t="str">
            <v>MATERIAL APPROVAL SHEET FOR HEAVY GAUGE GI CONDUIT &amp; ACCESSORIES (VENDOR-1)</v>
          </cell>
          <cell r="F1054">
            <v>1</v>
          </cell>
          <cell r="G1054" t="str">
            <v>IFA</v>
          </cell>
        </row>
        <row r="1055">
          <cell r="A1055" t="str">
            <v>KHF-00-104265-RA-8241-51123-0000-1</v>
          </cell>
          <cell r="B1055" t="str">
            <v>AIP-PDO-P1701009-T-0668</v>
          </cell>
          <cell r="C1055">
            <v>43381</v>
          </cell>
          <cell r="D1055" t="str">
            <v>KHF-00-104265-RA-8241-51123-0000</v>
          </cell>
          <cell r="E1055" t="str">
            <v>MATERIAL APPROVAL SHEET FOR HEAVY GAUGE GI CONDUIT &amp; ACCESSORIES (VENDOR-2)</v>
          </cell>
          <cell r="F1055">
            <v>1</v>
          </cell>
          <cell r="G1055" t="str">
            <v>IFA</v>
          </cell>
        </row>
        <row r="1056">
          <cell r="A1056" t="str">
            <v>KHF-00-104265-RA-8241-51125-0000-1</v>
          </cell>
          <cell r="B1056" t="str">
            <v>AIP-PDO-P1701009-T-0668</v>
          </cell>
          <cell r="C1056">
            <v>43381</v>
          </cell>
          <cell r="D1056" t="str">
            <v>KHF-00-104265-RA-8241-51125-0000</v>
          </cell>
          <cell r="E1056" t="str">
            <v>MATERIAL APPROVAL SHEET FOR HV &amp; LV CABLE TERMINATION LUGS</v>
          </cell>
          <cell r="F1056">
            <v>1</v>
          </cell>
          <cell r="G1056" t="str">
            <v>IFA</v>
          </cell>
        </row>
        <row r="1057">
          <cell r="A1057" t="str">
            <v>KHF-00-104265-AA-3341-60112-0000-1</v>
          </cell>
          <cell r="B1057" t="str">
            <v>AIP-PDO-P1701009-T-0669</v>
          </cell>
          <cell r="C1057">
            <v>43382</v>
          </cell>
          <cell r="D1057" t="str">
            <v>KHF-00-104265-AA-3341-60112-0000</v>
          </cell>
          <cell r="E1057" t="str">
            <v>CV OF MR. MOHAMMED KAMRAN ALAM - QC INSPECTOR - INSTRUMENTATION</v>
          </cell>
          <cell r="F1057">
            <v>1</v>
          </cell>
          <cell r="G1057" t="str">
            <v>IFA</v>
          </cell>
        </row>
        <row r="1058">
          <cell r="A1058" t="str">
            <v>KHF-00-104265-AA-3341-60113-0000-1</v>
          </cell>
          <cell r="B1058" t="str">
            <v>AIP-PDO-P1701009-T-0670</v>
          </cell>
          <cell r="C1058">
            <v>43382</v>
          </cell>
          <cell r="D1058" t="str">
            <v>KHF-00-104265-AA-3341-60113-0000</v>
          </cell>
          <cell r="E1058" t="str">
            <v>CV OF MR. V. ESWARA RAO - QC INSPECTOR PIPING</v>
          </cell>
          <cell r="F1058">
            <v>1</v>
          </cell>
          <cell r="G1058" t="str">
            <v>IFA</v>
          </cell>
        </row>
        <row r="1059">
          <cell r="A1059" t="str">
            <v>KHF-00-104265-RA-8241-51126-0000-1</v>
          </cell>
          <cell r="B1059" t="str">
            <v>AIP-PDO-P1701009-T-0671</v>
          </cell>
          <cell r="C1059">
            <v>43382</v>
          </cell>
          <cell r="D1059" t="str">
            <v>KHF-00-104265-RA-8241-51126-0000</v>
          </cell>
          <cell r="E1059" t="str">
            <v>MATERIAL APPROVAL SHEET FOR HV &amp; LV CABLE TERMINATION LUGS (VENDOR-2)</v>
          </cell>
          <cell r="F1059">
            <v>1</v>
          </cell>
          <cell r="G1059" t="str">
            <v>IFA</v>
          </cell>
        </row>
        <row r="1060">
          <cell r="A1060" t="str">
            <v>KHF-00-104265-RA-8241-51127-0000-1</v>
          </cell>
          <cell r="B1060" t="str">
            <v>AIP-PDO-P1701009-T-0671</v>
          </cell>
          <cell r="C1060">
            <v>43382</v>
          </cell>
          <cell r="D1060" t="str">
            <v>KHF-00-104265-RA-8241-51127-0000</v>
          </cell>
          <cell r="E1060" t="str">
            <v>MATERIAL APPROVAL SHEET FOR ELECTRICAL CABLE GLAND</v>
          </cell>
          <cell r="F1060">
            <v>1</v>
          </cell>
          <cell r="G1060" t="str">
            <v>IFA</v>
          </cell>
        </row>
        <row r="1061">
          <cell r="A1061" t="str">
            <v>KHF-00-104265-RA-8241-51128-0000-1</v>
          </cell>
          <cell r="B1061" t="str">
            <v>AIP-PDO-P1701009-T-0671</v>
          </cell>
          <cell r="C1061">
            <v>43382</v>
          </cell>
          <cell r="D1061" t="str">
            <v>KHF-00-104265-RA-8241-51128-0000</v>
          </cell>
          <cell r="E1061" t="str">
            <v>MATERIAL APPROVAL SHEET FOR PORTABLE HAND-HELD TORCH LIGHT WITH BATTERY BACKUP</v>
          </cell>
          <cell r="F1061">
            <v>1</v>
          </cell>
          <cell r="G1061" t="str">
            <v>IFA</v>
          </cell>
        </row>
        <row r="1062">
          <cell r="A1062" t="str">
            <v>KHF-00-104265-RA-6038-00901-0000-1</v>
          </cell>
          <cell r="B1062" t="str">
            <v>AIP-PDO-P1701009-T-0672</v>
          </cell>
          <cell r="C1062">
            <v>43383</v>
          </cell>
          <cell r="D1062" t="str">
            <v>KHF-00-104265-RA-6038-00901-0000</v>
          </cell>
          <cell r="E1062" t="str">
            <v>Procedure for Gamma-Ray Radiography for Piping</v>
          </cell>
          <cell r="F1062">
            <v>1</v>
          </cell>
          <cell r="G1062" t="str">
            <v>IFR</v>
          </cell>
        </row>
        <row r="1063">
          <cell r="A1063" t="str">
            <v>KHF-00-104265-RA-6038-00902-0000-1</v>
          </cell>
          <cell r="B1063" t="str">
            <v>AIP-PDO-P1701009-T-0672</v>
          </cell>
          <cell r="C1063">
            <v>43383</v>
          </cell>
          <cell r="D1063" t="str">
            <v>KHF-00-104265-RA-6038-00902-0000</v>
          </cell>
          <cell r="E1063" t="str">
            <v>Procedure for External X-Ray Radiography for Piping</v>
          </cell>
          <cell r="F1063">
            <v>1</v>
          </cell>
          <cell r="G1063" t="str">
            <v>IFR</v>
          </cell>
        </row>
        <row r="1064">
          <cell r="A1064" t="str">
            <v>KHF-00-104265-RA-6038-00903-0000-1</v>
          </cell>
          <cell r="B1064" t="str">
            <v>AIP-PDO-P1701009-T-0672</v>
          </cell>
          <cell r="C1064">
            <v>43383</v>
          </cell>
          <cell r="D1064" t="str">
            <v>KHF-00-104265-RA-6038-00903-0000</v>
          </cell>
          <cell r="E1064" t="str">
            <v>Procedure for Magnetic Particle Testing for Piping</v>
          </cell>
          <cell r="F1064">
            <v>1</v>
          </cell>
          <cell r="G1064" t="str">
            <v>IFR</v>
          </cell>
        </row>
        <row r="1065">
          <cell r="A1065" t="str">
            <v>KHF-00-104265-RA-6038-00904-0000-1</v>
          </cell>
          <cell r="B1065" t="str">
            <v>AIP-PDO-P1701009-T-0672</v>
          </cell>
          <cell r="C1065">
            <v>43383</v>
          </cell>
          <cell r="D1065" t="str">
            <v>KHF-00-104265-RA-6038-00904-0000</v>
          </cell>
          <cell r="E1065" t="str">
            <v>Procedure for Liquid Penetrant Testing for Piping</v>
          </cell>
          <cell r="F1065">
            <v>1</v>
          </cell>
          <cell r="G1065" t="str">
            <v>IFR</v>
          </cell>
        </row>
        <row r="1066">
          <cell r="A1066" t="str">
            <v>KHF-00-104265-RA-6038-00905-0000-1</v>
          </cell>
          <cell r="B1066" t="str">
            <v>AIP-PDO-P1701009-T-0672</v>
          </cell>
          <cell r="C1066">
            <v>43383</v>
          </cell>
          <cell r="D1066" t="str">
            <v>KHF-00-104265-RA-6038-00905-0000</v>
          </cell>
          <cell r="E1066" t="str">
            <v>Procedure for Ultrasonic Testing for Lamination for Piping</v>
          </cell>
          <cell r="F1066">
            <v>1</v>
          </cell>
          <cell r="G1066" t="str">
            <v>IFR</v>
          </cell>
        </row>
        <row r="1067">
          <cell r="A1067" t="str">
            <v>KHF-00-104265-RA-6038-00906-0000-1</v>
          </cell>
          <cell r="B1067" t="str">
            <v>AIP-PDO-P1701009-T-0672</v>
          </cell>
          <cell r="C1067">
            <v>43383</v>
          </cell>
          <cell r="D1067" t="str">
            <v>KHF-00-104265-RA-6038-00906-0000</v>
          </cell>
          <cell r="E1067" t="str">
            <v>Procedure for Post Weld Heat Treatment</v>
          </cell>
          <cell r="F1067">
            <v>1</v>
          </cell>
          <cell r="G1067" t="str">
            <v>IFR</v>
          </cell>
        </row>
        <row r="1068">
          <cell r="A1068" t="str">
            <v>KHF-00-104265-RA-6038-00907-0000-1</v>
          </cell>
          <cell r="B1068" t="str">
            <v>AIP-PDO-P1701009-T-0672</v>
          </cell>
          <cell r="C1068">
            <v>43383</v>
          </cell>
          <cell r="D1068" t="str">
            <v>KHF-00-104265-RA-6038-00907-0000</v>
          </cell>
          <cell r="E1068" t="str">
            <v>Procedure for Positive Material Identification using Optical Emission Spectrometer &amp; XRF Methods</v>
          </cell>
          <cell r="F1068">
            <v>1</v>
          </cell>
          <cell r="G1068" t="str">
            <v>IFR</v>
          </cell>
        </row>
        <row r="1069">
          <cell r="A1069" t="str">
            <v>KHF-00-104265-RA-6038-00908-0000-1</v>
          </cell>
          <cell r="B1069" t="str">
            <v>AIP-PDO-P1701009-T-0672</v>
          </cell>
          <cell r="C1069">
            <v>43383</v>
          </cell>
          <cell r="D1069" t="str">
            <v>KHF-00-104265-RA-6038-00908-0000</v>
          </cell>
          <cell r="E1069" t="str">
            <v>Procedure for Hardness Testing</v>
          </cell>
          <cell r="F1069">
            <v>1</v>
          </cell>
          <cell r="G1069" t="str">
            <v>IFR</v>
          </cell>
        </row>
        <row r="1070">
          <cell r="A1070" t="str">
            <v>KHF-00-104265-RA-6038-00909-0000-1</v>
          </cell>
          <cell r="B1070" t="str">
            <v>AIP-PDO-P1701009-T-0672</v>
          </cell>
          <cell r="C1070">
            <v>43383</v>
          </cell>
          <cell r="D1070" t="str">
            <v>KHF-00-104265-RA-6038-00909-0000</v>
          </cell>
          <cell r="E1070" t="str">
            <v>Procedure for Ferrite Content Measurement</v>
          </cell>
          <cell r="F1070">
            <v>1</v>
          </cell>
          <cell r="G1070" t="str">
            <v>IFR</v>
          </cell>
        </row>
        <row r="1071">
          <cell r="A1071" t="str">
            <v>cancelled</v>
          </cell>
          <cell r="B1071" t="str">
            <v>AIP-PDO-P1701009-T-0673</v>
          </cell>
          <cell r="C1071">
            <v>43383</v>
          </cell>
          <cell r="D1071" t="str">
            <v>KHF-00-104265-BA-6070-42005-0000</v>
          </cell>
          <cell r="E1071" t="str">
            <v>METHOD STATEMENT FOR HYDROSTATIC TESTING OF PIPING</v>
          </cell>
          <cell r="F1071">
            <v>1</v>
          </cell>
          <cell r="G1071" t="str">
            <v>cancelled, reissued in 676</v>
          </cell>
        </row>
        <row r="1072">
          <cell r="A1072" t="str">
            <v>KHF-00-104265-RA-8241-51129-0000-1</v>
          </cell>
          <cell r="B1072" t="str">
            <v>AIP-PDO-P1701009-T-0674</v>
          </cell>
          <cell r="C1072">
            <v>43383</v>
          </cell>
          <cell r="D1072" t="str">
            <v>KHF-00-104265-RA-8241-51129-0000</v>
          </cell>
          <cell r="E1072" t="str">
            <v>MATERIAL APPROVAL SHEET FOR GALVANIZED BOLTS /NUTS &amp; ANCHOR FASTENER</v>
          </cell>
          <cell r="F1072">
            <v>1</v>
          </cell>
          <cell r="G1072" t="str">
            <v>IFA</v>
          </cell>
        </row>
        <row r="1073">
          <cell r="A1073" t="str">
            <v>KHF-00-104265-RA-8241-00802-0000-1</v>
          </cell>
          <cell r="B1073" t="str">
            <v>AIP-PDO-P1701009-T-0675</v>
          </cell>
          <cell r="C1073">
            <v>43383</v>
          </cell>
          <cell r="D1073" t="str">
            <v>KHF-00-104265-RA-8241-00802-0000</v>
          </cell>
          <cell r="E1073" t="str">
            <v>MATERIAL APPROVAL SUBMITTAL FOR STEEL SHOT</v>
          </cell>
          <cell r="F1073">
            <v>1</v>
          </cell>
          <cell r="G1073" t="str">
            <v>IFR</v>
          </cell>
        </row>
        <row r="1074">
          <cell r="A1074" t="str">
            <v>KHF-00-104265-BA-6070-42005-0000-1</v>
          </cell>
          <cell r="B1074" t="str">
            <v>AIP-PDO-P1701009-T-0676</v>
          </cell>
          <cell r="C1074">
            <v>43384</v>
          </cell>
          <cell r="D1074" t="str">
            <v>KHF-00-104265-BA-6070-42005-0000</v>
          </cell>
          <cell r="E1074" t="str">
            <v>METHOD STATEMENT FOR HYDROSTATIC TESTING OF PIPING</v>
          </cell>
          <cell r="F1074">
            <v>1</v>
          </cell>
          <cell r="G1074" t="str">
            <v>IFR</v>
          </cell>
        </row>
        <row r="1075">
          <cell r="A1075" t="str">
            <v>KHF-00-104265-CX-4180-10005-0001-9</v>
          </cell>
          <cell r="B1075" t="str">
            <v>AIP-PDO-P1701009-T-0677</v>
          </cell>
          <cell r="C1075">
            <v>43387</v>
          </cell>
          <cell r="D1075" t="str">
            <v>KHF-00-104265-CX-4180-10005-0001</v>
          </cell>
          <cell r="E1075" t="str">
            <v>Site Camp Layout</v>
          </cell>
          <cell r="F1075">
            <v>9</v>
          </cell>
          <cell r="G1075" t="str">
            <v>IFA</v>
          </cell>
        </row>
        <row r="1076">
          <cell r="A1076" t="str">
            <v>KHF-00-104265-BA-6070-41010-0000-1</v>
          </cell>
          <cell r="B1076" t="str">
            <v>AIP-PDO-P1701009-T-0678</v>
          </cell>
          <cell r="C1076">
            <v>43387</v>
          </cell>
          <cell r="D1076" t="str">
            <v>KHF-00-104265-BA-6070-41010-0000</v>
          </cell>
          <cell r="E1076" t="str">
            <v>METHOD STATEMENT FOR LIGHT WEIGHT FOAM CONCRETE</v>
          </cell>
          <cell r="F1076">
            <v>1</v>
          </cell>
          <cell r="G1076" t="str">
            <v>IFR</v>
          </cell>
        </row>
        <row r="1077">
          <cell r="A1077" t="str">
            <v>KHF-00-104265-RA-8241-51130-0000-1</v>
          </cell>
          <cell r="B1077" t="str">
            <v>AIP-PDO-P1701009-T-0679</v>
          </cell>
          <cell r="C1077">
            <v>43387</v>
          </cell>
          <cell r="D1077" t="str">
            <v>KHF-00-104265-RA-8241-51130-0000</v>
          </cell>
          <cell r="E1077" t="str">
            <v>MATERIAL APPROVAL SHEET FOR ROLLING SHUTTER</v>
          </cell>
          <cell r="F1077">
            <v>1</v>
          </cell>
          <cell r="G1077" t="str">
            <v>IFA</v>
          </cell>
        </row>
        <row r="1078">
          <cell r="A1078" t="str">
            <v>KHF-00-104265-RA-8241-51131-0000-1</v>
          </cell>
          <cell r="B1078" t="str">
            <v>AIP-PDO-P1701009-T-0679</v>
          </cell>
          <cell r="C1078">
            <v>43387</v>
          </cell>
          <cell r="D1078" t="str">
            <v>KHF-00-104265-RA-8241-51131-0000</v>
          </cell>
          <cell r="E1078" t="str">
            <v>MATERIAL APPROVAL SHEET FOR ELECTRICAL CABLE GLAND (VENDOR -2)</v>
          </cell>
          <cell r="F1078">
            <v>1</v>
          </cell>
          <cell r="G1078" t="str">
            <v>IFA</v>
          </cell>
        </row>
        <row r="1079">
          <cell r="A1079" t="str">
            <v>KHF-00-104265-BA-6070-43011-0000-1</v>
          </cell>
          <cell r="B1079" t="str">
            <v>AIP-PDO-P1701009-T-0680</v>
          </cell>
          <cell r="C1079">
            <v>43387</v>
          </cell>
          <cell r="D1079" t="str">
            <v>KHF-00-104265-BA-6070-43011-0000</v>
          </cell>
          <cell r="E1079" t="str">
            <v>METHOD STATEMENT FOR MODIFICATION WORKS IN G94100-GIS TAMCO SWITCHBOARD TYPE GV3 AT GGP-IV SUBSTATION</v>
          </cell>
          <cell r="F1079">
            <v>1</v>
          </cell>
          <cell r="G1079" t="str">
            <v>IFR</v>
          </cell>
        </row>
        <row r="1080">
          <cell r="A1080" t="str">
            <v>KHF-00-104265-RA-8241-51021-0000-2</v>
          </cell>
          <cell r="B1080" t="str">
            <v>AIP-PDO-P1701009-T-0681</v>
          </cell>
          <cell r="C1080">
            <v>43387</v>
          </cell>
          <cell r="D1080" t="str">
            <v>KHF-00-104265-RA-8241-51021-0000</v>
          </cell>
          <cell r="E1080" t="str">
            <v>MATERIAL APPROVAL SHEET FOR NON-SHRINK CEMENTITIOUS GROUT</v>
          </cell>
          <cell r="F1080">
            <v>2</v>
          </cell>
          <cell r="G1080" t="str">
            <v>IFA</v>
          </cell>
        </row>
        <row r="1081">
          <cell r="A1081" t="str">
            <v>KHF-00-104265-BA-6065-00638-0000-1</v>
          </cell>
          <cell r="B1081" t="str">
            <v>AIP-PDO-P1701009-T-0682</v>
          </cell>
          <cell r="C1081">
            <v>43387</v>
          </cell>
          <cell r="D1081" t="str">
            <v>KHF-00-104265-BA-6065-00638-0000</v>
          </cell>
          <cell r="E1081" t="str">
            <v>WELDING PROCEDURE SPECIFICATION (WPS) / PQR– 038 - AI-WPS-M-398</v>
          </cell>
          <cell r="F1081">
            <v>1</v>
          </cell>
          <cell r="G1081" t="str">
            <v>IFR</v>
          </cell>
        </row>
        <row r="1082">
          <cell r="A1082" t="str">
            <v>KHF-00-104265-BA-6065-00639-0000-1</v>
          </cell>
          <cell r="B1082" t="str">
            <v>AIP-PDO-P1701009-T-0682</v>
          </cell>
          <cell r="C1082">
            <v>43387</v>
          </cell>
          <cell r="D1082" t="str">
            <v>KHF-00-104265-BA-6065-00639-0000</v>
          </cell>
          <cell r="E1082" t="str">
            <v>WELDING PROCEDURE SPECIFICATION (WPS) / PQR– 039 - AI-WPS-T-548</v>
          </cell>
          <cell r="F1082">
            <v>1</v>
          </cell>
          <cell r="G1082" t="str">
            <v>IFR</v>
          </cell>
        </row>
        <row r="1083">
          <cell r="A1083" t="str">
            <v>KHF-00-104265-HX-6180-10045-0000-1</v>
          </cell>
          <cell r="B1083" t="str">
            <v>AIP-PDO-P1701009-T-0683</v>
          </cell>
          <cell r="C1083">
            <v>43387</v>
          </cell>
          <cell r="D1083" t="str">
            <v>KHF-00-104265-HX-6180-10045-0000</v>
          </cell>
          <cell r="E1083" t="str">
            <v>METHOD STATEMENT FOR UNDERTAKING NIGHT WORKING FOR CIVIL WORKS OF GTG BUILDING</v>
          </cell>
          <cell r="F1083">
            <v>1</v>
          </cell>
          <cell r="G1083" t="str">
            <v>IFR</v>
          </cell>
        </row>
        <row r="1084">
          <cell r="A1084" t="str">
            <v>KHF-00-104265-AA-3341-60114-0000-1</v>
          </cell>
          <cell r="B1084" t="str">
            <v>AIP-PDO-P1701009-T-0684</v>
          </cell>
          <cell r="C1084">
            <v>43388</v>
          </cell>
          <cell r="D1084" t="str">
            <v>KHF-00-104265-AA-3341-60114-0000</v>
          </cell>
          <cell r="E1084" t="str">
            <v>CV OF MR. RONALDO MOSUELA TAYAM - HSE ADVIDOR</v>
          </cell>
          <cell r="F1084">
            <v>1</v>
          </cell>
          <cell r="G1084" t="str">
            <v>IFA</v>
          </cell>
        </row>
        <row r="1085">
          <cell r="A1085" t="str">
            <v>KHF-00-104265-AA-6944-10049-0000-1</v>
          </cell>
          <cell r="B1085" t="str">
            <v>AIP-PDO-P1701009-T-0685</v>
          </cell>
          <cell r="C1085">
            <v>43388</v>
          </cell>
          <cell r="D1085" t="str">
            <v>KHF-00-104265-AA-6944-10049-0000</v>
          </cell>
          <cell r="E1085" t="str">
            <v>Weekly Progress Report No.049</v>
          </cell>
          <cell r="F1085">
            <v>1</v>
          </cell>
          <cell r="G1085" t="str">
            <v>IFI</v>
          </cell>
        </row>
        <row r="1086">
          <cell r="A1086" t="str">
            <v>KHF-00-104265-QA-5733-22005-0000-1</v>
          </cell>
          <cell r="B1086" t="str">
            <v>AIP-PDO-P1701009-T-0686</v>
          </cell>
          <cell r="C1086">
            <v>43390</v>
          </cell>
          <cell r="D1086" t="str">
            <v>KHF-00-104265-QA-5733-22005-0000</v>
          </cell>
          <cell r="E1086" t="str">
            <v>Inspection &amp; Test Plan for Installation of Above Ground Carbon Steel Pipeline Works</v>
          </cell>
          <cell r="F1086">
            <v>1</v>
          </cell>
          <cell r="G1086" t="str">
            <v>IFR</v>
          </cell>
        </row>
        <row r="1087">
          <cell r="A1087" t="str">
            <v>KHF-00-104265-AA-3341-00134-0000-2</v>
          </cell>
          <cell r="B1087" t="str">
            <v>AIP-PDO-P1701009-T-0687</v>
          </cell>
          <cell r="C1087">
            <v>43390</v>
          </cell>
          <cell r="D1087" t="str">
            <v>KHF-00-104265-AA-3341-00134-0000</v>
          </cell>
          <cell r="E1087" t="str">
            <v>CV OF MR. PANKE ANAND SANTOSH KUMAR - NDT TECHNICIAN (RT, MT, PT and UT Lamination)</v>
          </cell>
          <cell r="F1087">
            <v>2</v>
          </cell>
          <cell r="G1087" t="str">
            <v>IFA</v>
          </cell>
        </row>
        <row r="1088">
          <cell r="A1088" t="str">
            <v>KHF-00-104265-RA-8241-51131-0000-1</v>
          </cell>
          <cell r="B1088" t="str">
            <v>AIP-PDO-P1701009-T-0688</v>
          </cell>
          <cell r="C1088">
            <v>43390</v>
          </cell>
          <cell r="D1088" t="str">
            <v>KHF-00-104265-RA-8241-51131-0000</v>
          </cell>
          <cell r="E1088" t="str">
            <v>MATERIAL APPROVAL SHEET FOR ELECTRICAL CABLE GLAND (VENDOR -2)</v>
          </cell>
          <cell r="F1088">
            <v>1</v>
          </cell>
          <cell r="G1088" t="str">
            <v>IFA</v>
          </cell>
        </row>
        <row r="1089">
          <cell r="A1089" t="str">
            <v>KHF-00-104265-RA-8241-51060-0000-2</v>
          </cell>
          <cell r="B1089" t="str">
            <v>AIP-PDO-P1701009-T-0689</v>
          </cell>
          <cell r="C1089">
            <v>43390</v>
          </cell>
          <cell r="D1089" t="str">
            <v>KHF-00-104265-RA-8241-51060-0000</v>
          </cell>
          <cell r="E1089" t="str">
            <v>MATERIAL APPROVAL SHEET FOR ROLLING SHUTTER</v>
          </cell>
          <cell r="F1089">
            <v>2</v>
          </cell>
          <cell r="G1089" t="str">
            <v>IFA</v>
          </cell>
        </row>
        <row r="1090">
          <cell r="A1090" t="str">
            <v>KHF-00-104265-BA-6065-00640-0000-1</v>
          </cell>
          <cell r="B1090" t="str">
            <v>AIP-PDO-P1701009-T-0690</v>
          </cell>
          <cell r="C1090">
            <v>43390</v>
          </cell>
          <cell r="D1090" t="str">
            <v>KHF-00-104265-BA-6065-00640-0000</v>
          </cell>
          <cell r="E1090" t="str">
            <v>WELDING PROCEDURE SPECIFICATION (WPS) / PQR-040 (AI-WPS-T-704)</v>
          </cell>
          <cell r="F1090">
            <v>1</v>
          </cell>
          <cell r="G1090" t="str">
            <v>IFR</v>
          </cell>
        </row>
        <row r="1091">
          <cell r="A1091" t="str">
            <v>KHF-00-104265-BA-6065-00641-0000-1</v>
          </cell>
          <cell r="B1091" t="str">
            <v>AIP-PDO-P1701009-T-0690</v>
          </cell>
          <cell r="C1091">
            <v>43390</v>
          </cell>
          <cell r="D1091" t="str">
            <v>KHF-00-104265-BA-6065-00641-0000</v>
          </cell>
          <cell r="E1091" t="str">
            <v>WELDING PROCEDURE SPECIFICATION (WPS) / PQR-041 (AI-WPS-TM-705)</v>
          </cell>
          <cell r="F1091">
            <v>1</v>
          </cell>
          <cell r="G1091" t="str">
            <v>IFR</v>
          </cell>
        </row>
        <row r="1092">
          <cell r="A1092" t="str">
            <v>KHF-00-104265-AA-3341-60116-0000-1</v>
          </cell>
          <cell r="B1092" t="str">
            <v>AIP-PDO-P1701009-T-0691</v>
          </cell>
          <cell r="C1092">
            <v>43390</v>
          </cell>
          <cell r="D1092" t="str">
            <v>KHF-00-104265-AA-3341-60116-0000</v>
          </cell>
          <cell r="E1092" t="str">
            <v>CV OF MR. R. SANKARA NARAYANAN - LEAD QC ENGINEER</v>
          </cell>
          <cell r="F1092">
            <v>1</v>
          </cell>
          <cell r="G1092" t="str">
            <v>IFA</v>
          </cell>
        </row>
        <row r="1093">
          <cell r="A1093" t="str">
            <v>KHF-00-104265-AA-3341-60115-0000-1</v>
          </cell>
          <cell r="B1093" t="str">
            <v>AIP-PDO-P1701009-T-0692</v>
          </cell>
          <cell r="C1093">
            <v>43391</v>
          </cell>
          <cell r="D1093" t="str">
            <v>KHF-00-104265-AA-3341-60115-0000</v>
          </cell>
          <cell r="E1093" t="str">
            <v>CV OF MR. S.PONNUCHAMY - QA/QC MANAGER</v>
          </cell>
          <cell r="F1093">
            <v>1</v>
          </cell>
          <cell r="G1093" t="str">
            <v>IFA</v>
          </cell>
        </row>
        <row r="1094">
          <cell r="A1094" t="str">
            <v>KHF-00-104265-BA-6070-00146-0000-1</v>
          </cell>
          <cell r="B1094" t="str">
            <v>AIP-PDO-P1701009-T-0693</v>
          </cell>
          <cell r="C1094">
            <v>43391</v>
          </cell>
          <cell r="D1094" t="str">
            <v>KHF-00-104265-BA-6070-00146-0000</v>
          </cell>
          <cell r="E1094" t="str">
            <v>Method Statement for Fabrication, Painting, and Installation of Markers and Barriers</v>
          </cell>
          <cell r="F1094">
            <v>1</v>
          </cell>
          <cell r="G1094" t="str">
            <v>IFR</v>
          </cell>
        </row>
        <row r="1095">
          <cell r="A1095" t="str">
            <v>KHF-00-104265-QA-5733-00801-0000-2</v>
          </cell>
          <cell r="B1095" t="str">
            <v>AIP-PDO-P1701009-T-0694</v>
          </cell>
          <cell r="C1095">
            <v>43391</v>
          </cell>
          <cell r="D1095" t="str">
            <v>KHF-00-104265-QA-5733-00801-0000</v>
          </cell>
          <cell r="E1095" t="str">
            <v>INSPECTION AND TEST PLAN-FABRICATION &amp; WELDING OF STRUCTURAL STEEL</v>
          </cell>
          <cell r="F1095">
            <v>2</v>
          </cell>
          <cell r="G1095" t="str">
            <v>IFA</v>
          </cell>
        </row>
        <row r="1096">
          <cell r="A1096" t="str">
            <v>KHF-00-104265-QA-5733-00802-0000-2</v>
          </cell>
          <cell r="B1096" t="str">
            <v>AIP-PDO-P1701009-T-0694</v>
          </cell>
          <cell r="C1096">
            <v>43391</v>
          </cell>
          <cell r="D1096" t="str">
            <v>KHF-00-104265-QA-5733-00802-0000</v>
          </cell>
          <cell r="E1096" t="str">
            <v>INSPECTION AND TEST PLAN-SURFACE PREPARATION &amp; PAINTING OF STRUCTURAL STEEL</v>
          </cell>
          <cell r="F1096">
            <v>2</v>
          </cell>
          <cell r="G1096" t="str">
            <v>IFA</v>
          </cell>
        </row>
        <row r="1097">
          <cell r="A1097" t="str">
            <v>KHF-00-104265-RA-8241-51043-0000-2</v>
          </cell>
          <cell r="B1097" t="str">
            <v>AIP-PDO-P1701009-T-0695</v>
          </cell>
          <cell r="C1097">
            <v>43391</v>
          </cell>
          <cell r="D1097" t="str">
            <v>KHF-00-104265-RA-8241-51043-0000</v>
          </cell>
          <cell r="E1097" t="str">
            <v>MATERIAL APPROVAL SHEET FOR IRONMONGERY (DOORS)</v>
          </cell>
          <cell r="F1097">
            <v>2</v>
          </cell>
          <cell r="G1097" t="str">
            <v>IFA</v>
          </cell>
        </row>
        <row r="1098">
          <cell r="A1098" t="str">
            <v>KHF-00-104265-RA-8241-51051-0000-2</v>
          </cell>
          <cell r="B1098" t="str">
            <v>AIP-PDO-P1701009-T-0695</v>
          </cell>
          <cell r="C1098">
            <v>43391</v>
          </cell>
          <cell r="D1098" t="str">
            <v>KHF-00-104265-RA-8241-51051-0000</v>
          </cell>
          <cell r="E1098" t="str">
            <v>MATERIAL APPROVAL SHEET FOR RAISED ACCESS FLOOR</v>
          </cell>
          <cell r="F1098">
            <v>2</v>
          </cell>
          <cell r="G1098" t="str">
            <v>IFA</v>
          </cell>
        </row>
        <row r="1099">
          <cell r="A1099" t="str">
            <v>KHF-00-104265-RA-8241-51124-0000-1</v>
          </cell>
          <cell r="B1099" t="str">
            <v>AIP-PDO-P1701009-T-0696</v>
          </cell>
          <cell r="C1099">
            <v>43391</v>
          </cell>
          <cell r="D1099" t="str">
            <v>KHF-00-104265-RA-8241-51124-0000</v>
          </cell>
          <cell r="E1099" t="str">
            <v>MATERIAL APPROVAL SHEET FOR INSTRUMENT CABLE TILE AND CAUTION TAPE</v>
          </cell>
          <cell r="F1099">
            <v>1</v>
          </cell>
          <cell r="G1099" t="str">
            <v>IFA</v>
          </cell>
        </row>
        <row r="1100">
          <cell r="A1100" t="str">
            <v>KHF-00-104265-QA-0880-10054-0000-1</v>
          </cell>
          <cell r="B1100" t="str">
            <v>AIP-PDO-P1701009-T-0697</v>
          </cell>
          <cell r="C1100">
            <v>43391</v>
          </cell>
          <cell r="D1100" t="str">
            <v>KHF-00-104265-QA-0880-10054-0000</v>
          </cell>
          <cell r="E1100" t="str">
            <v>EXTERNAL AUDIT REPORT - ARABIAN INDUSTRIES MANUFACTURING LLC</v>
          </cell>
          <cell r="F1100">
            <v>1</v>
          </cell>
          <cell r="G1100" t="str">
            <v>IFI</v>
          </cell>
        </row>
        <row r="1101">
          <cell r="A1101" t="str">
            <v>KHF-00-104265-QA-0880-10055-0000-1</v>
          </cell>
          <cell r="B1101" t="str">
            <v>AIP-PDO-P1701009-T-0698</v>
          </cell>
          <cell r="C1101">
            <v>43391</v>
          </cell>
          <cell r="D1101" t="str">
            <v>KHF-00-104265-QA-0880-10055-0000</v>
          </cell>
          <cell r="E1101" t="str">
            <v>EXTERNAL AUDIT REPORT - Gulf Petrochemical Services &amp; Trading LLC</v>
          </cell>
          <cell r="F1101">
            <v>1</v>
          </cell>
          <cell r="G1101" t="str">
            <v>IFI</v>
          </cell>
        </row>
        <row r="1102">
          <cell r="A1102" t="str">
            <v>KHF-00-104265-HX-6180-00901-0000-1</v>
          </cell>
          <cell r="B1102" t="str">
            <v>AIP-PDO-P1701009-T-0699</v>
          </cell>
          <cell r="C1102">
            <v>43391</v>
          </cell>
          <cell r="D1102" t="str">
            <v>KHF-00-104265-HX-6180-00901-0000</v>
          </cell>
          <cell r="E1102" t="str">
            <v xml:space="preserve">Procedure for Radiation Safety </v>
          </cell>
          <cell r="F1102">
            <v>1</v>
          </cell>
          <cell r="G1102" t="str">
            <v>IFR</v>
          </cell>
        </row>
        <row r="1103">
          <cell r="A1103" t="str">
            <v>KHF-00-104265-HX-6180-00902-0000-1</v>
          </cell>
          <cell r="B1103" t="str">
            <v>AIP-PDO-P1701009-T-0699</v>
          </cell>
          <cell r="C1103">
            <v>43391</v>
          </cell>
          <cell r="D1103" t="str">
            <v>KHF-00-104265-HX-6180-00902-0000</v>
          </cell>
          <cell r="E1103" t="str">
            <v xml:space="preserve">Standard Handling Procedures for the Transport of Radioisotopes </v>
          </cell>
          <cell r="F1103">
            <v>1</v>
          </cell>
          <cell r="G1103" t="str">
            <v>IFR</v>
          </cell>
        </row>
        <row r="1104">
          <cell r="A1104" t="str">
            <v>KHF-00-104265-HX-6180-00903-0000-1</v>
          </cell>
          <cell r="B1104" t="str">
            <v>AIP-PDO-P1701009-T-0699</v>
          </cell>
          <cell r="C1104">
            <v>43391</v>
          </cell>
          <cell r="D1104" t="str">
            <v>KHF-00-104265-HX-6180-00903-0000</v>
          </cell>
          <cell r="E1104" t="str">
            <v xml:space="preserve">Procedure for Source Exchange </v>
          </cell>
          <cell r="F1104">
            <v>1</v>
          </cell>
          <cell r="G1104" t="str">
            <v>IFR</v>
          </cell>
        </row>
        <row r="1105">
          <cell r="A1105" t="str">
            <v>KHF-00-104265-HX-6180-00904-0000-1</v>
          </cell>
          <cell r="B1105" t="str">
            <v>AIP-PDO-P1701009-T-0699</v>
          </cell>
          <cell r="C1105">
            <v>43391</v>
          </cell>
          <cell r="D1105" t="str">
            <v>KHF-00-104265-HX-6180-00904-0000</v>
          </cell>
          <cell r="E1105" t="str">
            <v xml:space="preserve">Procedure for Emergency Preparedness and Incident /Accident Reporting and Investigations </v>
          </cell>
          <cell r="F1105">
            <v>1</v>
          </cell>
          <cell r="G1105" t="str">
            <v>IFR</v>
          </cell>
        </row>
        <row r="1106">
          <cell r="A1106" t="str">
            <v>KHF-00-104265-HX-6180-00905-0000-1</v>
          </cell>
          <cell r="B1106" t="str">
            <v>AIP-PDO-P1701009-T-0699</v>
          </cell>
          <cell r="C1106">
            <v>43391</v>
          </cell>
          <cell r="D1106" t="str">
            <v>KHF-00-104265-HX-6180-00905-0000</v>
          </cell>
          <cell r="E1106" t="str">
            <v>Procedure for Waste Disposal</v>
          </cell>
          <cell r="F1106">
            <v>1</v>
          </cell>
          <cell r="G1106" t="str">
            <v>IFR</v>
          </cell>
        </row>
        <row r="1107">
          <cell r="A1107" t="str">
            <v>KHF-00-104265-JA-6017-10010-0000-3</v>
          </cell>
          <cell r="B1107" t="str">
            <v>AIP-PDO-P1701009-T-0700</v>
          </cell>
          <cell r="C1107">
            <v>43394</v>
          </cell>
          <cell r="D1107" t="str">
            <v>KHF-00-104265-JA-6017-10010-0000</v>
          </cell>
          <cell r="E1107" t="str">
            <v>Information Management Plan</v>
          </cell>
          <cell r="F1107">
            <v>3</v>
          </cell>
          <cell r="G1107" t="str">
            <v>IFA</v>
          </cell>
        </row>
        <row r="1108">
          <cell r="A1108" t="str">
            <v>KHF-00-104265-QA-6180-10018-0000-4</v>
          </cell>
          <cell r="B1108" t="str">
            <v>AIP-PDO-P1701009-T-0701</v>
          </cell>
          <cell r="C1108">
            <v>43394</v>
          </cell>
          <cell r="D1108" t="str">
            <v>KHF-00-104265-QA-6180-10018-0000</v>
          </cell>
          <cell r="E1108" t="str">
            <v>Project Audit Procedure</v>
          </cell>
          <cell r="F1108">
            <v>4</v>
          </cell>
          <cell r="G1108" t="str">
            <v>IFA</v>
          </cell>
        </row>
        <row r="1109">
          <cell r="A1109" t="str">
            <v>rejected by PDO</v>
          </cell>
          <cell r="B1109" t="str">
            <v>AIP-PDO-P1701009-T-0702</v>
          </cell>
          <cell r="C1109">
            <v>43394</v>
          </cell>
          <cell r="D1109" t="str">
            <v>KHF-00-104265-RA-8241-51135-0000</v>
          </cell>
          <cell r="E1109" t="str">
            <v>MATERIAL APPROVAL SHEET FOR ELECTRICAL CABLE GLAND (VENDOR -3)</v>
          </cell>
          <cell r="F1109">
            <v>1</v>
          </cell>
          <cell r="G1109" t="str">
            <v>Rejected by PDO</v>
          </cell>
        </row>
        <row r="1110">
          <cell r="A1110" t="str">
            <v>KHF-00-104265-RA-8241-51084-0000-1</v>
          </cell>
          <cell r="B1110" t="str">
            <v>AIP-PDO-P1701009-T-0703</v>
          </cell>
          <cell r="C1110">
            <v>43394</v>
          </cell>
          <cell r="D1110" t="str">
            <v>KHF-00-104265-RA-8241-51084-0000</v>
          </cell>
          <cell r="E1110" t="str">
            <v>MATERIAL APPROVAL SHEET FOR DEKGUARD S, DEKGUARD FILLER AND DEKGUARD PRIMER</v>
          </cell>
          <cell r="F1110">
            <v>1</v>
          </cell>
          <cell r="G1110" t="str">
            <v>IFA</v>
          </cell>
        </row>
        <row r="1111">
          <cell r="A1111" t="str">
            <v>KHF-00-104265-RA-8241-51132-0000-1</v>
          </cell>
          <cell r="B1111" t="str">
            <v>AIP-PDO-P1701009-T-0704</v>
          </cell>
          <cell r="C1111">
            <v>43395</v>
          </cell>
          <cell r="D1111" t="str">
            <v>KHF-00-104265-RA-8241-51132-0000</v>
          </cell>
          <cell r="E1111" t="str">
            <v>MATERIAL APPROVAL SHEET FOR FIRESTOP SEALANT CP 601S</v>
          </cell>
          <cell r="F1111">
            <v>1</v>
          </cell>
          <cell r="G1111" t="str">
            <v>IFA</v>
          </cell>
        </row>
        <row r="1112">
          <cell r="A1112" t="str">
            <v>KHF-00-104265-RA-8241-51133-0000-1</v>
          </cell>
          <cell r="B1112" t="str">
            <v>AIP-PDO-P1701009-T-0704</v>
          </cell>
          <cell r="C1112">
            <v>43395</v>
          </cell>
          <cell r="D1112" t="str">
            <v>KHF-00-104265-RA-8241-51133-0000</v>
          </cell>
          <cell r="E1112" t="str">
            <v>MATERIAL APPROVAL SHEET FOR ROCKWOOL</v>
          </cell>
          <cell r="F1112">
            <v>1</v>
          </cell>
          <cell r="G1112" t="str">
            <v>IFA</v>
          </cell>
        </row>
        <row r="1113">
          <cell r="A1113" t="str">
            <v>KHF-00-104265-AA-6627-10058-0000-1</v>
          </cell>
          <cell r="B1113" t="str">
            <v>AIP-PDO-P1701009-T-0705</v>
          </cell>
          <cell r="C1113">
            <v>43395</v>
          </cell>
          <cell r="D1113" t="str">
            <v>KHF-00-104265-AA-6627-10058-0000</v>
          </cell>
          <cell r="E1113" t="str">
            <v>Interface Register</v>
          </cell>
          <cell r="F1113">
            <v>1</v>
          </cell>
          <cell r="G1113" t="str">
            <v>IFR</v>
          </cell>
        </row>
        <row r="1114">
          <cell r="A1114" t="str">
            <v>KHF-00-104265-AA-5760-10036-0000-3</v>
          </cell>
          <cell r="B1114" t="str">
            <v>AIP-PDO-P1701009-T-0706</v>
          </cell>
          <cell r="C1114">
            <v>43395</v>
          </cell>
          <cell r="D1114" t="str">
            <v>KHF-00-104265-AA-5760-10036-0000</v>
          </cell>
          <cell r="E1114" t="str">
            <v>Contract Execution Plan</v>
          </cell>
          <cell r="F1114">
            <v>3</v>
          </cell>
          <cell r="G1114" t="str">
            <v>IFA</v>
          </cell>
        </row>
        <row r="1115">
          <cell r="A1115" t="str">
            <v>KHF-00-104265-BA-6065-00644-0000-1</v>
          </cell>
          <cell r="B1115" t="str">
            <v>AIP-PDO-P1701009-T-0707</v>
          </cell>
          <cell r="C1115">
            <v>43395</v>
          </cell>
          <cell r="D1115" t="str">
            <v>KHF-00-104265-BA-6065-00644-0000</v>
          </cell>
          <cell r="E1115" t="str">
            <v>WELDING PROCEDURE SPECIFICATION (WPS) / PQR-044 (AI-WPS-TM-634)</v>
          </cell>
          <cell r="F1115">
            <v>1</v>
          </cell>
          <cell r="G1115" t="str">
            <v>IFR</v>
          </cell>
        </row>
        <row r="1116">
          <cell r="A1116" t="str">
            <v>KHF-00-104265-AA-3341-60117-0000-1</v>
          </cell>
          <cell r="B1116" t="str">
            <v>AIP-PDO-P1701009-T-0708</v>
          </cell>
          <cell r="C1116">
            <v>43395</v>
          </cell>
          <cell r="D1116" t="str">
            <v>KHF-00-104265-AA-3341-60117-0000</v>
          </cell>
          <cell r="E1116" t="str">
            <v>CV OF MR. MOHAMED MANSOOR - QC INSPECTOR -INSTRUMENT &amp; TELECOM</v>
          </cell>
          <cell r="F1116">
            <v>1</v>
          </cell>
          <cell r="G1116" t="str">
            <v>IFA</v>
          </cell>
        </row>
        <row r="1117">
          <cell r="A1117" t="str">
            <v>KHF-00-104265-QA-6050-00605-0000-2</v>
          </cell>
          <cell r="B1117" t="str">
            <v>AIP-PDO-P1701009-T-0709</v>
          </cell>
          <cell r="C1117">
            <v>43395</v>
          </cell>
          <cell r="D1117" t="str">
            <v>KHF-00-104265-QA-6050-00605-0000</v>
          </cell>
          <cell r="E1117" t="str">
            <v>Hydrotest Procedure for Piping Spool</v>
          </cell>
          <cell r="F1117">
            <v>2</v>
          </cell>
          <cell r="G1117" t="str">
            <v>IFA</v>
          </cell>
        </row>
        <row r="1118">
          <cell r="A1118" t="str">
            <v>KHF-00-104265-RA-8241-51045-0000-2</v>
          </cell>
          <cell r="B1118" t="str">
            <v>AIP-PDO-P1701009-T-0710</v>
          </cell>
          <cell r="C1118">
            <v>43395</v>
          </cell>
          <cell r="D1118" t="str">
            <v>KHF-00-104265-RA-8241-51045-0000</v>
          </cell>
          <cell r="E1118" t="str">
            <v>MATERIAL APPROVAL SHEET - STEEL DOORS DOUBLE SKINNED FIRE RATED</v>
          </cell>
          <cell r="F1118">
            <v>2</v>
          </cell>
          <cell r="G1118" t="str">
            <v>IFA</v>
          </cell>
        </row>
        <row r="1119">
          <cell r="A1119" t="str">
            <v>KHF-00-104265-RA-8241-51136-0000-1</v>
          </cell>
          <cell r="B1119" t="str">
            <v>AIP-PDO-P1701009-T-0711</v>
          </cell>
          <cell r="C1119">
            <v>43395</v>
          </cell>
          <cell r="D1119" t="str">
            <v>KHF-00-104265-RA-8241-51136-0000</v>
          </cell>
          <cell r="E1119" t="str">
            <v>MATERIAL APPROVAL SHEET FOR CABLE TRAYS/SUPPORT CHANNEL WITH ACCESSORIES / LADDER &amp; PERFORRATED - (VENDOR-3)</v>
          </cell>
          <cell r="F1119">
            <v>1</v>
          </cell>
          <cell r="G1119" t="str">
            <v>IFA</v>
          </cell>
        </row>
        <row r="1120">
          <cell r="A1120" t="str">
            <v>KHF-00-104265-BA-6070-00145-0000-1</v>
          </cell>
          <cell r="B1120" t="str">
            <v>AIP-PDO-P1701009-T-0712</v>
          </cell>
          <cell r="C1120">
            <v>43395</v>
          </cell>
          <cell r="D1120" t="str">
            <v>KHF-00-104265-BA-6070-00145-0000</v>
          </cell>
          <cell r="E1120" t="str">
            <v>Method Statement for Hydrotesting of High Pressure GRE Flowlines (Threaded)</v>
          </cell>
          <cell r="F1120">
            <v>1</v>
          </cell>
          <cell r="G1120" t="str">
            <v>IFA</v>
          </cell>
        </row>
        <row r="1121">
          <cell r="A1121" t="str">
            <v>KHF-00-104265-AA-6944-10050-0000-1</v>
          </cell>
          <cell r="B1121" t="str">
            <v>AIP-PDO-P1701009-T-0713</v>
          </cell>
          <cell r="C1121">
            <v>43396</v>
          </cell>
          <cell r="D1121" t="str">
            <v>KHF-00-104265-AA-6944-10050-0000</v>
          </cell>
          <cell r="E1121" t="str">
            <v>Weekly Progress Report No.050</v>
          </cell>
          <cell r="F1121">
            <v>1</v>
          </cell>
          <cell r="G1121" t="str">
            <v>IFI</v>
          </cell>
        </row>
        <row r="1122">
          <cell r="A1122" t="str">
            <v>KHF-00-104265-AA-6944-10051-0000-1</v>
          </cell>
          <cell r="B1122" t="str">
            <v>AIP-PDO-P1701009-T-0714</v>
          </cell>
          <cell r="C1122">
            <v>43396</v>
          </cell>
          <cell r="D1122" t="str">
            <v>KHF-00-104265-AA-6944-10051-0000</v>
          </cell>
          <cell r="E1122" t="str">
            <v>Weekly Progress Report No.051</v>
          </cell>
          <cell r="F1122">
            <v>1</v>
          </cell>
          <cell r="G1122" t="str">
            <v>IFI</v>
          </cell>
        </row>
        <row r="1123">
          <cell r="A1123" t="str">
            <v>KHF-00-104265-AA-3341-60118-0000-1</v>
          </cell>
          <cell r="B1123" t="str">
            <v>AIP-PDO-P1701009-T-0715</v>
          </cell>
          <cell r="C1123">
            <v>43396</v>
          </cell>
          <cell r="D1123" t="str">
            <v>KHF-00-104265-AA-3341-60118-0000</v>
          </cell>
          <cell r="E1123" t="str">
            <v>CV OF MR. MADHAVA VARMA JALLI - CONSTRUCTION ENGINEER - CIVIL</v>
          </cell>
          <cell r="F1123">
            <v>1</v>
          </cell>
          <cell r="G1123" t="str">
            <v>IFA</v>
          </cell>
        </row>
        <row r="1124">
          <cell r="A1124" t="str">
            <v>KHF-00-104265-AA-3341-60119-0000-1</v>
          </cell>
          <cell r="B1124" t="str">
            <v>AIP-PDO-P1701009-T-0716</v>
          </cell>
          <cell r="C1124">
            <v>43397</v>
          </cell>
          <cell r="D1124" t="str">
            <v>KHF-00-104265-AA-3341-60119-0000</v>
          </cell>
          <cell r="E1124" t="str">
            <v>CV OF MR. MAGESH C. R - QC INSPECTOR CIVIL</v>
          </cell>
          <cell r="F1124">
            <v>1</v>
          </cell>
          <cell r="G1124" t="str">
            <v>IFA</v>
          </cell>
        </row>
        <row r="1125">
          <cell r="A1125" t="str">
            <v>KHF-00-104265-RA-8241-51024-0000-2</v>
          </cell>
          <cell r="B1125" t="str">
            <v>AIP-PDO-P1701009-T-0717</v>
          </cell>
          <cell r="C1125">
            <v>43397</v>
          </cell>
          <cell r="D1125" t="str">
            <v>KHF-00-104265-RA-8241-51024-0000</v>
          </cell>
          <cell r="E1125" t="str">
            <v>MATERIAL APPROVAL SHEET FOR TRITOCELL 20/25MM</v>
          </cell>
          <cell r="F1125">
            <v>2</v>
          </cell>
          <cell r="G1125" t="str">
            <v>IFA</v>
          </cell>
        </row>
        <row r="1126">
          <cell r="A1126" t="str">
            <v>KHF-00-104265-RA-8241-51137-0000-1</v>
          </cell>
          <cell r="B1126" t="str">
            <v>AIP-PDO-P1701009-T-0718</v>
          </cell>
          <cell r="C1126">
            <v>43398</v>
          </cell>
          <cell r="D1126" t="str">
            <v>KHF-00-104265-RA-8241-51137-0000</v>
          </cell>
          <cell r="E1126" t="str">
            <v>Material Approval Sheet for INDOOR SOCKET OUTLETS AND SWITCHES (Vendor -2)</v>
          </cell>
          <cell r="F1126">
            <v>1</v>
          </cell>
          <cell r="G1126" t="str">
            <v>IFA</v>
          </cell>
        </row>
        <row r="1127">
          <cell r="A1127" t="str">
            <v>KHF-00-104265-QA-6050-00115-0000-2</v>
          </cell>
          <cell r="B1127" t="str">
            <v>AIP-PDO-P1701009-T-0719</v>
          </cell>
          <cell r="C1127">
            <v>43401</v>
          </cell>
          <cell r="D1127" t="str">
            <v>KHF-00-104265-QA-6050-00115-0000</v>
          </cell>
          <cell r="E1127" t="str">
            <v>Quality Control Plan for Hydrotesting of CS Pipeline</v>
          </cell>
          <cell r="F1127">
            <v>2</v>
          </cell>
          <cell r="G1127" t="str">
            <v>IFA</v>
          </cell>
        </row>
        <row r="1128">
          <cell r="A1128" t="str">
            <v>KHF-00-104265-BA-6070-44002-0000-1</v>
          </cell>
          <cell r="B1128" t="str">
            <v>AIP-PDO-P1701009-T-0720</v>
          </cell>
          <cell r="C1128">
            <v>43401</v>
          </cell>
          <cell r="D1128" t="str">
            <v>KHF-00-104265-BA-6070-44002-0000</v>
          </cell>
          <cell r="E1128" t="str">
            <v>METHOD STATEMENT FOR INSTALLATION OF FIRE &amp; GAS DETECTION SYSTEM</v>
          </cell>
          <cell r="F1128">
            <v>1</v>
          </cell>
          <cell r="G1128" t="str">
            <v>IFR</v>
          </cell>
        </row>
        <row r="1129">
          <cell r="A1129" t="str">
            <v>KHF-00-104265-BA-6070-44003-0000-1</v>
          </cell>
          <cell r="B1129" t="str">
            <v>AIP-PDO-P1701009-T-0720</v>
          </cell>
          <cell r="C1129">
            <v>43401</v>
          </cell>
          <cell r="D1129" t="str">
            <v>KHF-00-104265-BA-6070-44003-0000</v>
          </cell>
          <cell r="E1129" t="str">
            <v>METHOD STATEMENT FOR INSTALLATION, GLANDING AND TERMINATION OF INSTRUMENTATION CABLES</v>
          </cell>
          <cell r="F1129">
            <v>1</v>
          </cell>
          <cell r="G1129" t="str">
            <v>IFR</v>
          </cell>
        </row>
        <row r="1130">
          <cell r="A1130" t="str">
            <v>KHF-00-104265-BA-6070-44004-0000-1</v>
          </cell>
          <cell r="B1130" t="str">
            <v>AIP-PDO-P1701009-T-0720</v>
          </cell>
          <cell r="C1130">
            <v>43401</v>
          </cell>
          <cell r="D1130" t="str">
            <v>KHF-00-104265-BA-6070-44004-0000</v>
          </cell>
          <cell r="E1130" t="str">
            <v>METHOD STATEMENT FOR INSTALLATION OF PROCESS INSTRUMENTS, JUNCTION BOXES AND PANELS</v>
          </cell>
          <cell r="F1130">
            <v>1</v>
          </cell>
          <cell r="G1130" t="str">
            <v>IFR</v>
          </cell>
        </row>
        <row r="1131">
          <cell r="A1131" t="str">
            <v>KHF-00-104265-BA-6065-00631-0000-2</v>
          </cell>
          <cell r="B1131" t="str">
            <v>AIP-PDO-P1701009-T-0721</v>
          </cell>
          <cell r="C1131">
            <v>43401</v>
          </cell>
          <cell r="D1131" t="str">
            <v>KHF-00-104265-BA-6065-00631-0000</v>
          </cell>
          <cell r="E1131" t="str">
            <v>WELDING PROCEDURE SPECIFICATION (WPS) /PQR- 031 (AI-WPS-T-381FW)</v>
          </cell>
          <cell r="F1131">
            <v>2</v>
          </cell>
          <cell r="G1131" t="str">
            <v>IFR</v>
          </cell>
        </row>
        <row r="1132">
          <cell r="A1132" t="str">
            <v>KHF-00-104265-BA-6065-00632-0000-2</v>
          </cell>
          <cell r="B1132" t="str">
            <v>AIP-PDO-P1701009-T-0721</v>
          </cell>
          <cell r="C1132">
            <v>43401</v>
          </cell>
          <cell r="D1132" t="str">
            <v>KHF-00-104265-BA-6065-00632-0000</v>
          </cell>
          <cell r="E1132" t="str">
            <v>WELDING PROCEDURE SPECIFICATION (WPS) /PQR- 032 (AI-WPS-M-508FW)</v>
          </cell>
          <cell r="F1132">
            <v>2</v>
          </cell>
          <cell r="G1132" t="str">
            <v>IFR</v>
          </cell>
        </row>
        <row r="1133">
          <cell r="A1133" t="str">
            <v>KHF-00-104265-BA-6065-00645-0000-1</v>
          </cell>
          <cell r="B1133" t="str">
            <v>AIP-PDO-P1701009-T-0722</v>
          </cell>
          <cell r="C1133">
            <v>43401</v>
          </cell>
          <cell r="D1133" t="str">
            <v>KHF-00-104265-BA-6065-00645-0000</v>
          </cell>
          <cell r="E1133" t="str">
            <v>Welding Procedure Specification (WPS) / PQR-045 (AIM-WPS-TM-710 (825 # 625)</v>
          </cell>
          <cell r="F1133">
            <v>1</v>
          </cell>
          <cell r="G1133" t="str">
            <v>IFR</v>
          </cell>
        </row>
        <row r="1134">
          <cell r="A1134" t="str">
            <v>KHF-00-104265-QA-5798-10009-0000-5</v>
          </cell>
          <cell r="B1134" t="str">
            <v>AIP-PDO-P1701009-T-0723</v>
          </cell>
          <cell r="C1134">
            <v>43402</v>
          </cell>
          <cell r="D1134" t="str">
            <v>KHF-00-104265-QA-5798-10009-0000</v>
          </cell>
          <cell r="E1134" t="str">
            <v>Contract Quality Plan</v>
          </cell>
          <cell r="F1134">
            <v>5</v>
          </cell>
          <cell r="G1134" t="str">
            <v>IFA</v>
          </cell>
        </row>
        <row r="1135">
          <cell r="A1135" t="str">
            <v>KHF-00-104265-RA-8241-51109-0000-1</v>
          </cell>
          <cell r="B1135" t="str">
            <v>AIP-PDO-P1701009-T-0724</v>
          </cell>
          <cell r="C1135">
            <v>43402</v>
          </cell>
          <cell r="D1135" t="str">
            <v>KHF-00-104265-RA-8241-51109-0000</v>
          </cell>
          <cell r="E1135" t="str">
            <v>MATERIAL APPROVAL SHEET FOR GRANOLITHIC FLOOR MATERIALS</v>
          </cell>
          <cell r="F1135">
            <v>1</v>
          </cell>
          <cell r="G1135" t="str">
            <v>IFA</v>
          </cell>
        </row>
        <row r="1136">
          <cell r="A1136" t="str">
            <v>KHF-00-104265-FA-5759-10059-0000-1</v>
          </cell>
          <cell r="B1136" t="str">
            <v>AIP-PDO-P1701009-T-0725</v>
          </cell>
          <cell r="C1136">
            <v>43402</v>
          </cell>
          <cell r="D1136" t="str">
            <v>KHF-00-104265-FA-5759-10059-0000</v>
          </cell>
          <cell r="E1136" t="str">
            <v>Project Cost &amp; Scheduling Control Plan</v>
          </cell>
          <cell r="F1136">
            <v>1</v>
          </cell>
          <cell r="G1136" t="str">
            <v>IFR</v>
          </cell>
        </row>
        <row r="1137">
          <cell r="A1137" t="str">
            <v>KHF-00-104265-FA-5765-10040-0000-5</v>
          </cell>
          <cell r="B1137" t="str">
            <v>AIP-PDO-P1701009-T-0726</v>
          </cell>
          <cell r="C1137">
            <v>43403</v>
          </cell>
          <cell r="D1137" t="str">
            <v>KHF-00-104265-FA-5765-10040-0000</v>
          </cell>
          <cell r="E1137" t="str">
            <v>PROJECT SCHEDULE - LEVEL 04</v>
          </cell>
          <cell r="F1137">
            <v>5</v>
          </cell>
          <cell r="G1137" t="str">
            <v>IFA</v>
          </cell>
        </row>
        <row r="1138">
          <cell r="A1138" t="str">
            <v>KHF-00-104265-AA-6944-20013-0000-1</v>
          </cell>
          <cell r="B1138" t="str">
            <v>AIP-PDO-P1701009-T-0727</v>
          </cell>
          <cell r="C1138">
            <v>43404</v>
          </cell>
          <cell r="D1138" t="str">
            <v>KHF-00-104265-AA-6944-20013-0000</v>
          </cell>
          <cell r="E1138" t="str">
            <v>MONTHLY PROGRESS REPORT NO.013 (OCTOBER 2018)</v>
          </cell>
          <cell r="F1138">
            <v>1</v>
          </cell>
          <cell r="G1138" t="str">
            <v>IFI</v>
          </cell>
        </row>
        <row r="1139">
          <cell r="A1139" t="str">
            <v>KHF-00-104265-AA-3341-00135-0000-1</v>
          </cell>
          <cell r="B1139" t="str">
            <v>AIP-PDO-P1701009-T-0728</v>
          </cell>
          <cell r="C1139">
            <v>43405</v>
          </cell>
          <cell r="D1139" t="str">
            <v>KHF-00-104265-AA-3341-00135-0000</v>
          </cell>
          <cell r="E1139" t="str">
            <v>CV of Mr. Jitendra Kumar Yadav - GRE Pipe Jointer (FGS)</v>
          </cell>
          <cell r="F1139">
            <v>1</v>
          </cell>
          <cell r="G1139" t="str">
            <v>IFA</v>
          </cell>
        </row>
        <row r="1140">
          <cell r="A1140" t="str">
            <v>KHF-00-104265-AA-3341-00136-0000-1</v>
          </cell>
          <cell r="B1140" t="str">
            <v>AIP-PDO-P1701009-T-0728</v>
          </cell>
          <cell r="C1140">
            <v>43405</v>
          </cell>
          <cell r="D1140" t="str">
            <v>KHF-00-104265-AA-3341-00136-0000</v>
          </cell>
          <cell r="E1140" t="str">
            <v>CV of Mr. Total Mandal - GRE Jointer/Bonder (FGS)</v>
          </cell>
          <cell r="F1140">
            <v>1</v>
          </cell>
          <cell r="G1140" t="str">
            <v>IFA</v>
          </cell>
        </row>
        <row r="1141">
          <cell r="A1141" t="str">
            <v>KHF-00-104265-AA-3341-00137-0000-1</v>
          </cell>
          <cell r="B1141" t="str">
            <v>AIP-PDO-P1701009-T-0728</v>
          </cell>
          <cell r="C1141">
            <v>43405</v>
          </cell>
          <cell r="D1141" t="str">
            <v>KHF-00-104265-AA-3341-00137-0000</v>
          </cell>
          <cell r="E1141" t="str">
            <v>CV of Mr. Bhupendra Tiwari - GRE Pipe Jointer (FGS)</v>
          </cell>
          <cell r="F1141">
            <v>1</v>
          </cell>
          <cell r="G1141" t="str">
            <v>IFA</v>
          </cell>
        </row>
        <row r="1142">
          <cell r="A1142" t="str">
            <v>rejected by PDO</v>
          </cell>
          <cell r="B1142" t="str">
            <v>AIP-PDO-P1701009-T-0729</v>
          </cell>
          <cell r="C1142">
            <v>43407</v>
          </cell>
          <cell r="D1142" t="str">
            <v>KHF-00-104265-BA-6180-00136-0000</v>
          </cell>
          <cell r="E1142" t="str">
            <v>Method Statement for GRE Pipe Jointing (Threaded)</v>
          </cell>
          <cell r="F1142">
            <v>2</v>
          </cell>
          <cell r="G1142" t="str">
            <v>Rejected by PDO</v>
          </cell>
        </row>
        <row r="1143">
          <cell r="A1143" t="str">
            <v>KHF-00-104265-BA-6070-00148-0000-1</v>
          </cell>
          <cell r="B1143" t="str">
            <v>AIP-PDO-P1701009-T-0730</v>
          </cell>
          <cell r="C1143">
            <v>43407</v>
          </cell>
          <cell r="D1143" t="str">
            <v>KHF-00-104265-BA-6070-00148-0000</v>
          </cell>
          <cell r="E1143" t="str">
            <v>Method Statement for Determination of Water (Moisture) Content of Soil by the Calcium Carbide Gas Pressure Teater Method</v>
          </cell>
          <cell r="F1143">
            <v>1</v>
          </cell>
          <cell r="G1143" t="str">
            <v>IFR</v>
          </cell>
        </row>
        <row r="1144">
          <cell r="A1144" t="str">
            <v>KHF-00-104265-BA-6070-00149-0000-1</v>
          </cell>
          <cell r="B1144" t="str">
            <v>AIP-PDO-P1701009-T-0730</v>
          </cell>
          <cell r="C1144">
            <v>43407</v>
          </cell>
          <cell r="D1144" t="str">
            <v>KHF-00-104265-BA-6070-00149-0000</v>
          </cell>
          <cell r="E1144" t="str">
            <v>Method Statement for Determination of In-Situ Density of Soil</v>
          </cell>
          <cell r="F1144">
            <v>1</v>
          </cell>
          <cell r="G1144" t="str">
            <v>IFR</v>
          </cell>
        </row>
        <row r="1145">
          <cell r="A1145" t="str">
            <v>KHF-00-104265-QA-6180-00810-0000-1</v>
          </cell>
          <cell r="B1145" t="str">
            <v>AIP-PDO-P1701009-T-0731</v>
          </cell>
          <cell r="C1145">
            <v>43407</v>
          </cell>
          <cell r="D1145" t="str">
            <v>KHF-00-104265-QA-6180-00810-0000</v>
          </cell>
          <cell r="E1145" t="str">
            <v>Hot Dip Galvanization Procedure</v>
          </cell>
          <cell r="F1145">
            <v>1</v>
          </cell>
          <cell r="G1145" t="str">
            <v>IFR</v>
          </cell>
        </row>
        <row r="1146">
          <cell r="A1146" t="str">
            <v>KHF-00-104265-QA-6050-00102-0000-5</v>
          </cell>
          <cell r="B1146" t="str">
            <v>AIP-PDO-P1701009-T-0732</v>
          </cell>
          <cell r="C1146">
            <v>43407</v>
          </cell>
          <cell r="D1146" t="str">
            <v>KHF-00-104265-QA-6050-00102-0000</v>
          </cell>
          <cell r="E1146" t="str">
            <v>Quality Control Plan for Earthworks</v>
          </cell>
          <cell r="F1146">
            <v>5</v>
          </cell>
          <cell r="G1146" t="str">
            <v>IFA</v>
          </cell>
        </row>
        <row r="1147">
          <cell r="A1147" t="str">
            <v>KHF-00-104265-QA-6050-00103-0000-4</v>
          </cell>
          <cell r="B1147" t="str">
            <v>AIP-PDO-P1701009-T-0732</v>
          </cell>
          <cell r="C1147">
            <v>43407</v>
          </cell>
          <cell r="D1147" t="str">
            <v>KHF-00-104265-QA-6050-00103-0000</v>
          </cell>
          <cell r="E1147" t="str">
            <v>Quality Control Plan for Concrete Works</v>
          </cell>
          <cell r="F1147">
            <v>4</v>
          </cell>
          <cell r="G1147" t="str">
            <v>IFA</v>
          </cell>
        </row>
        <row r="1148">
          <cell r="A1148" t="str">
            <v>KHF-00-104265-QA-6050-00107-0000-4</v>
          </cell>
          <cell r="B1148" t="str">
            <v>AIP-PDO-P1701009-T-0732</v>
          </cell>
          <cell r="C1148">
            <v>43407</v>
          </cell>
          <cell r="D1148" t="str">
            <v>KHF-00-104265-QA-6050-00107-0000</v>
          </cell>
          <cell r="E1148" t="str">
            <v>Quality Control Plan for Painting (PCS-01)</v>
          </cell>
          <cell r="F1148">
            <v>4</v>
          </cell>
          <cell r="G1148" t="str">
            <v>IFA</v>
          </cell>
        </row>
        <row r="1149">
          <cell r="A1149" t="str">
            <v>KHF-00-104265-AA-6944-10052-0000-1</v>
          </cell>
          <cell r="B1149" t="str">
            <v>AIP-PDO-P1701009-T-0733</v>
          </cell>
          <cell r="C1149">
            <v>43408</v>
          </cell>
          <cell r="D1149" t="str">
            <v>KHF-00-104265-AA-6944-10052-0000</v>
          </cell>
          <cell r="E1149" t="str">
            <v>Weekly Progress Report No.052</v>
          </cell>
          <cell r="F1149">
            <v>1</v>
          </cell>
          <cell r="G1149" t="str">
            <v>IFI</v>
          </cell>
        </row>
        <row r="1150">
          <cell r="A1150" t="str">
            <v>KHF-00-104265-RA-8241-51052-0000-2</v>
          </cell>
          <cell r="B1150" t="str">
            <v>AIP-PDO-P1701009-T-0734</v>
          </cell>
          <cell r="C1150">
            <v>43408</v>
          </cell>
          <cell r="D1150" t="str">
            <v>KHF-00-104265-RA-8241-51052-0000</v>
          </cell>
          <cell r="E1150" t="str">
            <v>MATERIAL APPROVAL SHEET FOR VITRIFIED TILES - KERASTAR SERIES</v>
          </cell>
          <cell r="F1150">
            <v>2</v>
          </cell>
          <cell r="G1150" t="str">
            <v>IFA</v>
          </cell>
        </row>
        <row r="1151">
          <cell r="A1151" t="str">
            <v>KHF-00-104265-AA-3347-20012-0000-1</v>
          </cell>
          <cell r="B1151" t="str">
            <v>AIP-PDO-P1701009-T-0735</v>
          </cell>
          <cell r="C1151">
            <v>43408</v>
          </cell>
          <cell r="D1151" t="str">
            <v>KHF-00-104265-AA-3347-20012-0000</v>
          </cell>
          <cell r="E1151" t="str">
            <v>Minutes of Monthly Review Meeting  No.12</v>
          </cell>
          <cell r="F1151">
            <v>1</v>
          </cell>
          <cell r="G1151" t="str">
            <v>IFI</v>
          </cell>
        </row>
        <row r="1152">
          <cell r="A1152" t="str">
            <v>KHF-00-104265-RA-8241-51068-0000-2</v>
          </cell>
          <cell r="B1152" t="str">
            <v>AIP-PDO-P1701009-T-0736</v>
          </cell>
          <cell r="C1152">
            <v>43408</v>
          </cell>
          <cell r="D1152" t="str">
            <v>KHF-00-104265-RA-8241-51068-0000</v>
          </cell>
          <cell r="E1152" t="str">
            <v>MATERIAL APPROVAL SHEET FOR FOUNDATION GROUTING MATERIAL ( EPOXY &amp; CEMETITIOUS )</v>
          </cell>
          <cell r="F1152">
            <v>2</v>
          </cell>
          <cell r="G1152" t="str">
            <v>IFA</v>
          </cell>
        </row>
        <row r="1153">
          <cell r="A1153" t="str">
            <v>KHF-00-104265-QA-6050-00105-0000-8</v>
          </cell>
          <cell r="B1153" t="str">
            <v>AIP-PDO-P1701009-T-0737</v>
          </cell>
          <cell r="C1153">
            <v>43408</v>
          </cell>
          <cell r="D1153" t="str">
            <v>KHF-00-104265-QA-6050-00105-0000</v>
          </cell>
          <cell r="E1153" t="str">
            <v>Quality Control Plan for Welding -Class 1 Pipeline</v>
          </cell>
          <cell r="F1153">
            <v>8</v>
          </cell>
          <cell r="G1153" t="str">
            <v>IFA</v>
          </cell>
        </row>
        <row r="1154">
          <cell r="A1154" t="str">
            <v>KHF-00-104265-RA-6038-00915-0000-1</v>
          </cell>
          <cell r="B1154" t="str">
            <v>AIP-PDO-P1701009-T-0738</v>
          </cell>
          <cell r="C1154">
            <v>43408</v>
          </cell>
          <cell r="D1154" t="str">
            <v>KHF-00-104265-RA-6038-00915-0000</v>
          </cell>
          <cell r="E1154" t="str">
            <v>Procedure for Magnetic Particle Testing for Structural Welds</v>
          </cell>
          <cell r="F1154">
            <v>1</v>
          </cell>
          <cell r="G1154" t="str">
            <v>IFR</v>
          </cell>
        </row>
        <row r="1155">
          <cell r="A1155" t="str">
            <v>KHF-00-104265-RA-8241-51134-0000-1</v>
          </cell>
          <cell r="B1155" t="str">
            <v>AIP-PDO-P1701009-T-0739</v>
          </cell>
          <cell r="C1155">
            <v>43409</v>
          </cell>
          <cell r="D1155" t="str">
            <v>KHF-00-104265-RA-8241-51134-0000</v>
          </cell>
          <cell r="E1155" t="str">
            <v>MATERIAL APPROVAL SHEET FOR HEAVY GAUGE GI CONDUIT &amp; ACCESSORIES (VENDOR-3)</v>
          </cell>
          <cell r="F1155">
            <v>1</v>
          </cell>
          <cell r="G1155" t="str">
            <v>IFA</v>
          </cell>
        </row>
        <row r="1156">
          <cell r="A1156" t="str">
            <v>KHF-00-104265-RA-8241-51138-0000-1</v>
          </cell>
          <cell r="B1156" t="str">
            <v>AIP-PDO-P1701009-T-0740</v>
          </cell>
          <cell r="C1156">
            <v>43409</v>
          </cell>
          <cell r="D1156" t="str">
            <v>KHF-00-104265-RA-8241-51138-0000</v>
          </cell>
          <cell r="E1156" t="str">
            <v>MATERIAL APPROVAL SHEET FOR EARTH CABLE TERMINATION LUGS</v>
          </cell>
          <cell r="F1156">
            <v>1</v>
          </cell>
          <cell r="G1156" t="str">
            <v>IFA</v>
          </cell>
        </row>
        <row r="1157">
          <cell r="A1157" t="str">
            <v>KHF-00-104265-BA-6070-44005-0000-1</v>
          </cell>
          <cell r="B1157" t="str">
            <v>AIP-PDO-P1701009-T-0741</v>
          </cell>
          <cell r="C1157">
            <v>43409</v>
          </cell>
          <cell r="D1157" t="str">
            <v>KHF-00-104265-BA-6070-44005-0000</v>
          </cell>
          <cell r="E1157" t="str">
            <v>METHOD STATEMENT FOR CALIBRATION OF INSTRUMENTS</v>
          </cell>
          <cell r="F1157">
            <v>1</v>
          </cell>
          <cell r="G1157" t="str">
            <v>IFR</v>
          </cell>
        </row>
        <row r="1158">
          <cell r="A1158" t="str">
            <v>KHF-00-104265-BA-6070-42004-0000-2</v>
          </cell>
          <cell r="B1158" t="str">
            <v>AIP-PDO-P1701009-T-0742</v>
          </cell>
          <cell r="C1158">
            <v>43409</v>
          </cell>
          <cell r="D1158" t="str">
            <v>KHF-00-104265-BA-6070-42004-0000</v>
          </cell>
          <cell r="E1158" t="str">
            <v>METHOD STATEMENT FOR INSTALLATION OF EOT CRANE AT 132 KV GIS BUILDING IN AREA 100</v>
          </cell>
          <cell r="F1158">
            <v>2</v>
          </cell>
          <cell r="G1158" t="str">
            <v>IFA</v>
          </cell>
        </row>
        <row r="1159">
          <cell r="A1159" t="str">
            <v>KHF-00-104265-AA-3341-00138-0000-1</v>
          </cell>
          <cell r="B1159" t="str">
            <v>AIP-PDO-P1701009-T-0743</v>
          </cell>
          <cell r="C1159">
            <v>43409</v>
          </cell>
          <cell r="D1159" t="str">
            <v>KHF-00-104265-AA-3341-00138-0000</v>
          </cell>
          <cell r="E1159" t="str">
            <v>CV OF MR. MOHD KHALID AZMAL - CATHODIC PROTECTION ENGINEER</v>
          </cell>
          <cell r="F1159">
            <v>1</v>
          </cell>
          <cell r="G1159" t="str">
            <v>Rejected by PDO</v>
          </cell>
        </row>
        <row r="1160">
          <cell r="A1160" t="str">
            <v>withdrawn</v>
          </cell>
          <cell r="B1160" t="str">
            <v>AIP-PDO-P1701009-T-0744</v>
          </cell>
          <cell r="C1160">
            <v>43410</v>
          </cell>
          <cell r="D1160" t="str">
            <v>KHF-00-104265-BA-6065-00699-0000</v>
          </cell>
          <cell r="E1160" t="str">
            <v>WPS Register</v>
          </cell>
          <cell r="F1160">
            <v>2</v>
          </cell>
          <cell r="G1160" t="str">
            <v>withdrawn</v>
          </cell>
        </row>
        <row r="1161">
          <cell r="A1161" t="str">
            <v>KHF-00-104265-BA-6065-00646-0000-1</v>
          </cell>
          <cell r="B1161" t="str">
            <v>AIP-PDO-P1701009-T-0745</v>
          </cell>
          <cell r="C1161">
            <v>43410</v>
          </cell>
          <cell r="D1161" t="str">
            <v>KHF-00-104265-BA-6065-00646-0000</v>
          </cell>
          <cell r="E1161" t="str">
            <v>Welding Procedure Specification (WPS) / PQR-046 (AI-WPS-TS-711)</v>
          </cell>
          <cell r="F1161">
            <v>1</v>
          </cell>
          <cell r="G1161" t="str">
            <v>IFR</v>
          </cell>
        </row>
        <row r="1162">
          <cell r="A1162" t="str">
            <v>KHF-00-104265-BA-6065-00647-0000-1</v>
          </cell>
          <cell r="B1162" t="str">
            <v>AIP-PDO-P1701009-T-0745</v>
          </cell>
          <cell r="C1162">
            <v>43410</v>
          </cell>
          <cell r="D1162" t="str">
            <v>KHF-00-104265-BA-6065-00647-0000</v>
          </cell>
          <cell r="E1162" t="str">
            <v>Welding Procedure Specification (WPS) / PQR-047 (AI-WPS-TM-712)</v>
          </cell>
          <cell r="F1162">
            <v>1</v>
          </cell>
          <cell r="G1162" t="str">
            <v>IFR</v>
          </cell>
        </row>
        <row r="1163">
          <cell r="A1163" t="str">
            <v>KHF-00-104265-RA-8241-51005-0000-2</v>
          </cell>
          <cell r="B1163" t="str">
            <v>AIP-PDO-P1701009-T-0746</v>
          </cell>
          <cell r="C1163">
            <v>43411</v>
          </cell>
          <cell r="D1163" t="str">
            <v>KHF-00-104265-RA-8241-51005-0000</v>
          </cell>
          <cell r="E1163" t="str">
            <v>MATERIAL APPROVAL SHEET FOR CONCRETE REPAIR PRODUCT - FOSROC RENDEROC HSXTRA</v>
          </cell>
          <cell r="F1163">
            <v>2</v>
          </cell>
          <cell r="G1163" t="str">
            <v>IFA</v>
          </cell>
        </row>
        <row r="1164">
          <cell r="A1164" t="str">
            <v>KHF-00-104265-RA-8241-51139-0000-1</v>
          </cell>
          <cell r="B1164" t="str">
            <v>AIP-PDO-P1701009-T-0747</v>
          </cell>
          <cell r="C1164">
            <v>43411</v>
          </cell>
          <cell r="D1164" t="str">
            <v>KHF-00-104265-RA-8241-51139-0000</v>
          </cell>
          <cell r="E1164" t="str">
            <v>MATERIAL APPROVAL SHEET FOR HILTI GALVANIZED BOLTS /NUTS &amp; ANCHOR FASTENER</v>
          </cell>
          <cell r="F1164">
            <v>1</v>
          </cell>
          <cell r="G1164" t="str">
            <v>IFA</v>
          </cell>
        </row>
        <row r="1165">
          <cell r="A1165" t="str">
            <v>rejected by PDO</v>
          </cell>
          <cell r="B1165" t="str">
            <v>AIP-PDO-P1701009-T-0748</v>
          </cell>
          <cell r="C1165">
            <v>43411</v>
          </cell>
          <cell r="D1165" t="str">
            <v>KHF-00-104265-RA-8241-51086-0000</v>
          </cell>
          <cell r="E1165" t="str">
            <v>MATERIAL APPROVAL SHEET FOR ROOF DRAIN  - VENDOR 02</v>
          </cell>
          <cell r="F1165">
            <v>1</v>
          </cell>
          <cell r="G1165" t="str">
            <v>Rejected by PDO</v>
          </cell>
        </row>
        <row r="1166">
          <cell r="A1166" t="str">
            <v>KHF-00-104265-RA-6038-00109-0000-1</v>
          </cell>
          <cell r="B1166" t="str">
            <v>AIP-PDO-P1701009-T-0749</v>
          </cell>
          <cell r="C1166">
            <v>43412</v>
          </cell>
          <cell r="D1166" t="str">
            <v>KHF-00-104265-RA-6038-00109-0000</v>
          </cell>
          <cell r="E1166" t="str">
            <v>Procedure for liquid Penetrant Testing for Pipeline</v>
          </cell>
          <cell r="F1166">
            <v>1</v>
          </cell>
          <cell r="G1166" t="str">
            <v>IFR</v>
          </cell>
        </row>
        <row r="1167">
          <cell r="A1167" t="str">
            <v>KHF-00-104265-RA-6038-00108-0000-2</v>
          </cell>
          <cell r="B1167" t="str">
            <v>AIP-PDO-P1701009-T-0750</v>
          </cell>
          <cell r="C1167">
            <v>43412</v>
          </cell>
          <cell r="D1167" t="str">
            <v>KHF-00-104265-RA-6038-00108-0000</v>
          </cell>
          <cell r="E1167" t="str">
            <v>Procedure for Digitization of Radiographs</v>
          </cell>
          <cell r="F1167">
            <v>2</v>
          </cell>
          <cell r="G1167" t="str">
            <v>IFA</v>
          </cell>
        </row>
        <row r="1168">
          <cell r="A1168" t="str">
            <v>KHF-00-104265-RA-6038-00105-0000-3</v>
          </cell>
          <cell r="B1168" t="str">
            <v>AIP-PDO-P1701009-T-0751</v>
          </cell>
          <cell r="C1168">
            <v>43412</v>
          </cell>
          <cell r="D1168" t="str">
            <v>KHF-00-104265-RA-6038-00105-0000</v>
          </cell>
          <cell r="E1168" t="str">
            <v>Procedure for Ultrasonic Testing for Pipeline Welds</v>
          </cell>
          <cell r="F1168">
            <v>3</v>
          </cell>
          <cell r="G1168" t="str">
            <v>IFA</v>
          </cell>
        </row>
        <row r="1169">
          <cell r="A1169" t="str">
            <v>KHF-00-104265-QA-5733-24004-0000-3</v>
          </cell>
          <cell r="B1169" t="str">
            <v>AIP-PDO-P1701009-T-0752</v>
          </cell>
          <cell r="C1169">
            <v>43412</v>
          </cell>
          <cell r="D1169" t="str">
            <v>KHF-00-104265-QA-5733-24004-0000</v>
          </cell>
          <cell r="E1169" t="str">
            <v>INSPECTION AND TEST PLAN FOR INSTALLATION AND TESTING OF IMPLUSE AND AIRLINE TUBING</v>
          </cell>
          <cell r="F1169">
            <v>3</v>
          </cell>
          <cell r="G1169" t="str">
            <v>IFA</v>
          </cell>
        </row>
        <row r="1170">
          <cell r="A1170" t="str">
            <v>KHF-00-104265-QA-5733-00604-0000-2</v>
          </cell>
          <cell r="B1170" t="str">
            <v>AIP-PDO-P1701009-T-0753</v>
          </cell>
          <cell r="C1170">
            <v>43412</v>
          </cell>
          <cell r="D1170" t="str">
            <v>KHF-00-104265-QA-5733-00604-0000</v>
          </cell>
          <cell r="E1170" t="str">
            <v xml:space="preserve">Inspection &amp; Test Plan for Surface preparation &amp; TSA Coating of Stainless Steel Spools </v>
          </cell>
          <cell r="F1170">
            <v>2</v>
          </cell>
          <cell r="G1170" t="str">
            <v>IFA</v>
          </cell>
        </row>
        <row r="1171">
          <cell r="A1171" t="str">
            <v>KHF-00-104265-CX-4180-10005-0001-10</v>
          </cell>
          <cell r="B1171" t="str">
            <v>AIP-PDO-P1701009-T-0754</v>
          </cell>
          <cell r="C1171">
            <v>43412</v>
          </cell>
          <cell r="D1171" t="str">
            <v>KHF-00-104265-CX-4180-10005-0001</v>
          </cell>
          <cell r="E1171" t="str">
            <v>Site Camp Layout</v>
          </cell>
          <cell r="F1171">
            <v>10</v>
          </cell>
          <cell r="G1171" t="str">
            <v>IFA</v>
          </cell>
        </row>
        <row r="1172">
          <cell r="A1172" t="str">
            <v>KHF-00-104265-QA-5733-23008-0000-3</v>
          </cell>
          <cell r="B1172" t="str">
            <v>AIP-PDO-P1701009-T-0755</v>
          </cell>
          <cell r="C1172">
            <v>43414</v>
          </cell>
          <cell r="D1172" t="str">
            <v>KHF-00-104265-QA-5733-23008-0000</v>
          </cell>
          <cell r="E1172" t="str">
            <v>INSPECTION AND TEST PLAN FOR LIGHTING &amp; SMALL POWER WORKS</v>
          </cell>
          <cell r="F1172">
            <v>3</v>
          </cell>
          <cell r="G1172" t="str">
            <v>IFA</v>
          </cell>
        </row>
        <row r="1173">
          <cell r="A1173" t="str">
            <v>rejected by PDO</v>
          </cell>
          <cell r="B1173" t="str">
            <v>AIP-PDO-P1701009-T-0756</v>
          </cell>
          <cell r="C1173">
            <v>43416</v>
          </cell>
          <cell r="D1173" t="str">
            <v>KHF-00-104265-BA-6070-00136-0000</v>
          </cell>
          <cell r="E1173" t="str">
            <v>Method Statement for GRE Pipe Jointing (Threaded)</v>
          </cell>
          <cell r="F1173">
            <v>2</v>
          </cell>
          <cell r="G1173" t="str">
            <v>Rejected by PDO</v>
          </cell>
        </row>
        <row r="1174">
          <cell r="A1174" t="str">
            <v>KHF-00-104265-QA-5798-00101-0000-5</v>
          </cell>
          <cell r="B1174" t="str">
            <v>AIP-PDO-P1701009-T-0757</v>
          </cell>
          <cell r="C1174">
            <v>43416</v>
          </cell>
          <cell r="D1174" t="str">
            <v>KHF-00-104265-QA-5798-00101-0000</v>
          </cell>
          <cell r="E1174" t="str">
            <v>Project Quality Plan</v>
          </cell>
          <cell r="F1174">
            <v>5</v>
          </cell>
          <cell r="G1174" t="str">
            <v>IFA</v>
          </cell>
        </row>
        <row r="1175">
          <cell r="A1175" t="str">
            <v>KHF-00-104265-LA-5009-00121-0000-1</v>
          </cell>
          <cell r="B1175" t="str">
            <v>AIP-PDO-P1701009-T-0758</v>
          </cell>
          <cell r="C1175">
            <v>43416</v>
          </cell>
          <cell r="D1175" t="str">
            <v>KHF-00-104265-LA-5009-00121-0000</v>
          </cell>
          <cell r="E1175" t="str">
            <v>MAS for 2 1/2" and 3" G.S.Pipes (ASTM A53 Grade B SCH-40) for Pipe line Access Barriers-Off Plot</v>
          </cell>
          <cell r="F1175">
            <v>1</v>
          </cell>
          <cell r="G1175" t="str">
            <v>IFR</v>
          </cell>
        </row>
        <row r="1176">
          <cell r="A1176" t="str">
            <v>KHF-00-104265-MP-6180-00136-0000-2</v>
          </cell>
          <cell r="B1176" t="str">
            <v>AIP-PDO-P1701009-T-0759</v>
          </cell>
          <cell r="C1176">
            <v>43416</v>
          </cell>
          <cell r="D1176" t="str">
            <v>KHF-00-104265-MP-6180-00136-0000</v>
          </cell>
          <cell r="E1176" t="str">
            <v>Method Statement for GRE Pipe Jointing (Threaded)</v>
          </cell>
          <cell r="F1176">
            <v>2</v>
          </cell>
          <cell r="G1176" t="str">
            <v>IFA</v>
          </cell>
        </row>
        <row r="1177">
          <cell r="A1177" t="str">
            <v>KHF-00-104265-AA-6944-10053-0000-1</v>
          </cell>
          <cell r="B1177" t="str">
            <v>AIP-PDO-P1701009-T-0760</v>
          </cell>
          <cell r="C1177">
            <v>43416</v>
          </cell>
          <cell r="D1177" t="str">
            <v>KHF-00-104265-AA-6944-10053-0000</v>
          </cell>
          <cell r="E1177" t="str">
            <v>Weekly Progress Report No.53</v>
          </cell>
          <cell r="F1177">
            <v>1</v>
          </cell>
          <cell r="G1177" t="str">
            <v>IFI</v>
          </cell>
        </row>
        <row r="1178">
          <cell r="A1178" t="str">
            <v>KHF-00-104265-AA-3341-60120-0000-1</v>
          </cell>
          <cell r="B1178" t="str">
            <v>AIP-PDO-P1701009-T-0761</v>
          </cell>
          <cell r="C1178">
            <v>43416</v>
          </cell>
          <cell r="D1178" t="str">
            <v>KHF-00-104265-AA-3341-60120-0000</v>
          </cell>
          <cell r="E1178" t="str">
            <v>CV OF MR. ASHWINKUMAR K.G - QC INSPECTOR-PIPING WELDING</v>
          </cell>
          <cell r="F1178">
            <v>1</v>
          </cell>
          <cell r="G1178" t="str">
            <v>IFA</v>
          </cell>
        </row>
        <row r="1179">
          <cell r="A1179" t="str">
            <v>KHF-00-104265-RA-8241-51141-0000-1</v>
          </cell>
          <cell r="B1179" t="str">
            <v>AIP-PDO-P1701009-T-0762</v>
          </cell>
          <cell r="C1179">
            <v>43417</v>
          </cell>
          <cell r="D1179" t="str">
            <v>KHF-00-104265-RA-8241-51141-0000</v>
          </cell>
          <cell r="E1179" t="str">
            <v>MATERIAL APPROVAL SHEET FOR FENCING</v>
          </cell>
          <cell r="F1179">
            <v>1</v>
          </cell>
          <cell r="G1179" t="str">
            <v>IFA</v>
          </cell>
        </row>
        <row r="1180">
          <cell r="A1180" t="str">
            <v>KHF-00-104265-BA-6065-00648-0000-1</v>
          </cell>
          <cell r="B1180" t="str">
            <v>AIP-PDO-P1701009-T-0763</v>
          </cell>
          <cell r="C1180">
            <v>43419</v>
          </cell>
          <cell r="D1180" t="str">
            <v>KHF-00-104265-BA-6065-00648-0000</v>
          </cell>
          <cell r="E1180" t="str">
            <v>Welding Procedure Specification (WPS) / PQR-048 (AI-WPS-T-713)</v>
          </cell>
          <cell r="F1180">
            <v>1</v>
          </cell>
          <cell r="G1180" t="str">
            <v>IFR</v>
          </cell>
        </row>
        <row r="1181">
          <cell r="A1181" t="str">
            <v>KHF-00-104265-BA-6065-00649-0000-1</v>
          </cell>
          <cell r="B1181" t="str">
            <v>AIP-PDO-P1701009-T-0763</v>
          </cell>
          <cell r="C1181">
            <v>43419</v>
          </cell>
          <cell r="D1181" t="str">
            <v>KHF-00-104265-BA-6065-00649-0000</v>
          </cell>
          <cell r="E1181" t="str">
            <v>Welding Procedure Specification (WPS) /PQR- 049 (AI-WPS-M-712FW)</v>
          </cell>
          <cell r="F1181">
            <v>1</v>
          </cell>
          <cell r="G1181" t="str">
            <v>IFR</v>
          </cell>
        </row>
        <row r="1182">
          <cell r="A1182" t="str">
            <v>KHF-00-104265-BA-6065-00650-0000-1</v>
          </cell>
          <cell r="B1182" t="str">
            <v>AIP-PDO-P1701009-T-0763</v>
          </cell>
          <cell r="C1182">
            <v>43419</v>
          </cell>
          <cell r="D1182" t="str">
            <v>KHF-00-104265-BA-6065-00650-0000</v>
          </cell>
          <cell r="E1182" t="str">
            <v>Welding Procedure Specification (WPS) /PQR- 050 (AI-WPS-T-713FW)</v>
          </cell>
          <cell r="F1182">
            <v>1</v>
          </cell>
          <cell r="G1182" t="str">
            <v>IFR</v>
          </cell>
        </row>
        <row r="1183">
          <cell r="A1183" t="str">
            <v>KHF-00-104265-AA-3347-30011-0000-1</v>
          </cell>
          <cell r="B1183" t="str">
            <v>AIP-PDO-P1701009-T-0764</v>
          </cell>
          <cell r="C1183">
            <v>43421</v>
          </cell>
          <cell r="D1183" t="str">
            <v>KHF-00-104265-AA-3347-30011-0000</v>
          </cell>
          <cell r="E1183" t="str">
            <v>Minutes of Weekly Review Meeting (Site) No.11</v>
          </cell>
          <cell r="F1183">
            <v>1</v>
          </cell>
          <cell r="G1183" t="str">
            <v>IFI</v>
          </cell>
        </row>
        <row r="1184">
          <cell r="A1184" t="str">
            <v>KHF-00-104265-AA-3347-30012-0000-1</v>
          </cell>
          <cell r="B1184" t="str">
            <v>AIP-PDO-P1701009-T-0764</v>
          </cell>
          <cell r="C1184">
            <v>43421</v>
          </cell>
          <cell r="D1184" t="str">
            <v>KHF-00-104265-AA-3347-30012-0000</v>
          </cell>
          <cell r="E1184" t="str">
            <v>Minutes of Weekly Review Meeting (Site) No.12</v>
          </cell>
          <cell r="F1184">
            <v>1</v>
          </cell>
          <cell r="G1184" t="str">
            <v>IFI</v>
          </cell>
        </row>
        <row r="1185">
          <cell r="A1185" t="str">
            <v>KHF-00-104265-AA-3347-30013-0000-1</v>
          </cell>
          <cell r="B1185" t="str">
            <v>AIP-PDO-P1701009-T-0764</v>
          </cell>
          <cell r="C1185">
            <v>43421</v>
          </cell>
          <cell r="D1185" t="str">
            <v>KHF-00-104265-AA-3347-30013-0000</v>
          </cell>
          <cell r="E1185" t="str">
            <v>Minutes of Weekly Review Meeting (Site) No.13</v>
          </cell>
          <cell r="F1185">
            <v>1</v>
          </cell>
          <cell r="G1185" t="str">
            <v>IFI</v>
          </cell>
        </row>
        <row r="1186">
          <cell r="A1186" t="str">
            <v>KHF-00-104265-AA-3347-30014-0000-1</v>
          </cell>
          <cell r="B1186" t="str">
            <v>AIP-PDO-P1701009-T-0764</v>
          </cell>
          <cell r="C1186">
            <v>43421</v>
          </cell>
          <cell r="D1186" t="str">
            <v>KHF-00-104265-AA-3347-30014-0000</v>
          </cell>
          <cell r="E1186" t="str">
            <v>Minutes of Weekly Review Meeting (Site) No.14</v>
          </cell>
          <cell r="F1186">
            <v>1</v>
          </cell>
          <cell r="G1186" t="str">
            <v>IFI</v>
          </cell>
        </row>
        <row r="1187">
          <cell r="A1187" t="str">
            <v>KHF-00-104265-AA-3347-30015-0000-1</v>
          </cell>
          <cell r="B1187" t="str">
            <v>AIP-PDO-P1701009-T-0764</v>
          </cell>
          <cell r="C1187">
            <v>43421</v>
          </cell>
          <cell r="D1187" t="str">
            <v>KHF-00-104265-AA-3347-30015-0000</v>
          </cell>
          <cell r="E1187" t="str">
            <v>Minutes of Weekly Review Meeting (Site) No.15</v>
          </cell>
          <cell r="F1187">
            <v>1</v>
          </cell>
          <cell r="G1187" t="str">
            <v>IFI</v>
          </cell>
        </row>
        <row r="1188">
          <cell r="A1188" t="str">
            <v>KHF-00-104265-AA-3347-30016-0000-1</v>
          </cell>
          <cell r="B1188" t="str">
            <v>AIP-PDO-P1701009-T-0764</v>
          </cell>
          <cell r="C1188">
            <v>43421</v>
          </cell>
          <cell r="D1188" t="str">
            <v>KHF-00-104265-AA-3347-30016-0000</v>
          </cell>
          <cell r="E1188" t="str">
            <v>Minutes of Weekly Review Meeting (Site) No.16</v>
          </cell>
          <cell r="F1188">
            <v>1</v>
          </cell>
          <cell r="G1188" t="str">
            <v>IFI</v>
          </cell>
        </row>
        <row r="1189">
          <cell r="A1189" t="str">
            <v>KHF-00-104265-AA-3347-30017-0000-1</v>
          </cell>
          <cell r="B1189" t="str">
            <v>AIP-PDO-P1701009-T-0764</v>
          </cell>
          <cell r="C1189">
            <v>43421</v>
          </cell>
          <cell r="D1189" t="str">
            <v>KHF-00-104265-AA-3347-30017-0000</v>
          </cell>
          <cell r="E1189" t="str">
            <v>Minutes of Weekly Review Meeting (Site) No.17</v>
          </cell>
          <cell r="F1189">
            <v>1</v>
          </cell>
          <cell r="G1189" t="str">
            <v>IFI</v>
          </cell>
        </row>
        <row r="1190">
          <cell r="A1190" t="str">
            <v>KHF-00-104265-AA-3347-30018-0000-1</v>
          </cell>
          <cell r="B1190" t="str">
            <v>AIP-PDO-P1701009-T-0764</v>
          </cell>
          <cell r="C1190">
            <v>43421</v>
          </cell>
          <cell r="D1190" t="str">
            <v>KHF-00-104265-AA-3347-30018-0000</v>
          </cell>
          <cell r="E1190" t="str">
            <v>Minutes of Weekly Review Meeting (Site) No.18</v>
          </cell>
          <cell r="F1190">
            <v>1</v>
          </cell>
          <cell r="G1190" t="str">
            <v>IFI</v>
          </cell>
        </row>
        <row r="1191">
          <cell r="A1191" t="str">
            <v>KHF-00-104265-AA-3347-30019-0000-1</v>
          </cell>
          <cell r="B1191" t="str">
            <v>AIP-PDO-P1701009-T-0764</v>
          </cell>
          <cell r="C1191">
            <v>43421</v>
          </cell>
          <cell r="D1191" t="str">
            <v>KHF-00-104265-AA-3347-30019-0000</v>
          </cell>
          <cell r="E1191" t="str">
            <v>Minutes of Weekly Review Meeting (Site) No.19</v>
          </cell>
          <cell r="F1191">
            <v>1</v>
          </cell>
          <cell r="G1191" t="str">
            <v>IFI</v>
          </cell>
        </row>
        <row r="1192">
          <cell r="A1192" t="str">
            <v>KHF-00-104265-AA-3347-30020-0000-1</v>
          </cell>
          <cell r="B1192" t="str">
            <v>AIP-PDO-P1701009-T-0764</v>
          </cell>
          <cell r="C1192">
            <v>43421</v>
          </cell>
          <cell r="D1192" t="str">
            <v>KHF-00-104265-AA-3347-30020-0000</v>
          </cell>
          <cell r="E1192" t="str">
            <v>Minutes of Weekly Review Meeting (Site) No.20</v>
          </cell>
          <cell r="F1192">
            <v>1</v>
          </cell>
          <cell r="G1192" t="str">
            <v>IFI</v>
          </cell>
        </row>
        <row r="1193">
          <cell r="A1193" t="str">
            <v>KHF-00-104265-AA-3347-30021-0000-1</v>
          </cell>
          <cell r="B1193" t="str">
            <v>AIP-PDO-P1701009-T-0764</v>
          </cell>
          <cell r="C1193">
            <v>43421</v>
          </cell>
          <cell r="D1193" t="str">
            <v>KHF-00-104265-AA-3347-30021-0000</v>
          </cell>
          <cell r="E1193" t="str">
            <v>Minutes of Weekly Review Meeting (Site) No.21</v>
          </cell>
          <cell r="F1193">
            <v>1</v>
          </cell>
          <cell r="G1193" t="str">
            <v>IFI</v>
          </cell>
        </row>
        <row r="1194">
          <cell r="A1194" t="str">
            <v>KHF-00-104265-AA-3347-30022-0000-1</v>
          </cell>
          <cell r="B1194" t="str">
            <v>AIP-PDO-P1701009-T-0764</v>
          </cell>
          <cell r="C1194">
            <v>43421</v>
          </cell>
          <cell r="D1194" t="str">
            <v>KHF-00-104265-AA-3347-30022-0000</v>
          </cell>
          <cell r="E1194" t="str">
            <v>Minutes of Weekly Review Meeting (Site) No.22</v>
          </cell>
          <cell r="F1194">
            <v>1</v>
          </cell>
          <cell r="G1194" t="str">
            <v>IFI</v>
          </cell>
        </row>
        <row r="1195">
          <cell r="A1195" t="str">
            <v>KHF-00-104265-AA-3347-30023-0000-1</v>
          </cell>
          <cell r="B1195" t="str">
            <v>AIP-PDO-P1701009-T-0764</v>
          </cell>
          <cell r="C1195">
            <v>43421</v>
          </cell>
          <cell r="D1195" t="str">
            <v>KHF-00-104265-AA-3347-30023-0000</v>
          </cell>
          <cell r="E1195" t="str">
            <v>Minutes of Weekly Review Meeting (Site) No.23</v>
          </cell>
          <cell r="F1195">
            <v>1</v>
          </cell>
          <cell r="G1195" t="str">
            <v>IFI</v>
          </cell>
        </row>
        <row r="1196">
          <cell r="A1196" t="str">
            <v>KHF-00-104265-CX-5880-10052-0000-1</v>
          </cell>
          <cell r="B1196" t="str">
            <v>AIP-PDO-P1701009-T-0765</v>
          </cell>
          <cell r="C1196">
            <v>43422</v>
          </cell>
          <cell r="D1196" t="str">
            <v>KHF-00-104265-CX-5880-10052-0000</v>
          </cell>
          <cell r="E1196" t="str">
            <v>GTG BUILDING ROOF SLAB CONCRETE POURING PLAN</v>
          </cell>
          <cell r="F1196">
            <v>1</v>
          </cell>
          <cell r="G1196" t="str">
            <v>IFI</v>
          </cell>
        </row>
        <row r="1197">
          <cell r="A1197" t="str">
            <v>KHF-00-104265-AA-6944-10054-0000-1</v>
          </cell>
          <cell r="B1197" t="str">
            <v>AIP-PDO-P1701009-T-0766</v>
          </cell>
          <cell r="C1197">
            <v>43422</v>
          </cell>
          <cell r="D1197" t="str">
            <v>KHF-00-104265-AA-6944-10054-0000</v>
          </cell>
          <cell r="E1197" t="str">
            <v>Weekly Progress Report No.054</v>
          </cell>
          <cell r="F1197">
            <v>1</v>
          </cell>
          <cell r="G1197" t="str">
            <v>IFI</v>
          </cell>
        </row>
        <row r="1198">
          <cell r="A1198" t="str">
            <v>KHF-00-104265-AA-3341-60121-0000-1</v>
          </cell>
          <cell r="B1198" t="str">
            <v>AIP-PDO-P1701009-T-0767</v>
          </cell>
          <cell r="C1198">
            <v>43422</v>
          </cell>
          <cell r="D1198" t="str">
            <v>KHF-00-104265-AA-3341-60121-0000</v>
          </cell>
          <cell r="E1198" t="str">
            <v>CV OF MR. HAMAD IQBAL - LABORATORY TECHNICIAN-CIVIL (Element Material Technology ME Ltd LLC)</v>
          </cell>
          <cell r="F1198">
            <v>1</v>
          </cell>
          <cell r="G1198" t="str">
            <v>IFA</v>
          </cell>
        </row>
        <row r="1199">
          <cell r="A1199" t="str">
            <v>rejected by PDO</v>
          </cell>
          <cell r="B1199" t="str">
            <v>AIP-PDO-P1701009-T-0768</v>
          </cell>
          <cell r="C1199">
            <v>43422</v>
          </cell>
          <cell r="D1199" t="str">
            <v>KHF-00-104265-RA-8241-51046-0000</v>
          </cell>
          <cell r="E1199" t="str">
            <v>MATERIAL APPROVAL SHEET FOR PANIC LATCH &amp; OUTSIDE ACCESS DEVICE</v>
          </cell>
          <cell r="F1199">
            <v>1</v>
          </cell>
          <cell r="G1199" t="str">
            <v>Rejected by PDO</v>
          </cell>
        </row>
        <row r="1200">
          <cell r="A1200" t="str">
            <v>rejected by PDO</v>
          </cell>
          <cell r="B1200" t="str">
            <v>AIP-PDO-P1701009-T-0768</v>
          </cell>
          <cell r="C1200">
            <v>43422</v>
          </cell>
          <cell r="D1200" t="str">
            <v>KHF-00-104265-RA-8241-51143-0000</v>
          </cell>
          <cell r="E1200" t="str">
            <v>MATERIAL APPROVAL SHEET FOR LUGS FOR INSTRUMENTATION AND TELECOM WORKS</v>
          </cell>
          <cell r="F1200">
            <v>1</v>
          </cell>
          <cell r="G1200" t="str">
            <v>Rejected by PDO</v>
          </cell>
        </row>
        <row r="1201">
          <cell r="A1201" t="str">
            <v>rejected by PDO</v>
          </cell>
          <cell r="B1201" t="str">
            <v>AIP-PDO-P1701009-T-0768</v>
          </cell>
          <cell r="C1201">
            <v>43422</v>
          </cell>
          <cell r="D1201" t="str">
            <v>KHF-00-104265-RA-8241-51144-0000</v>
          </cell>
          <cell r="E1201" t="str">
            <v>MATERIAL APPROVAL SHEET FOR CABLE TIES FOR INSTRUMENTATION AND TELECOM WORKS</v>
          </cell>
          <cell r="F1201">
            <v>1</v>
          </cell>
          <cell r="G1201" t="str">
            <v>Rejected by PDO</v>
          </cell>
        </row>
        <row r="1202">
          <cell r="A1202" t="str">
            <v>rejected by PDO</v>
          </cell>
          <cell r="B1202" t="str">
            <v>AIP-PDO-P1701009-T-0768</v>
          </cell>
          <cell r="C1202">
            <v>43422</v>
          </cell>
          <cell r="D1202" t="str">
            <v>KHF-00-104265-RA-8241-51145-0000</v>
          </cell>
          <cell r="E1202" t="str">
            <v>MATERIAL APPROVAL SHEET FOR CABLE MARKER &amp; CARRIER STRIP FOR INSTRUMENTATION AND TELECOM WORKS</v>
          </cell>
          <cell r="F1202">
            <v>1</v>
          </cell>
          <cell r="G1202" t="str">
            <v>Rejected by PDO</v>
          </cell>
        </row>
        <row r="1203">
          <cell r="A1203" t="str">
            <v>rejected by PDO</v>
          </cell>
          <cell r="B1203" t="str">
            <v>AIP-PDO-P1701009-T-0768</v>
          </cell>
          <cell r="C1203">
            <v>43422</v>
          </cell>
          <cell r="D1203" t="str">
            <v>KHF-00-104265-RA-8241-51147-0000</v>
          </cell>
          <cell r="E1203" t="str">
            <v>Material Approval Sheet for Indoor lighting junction boxes</v>
          </cell>
          <cell r="F1203">
            <v>1</v>
          </cell>
          <cell r="G1203" t="str">
            <v>Rejected by PDO</v>
          </cell>
        </row>
        <row r="1204">
          <cell r="A1204" t="str">
            <v>rejected by PDO</v>
          </cell>
          <cell r="B1204" t="str">
            <v>AIP-PDO-P1701009-T-0769</v>
          </cell>
          <cell r="C1204">
            <v>43422</v>
          </cell>
          <cell r="D1204" t="str">
            <v>KHF-00-104265-RA-8241-51143-0000</v>
          </cell>
          <cell r="E1204" t="str">
            <v>MATERIAL APPROVAL SHEET FOR LUGS FOR INSTRUMENTATION AND TELECOM WORKS</v>
          </cell>
          <cell r="F1204">
            <v>1</v>
          </cell>
          <cell r="G1204" t="str">
            <v>Rejected by PDO</v>
          </cell>
        </row>
        <row r="1205">
          <cell r="A1205" t="str">
            <v>rejected by PDO</v>
          </cell>
          <cell r="B1205" t="str">
            <v>AIP-PDO-P1701009-T-0769</v>
          </cell>
          <cell r="C1205">
            <v>43422</v>
          </cell>
          <cell r="D1205" t="str">
            <v>KHF-00-104265-RA-8241-51144-0000</v>
          </cell>
          <cell r="E1205" t="str">
            <v>MATERIAL APPROVAL SHEET FOR CABLE TIES FOR INSTRUMENTATION AND TELECOM WORKS</v>
          </cell>
          <cell r="F1205">
            <v>1</v>
          </cell>
          <cell r="G1205" t="str">
            <v>Rejected by PDO</v>
          </cell>
        </row>
        <row r="1206">
          <cell r="A1206" t="str">
            <v>rejected by PDO</v>
          </cell>
          <cell r="B1206" t="str">
            <v>AIP-PDO-P1701009-T-0769</v>
          </cell>
          <cell r="C1206">
            <v>43422</v>
          </cell>
          <cell r="D1206" t="str">
            <v>KHF-00-104265-RA-8241-51145-0000</v>
          </cell>
          <cell r="E1206" t="str">
            <v>MATERIAL APPROVAL SHEET FOR CABLE MARKER &amp; CARRIER STRIP FOR INSTRUMENTATION AND TELECOM WORKS</v>
          </cell>
          <cell r="F1206">
            <v>1</v>
          </cell>
          <cell r="G1206" t="str">
            <v>Rejected by PDO</v>
          </cell>
        </row>
        <row r="1207">
          <cell r="A1207" t="str">
            <v>rejected by PDO</v>
          </cell>
          <cell r="B1207" t="str">
            <v>AIP-PDO-P1701009-T-0769</v>
          </cell>
          <cell r="C1207">
            <v>43422</v>
          </cell>
          <cell r="D1207" t="str">
            <v>KHF-00-104265-RA-8241-51146-0000</v>
          </cell>
          <cell r="E1207" t="str">
            <v>MATERIAL APPROVAL SHEET FOR PANIC LATCH &amp; OUTSIDE ACCESS DEVICE</v>
          </cell>
          <cell r="F1207">
            <v>1</v>
          </cell>
          <cell r="G1207" t="str">
            <v>Rejected by PDO</v>
          </cell>
        </row>
        <row r="1208">
          <cell r="A1208" t="str">
            <v>rejected by PDO</v>
          </cell>
          <cell r="B1208" t="str">
            <v>AIP-PDO-P1701009-T-0769</v>
          </cell>
          <cell r="C1208">
            <v>43422</v>
          </cell>
          <cell r="D1208" t="str">
            <v>KHF-00-104265-RA-8241-51147-0000</v>
          </cell>
          <cell r="E1208" t="str">
            <v>Material Approval Sheet for Indoor lighting junction boxes</v>
          </cell>
          <cell r="F1208">
            <v>1</v>
          </cell>
          <cell r="G1208" t="str">
            <v>Rejected by PDO</v>
          </cell>
        </row>
        <row r="1209">
          <cell r="A1209" t="str">
            <v>KHF-00-104265-AA-3347-30024-0000-1</v>
          </cell>
          <cell r="B1209" t="str">
            <v>AIP-PDO-P1701009-T-0770</v>
          </cell>
          <cell r="C1209">
            <v>43422</v>
          </cell>
          <cell r="D1209" t="str">
            <v>KHF-00-104265-AA-3347-30024-0000</v>
          </cell>
          <cell r="E1209" t="str">
            <v>MINUTES OF WEEKLY REVIEW MEETING (SITE) NO.24</v>
          </cell>
          <cell r="F1209">
            <v>1</v>
          </cell>
          <cell r="G1209" t="str">
            <v>IFI</v>
          </cell>
        </row>
        <row r="1210">
          <cell r="A1210" t="str">
            <v>KHF-00-104265-RA-8241-51143-0000-1</v>
          </cell>
          <cell r="B1210" t="str">
            <v>AIP-PDO-P1701009-T-0771</v>
          </cell>
          <cell r="C1210">
            <v>43422</v>
          </cell>
          <cell r="D1210" t="str">
            <v>KHF-00-104265-RA-8241-51143-0000</v>
          </cell>
          <cell r="E1210" t="str">
            <v>MATERIAL APPROVAL SHEET FOR LUGS FOR INSTRUMENTATION AND TELECOM WORKS</v>
          </cell>
          <cell r="F1210">
            <v>1</v>
          </cell>
          <cell r="G1210" t="str">
            <v>IFA</v>
          </cell>
        </row>
        <row r="1211">
          <cell r="A1211" t="str">
            <v>KHF-00-104265-RA-8241-51144-0000-1</v>
          </cell>
          <cell r="B1211" t="str">
            <v>AIP-PDO-P1701009-T-0771</v>
          </cell>
          <cell r="C1211">
            <v>43422</v>
          </cell>
          <cell r="D1211" t="str">
            <v>KHF-00-104265-RA-8241-51144-0000</v>
          </cell>
          <cell r="E1211" t="str">
            <v>MATERIAL APPROVAL SHEET FOR CABLE TIES FOR INSTRUMENTATION AND TELECOM WORKS</v>
          </cell>
          <cell r="F1211">
            <v>1</v>
          </cell>
          <cell r="G1211" t="str">
            <v>IFA</v>
          </cell>
        </row>
        <row r="1212">
          <cell r="A1212" t="str">
            <v>KHF-00-104265-RA-8241-51145-0000-1</v>
          </cell>
          <cell r="B1212" t="str">
            <v>AIP-PDO-P1701009-T-0771</v>
          </cell>
          <cell r="C1212">
            <v>43422</v>
          </cell>
          <cell r="D1212" t="str">
            <v>KHF-00-104265-RA-8241-51145-0000</v>
          </cell>
          <cell r="E1212" t="str">
            <v>MATERIAL APPROVAL SHEET FOR CABLE MARKER &amp; CARRIER STRIP FOR INSTRUMENTATION AND TELECOM WORKS</v>
          </cell>
          <cell r="F1212">
            <v>1</v>
          </cell>
          <cell r="G1212" t="str">
            <v>IFA</v>
          </cell>
        </row>
        <row r="1213">
          <cell r="A1213" t="str">
            <v>KHF-00-104265-RA-8241-51146-0000-1</v>
          </cell>
          <cell r="B1213" t="str">
            <v>AIP-PDO-P1701009-T-0771</v>
          </cell>
          <cell r="C1213">
            <v>43422</v>
          </cell>
          <cell r="D1213" t="str">
            <v>KHF-00-104265-RA-8241-51146-0000</v>
          </cell>
          <cell r="E1213" t="str">
            <v>MATERIAL APPROVAL SHEET FOR PANIC LATCH &amp; OUTSIDE ACCESS DEVICE</v>
          </cell>
          <cell r="F1213">
            <v>1</v>
          </cell>
          <cell r="G1213" t="str">
            <v>IFA</v>
          </cell>
        </row>
        <row r="1214">
          <cell r="A1214" t="str">
            <v>KHF-00-104265-RA-8241-51147-0000-1</v>
          </cell>
          <cell r="B1214" t="str">
            <v>AIP-PDO-P1701009-T-0771</v>
          </cell>
          <cell r="C1214">
            <v>43422</v>
          </cell>
          <cell r="D1214" t="str">
            <v>KHF-00-104265-RA-8241-51147-0000</v>
          </cell>
          <cell r="E1214" t="str">
            <v>Material Approval Sheet for Indoor lighting junction boxes</v>
          </cell>
          <cell r="F1214">
            <v>1</v>
          </cell>
          <cell r="G1214" t="str">
            <v>IFA</v>
          </cell>
        </row>
        <row r="1215">
          <cell r="A1215" t="str">
            <v>KHF-00-104265-MP-1206-01101-0000-1</v>
          </cell>
          <cell r="B1215" t="str">
            <v>AIP-PDO-P1701009-T-0772</v>
          </cell>
          <cell r="C1215">
            <v>43423</v>
          </cell>
          <cell r="D1215" t="str">
            <v>KHF-00-104265-MP-1206-01101-0000</v>
          </cell>
          <cell r="E1215" t="str">
            <v>HDPE Liner Design Calculation - (10”Sch30 Water - 65deg C)</v>
          </cell>
          <cell r="F1215">
            <v>1</v>
          </cell>
          <cell r="G1215" t="str">
            <v>IFR</v>
          </cell>
        </row>
        <row r="1216">
          <cell r="A1216" t="str">
            <v>KHF-00-104265-QA-6050-00109-0000-3</v>
          </cell>
          <cell r="B1216" t="str">
            <v>AIP-PDO-P1701009-T-0773</v>
          </cell>
          <cell r="C1216">
            <v>43423</v>
          </cell>
          <cell r="D1216" t="str">
            <v>KHF-00-104265-QA-6050-00109-0000</v>
          </cell>
          <cell r="E1216" t="str">
            <v xml:space="preserve">Quality Control Plan for Application of Stopaq </v>
          </cell>
          <cell r="F1216">
            <v>3</v>
          </cell>
          <cell r="G1216" t="str">
            <v>IFA</v>
          </cell>
        </row>
        <row r="1217">
          <cell r="A1217" t="str">
            <v>KHF-00-104265-LA-5009-00118-0000-2</v>
          </cell>
          <cell r="B1217" t="str">
            <v>AIP-PDO-P1701009-T-0774</v>
          </cell>
          <cell r="C1217">
            <v>43423</v>
          </cell>
          <cell r="D1217" t="str">
            <v>KHF-00-104265-LA-5009-00118-0000</v>
          </cell>
          <cell r="E1217" t="str">
            <v>MAS for 3" G.I Pipe (Class L2 ) For Pipeline Marker Post-Off Plot</v>
          </cell>
          <cell r="F1217">
            <v>2</v>
          </cell>
          <cell r="G1217" t="str">
            <v>IFA</v>
          </cell>
        </row>
        <row r="1218">
          <cell r="A1218" t="str">
            <v>rejected by PDO</v>
          </cell>
          <cell r="B1218" t="str">
            <v>AIP-PDO-P1701009-T-0775</v>
          </cell>
          <cell r="C1218">
            <v>43423</v>
          </cell>
          <cell r="D1218" t="str">
            <v>KHF-00-104265-QA-5733-23008-0000</v>
          </cell>
          <cell r="E1218" t="str">
            <v>Inspection &amp; Test Plan for Installation of Air Cooled Heat Exchanger</v>
          </cell>
          <cell r="F1218">
            <v>1</v>
          </cell>
          <cell r="G1218" t="str">
            <v>IFR</v>
          </cell>
        </row>
        <row r="1219">
          <cell r="A1219" t="str">
            <v>KHF-00-104265-QA-5733-22008-0000-1</v>
          </cell>
          <cell r="B1219" t="str">
            <v>AIP-PDO-P1701009-T-0776</v>
          </cell>
          <cell r="C1219">
            <v>43423</v>
          </cell>
          <cell r="D1219" t="str">
            <v>KHF-00-104265-QA-5733-22008-0000</v>
          </cell>
          <cell r="E1219" t="str">
            <v>Inspection &amp; Test Plan for Installation of Air Cooled Heat Exchanger</v>
          </cell>
          <cell r="F1219">
            <v>1</v>
          </cell>
          <cell r="G1219" t="str">
            <v>IFR</v>
          </cell>
        </row>
        <row r="1220">
          <cell r="A1220" t="str">
            <v>KHF-00-104265-RA-6038-00910-0000-1</v>
          </cell>
          <cell r="B1220" t="str">
            <v>AIP-PDO-P1701009-T-0777</v>
          </cell>
          <cell r="C1220">
            <v>43423</v>
          </cell>
          <cell r="D1220" t="str">
            <v>KHF-00-104265-RA-6038-00910-0000</v>
          </cell>
          <cell r="E1220" t="str">
            <v>Procedure for Internal X-Ray Radiographic Testing of Pipelines</v>
          </cell>
          <cell r="F1220">
            <v>1</v>
          </cell>
          <cell r="G1220" t="str">
            <v>IFR</v>
          </cell>
        </row>
        <row r="1221">
          <cell r="A1221" t="str">
            <v>KHF-00-104265-RA-6038-00911-0000-1</v>
          </cell>
          <cell r="B1221" t="str">
            <v>AIP-PDO-P1701009-T-0777</v>
          </cell>
          <cell r="C1221">
            <v>43423</v>
          </cell>
          <cell r="D1221" t="str">
            <v>KHF-00-104265-RA-6038-00911-0000</v>
          </cell>
          <cell r="E1221" t="str">
            <v>Procedure for External X-Ray Radiographic Testing of Pipelines</v>
          </cell>
          <cell r="F1221">
            <v>1</v>
          </cell>
          <cell r="G1221" t="str">
            <v>IFR</v>
          </cell>
        </row>
        <row r="1222">
          <cell r="A1222" t="str">
            <v>KHF-00-104265-RA-6038-00912-0000-1</v>
          </cell>
          <cell r="B1222" t="str">
            <v>AIP-PDO-P1701009-T-0777</v>
          </cell>
          <cell r="C1222">
            <v>43423</v>
          </cell>
          <cell r="D1222" t="str">
            <v>KHF-00-104265-RA-6038-00912-0000</v>
          </cell>
          <cell r="E1222" t="str">
            <v>Procedure for Magnetic Particle Testing for Pipelines</v>
          </cell>
          <cell r="F1222">
            <v>1</v>
          </cell>
          <cell r="G1222" t="str">
            <v>IFR</v>
          </cell>
        </row>
        <row r="1223">
          <cell r="A1223" t="str">
            <v>KHF-00-104265-RA-6038-00913-0000-1</v>
          </cell>
          <cell r="B1223" t="str">
            <v>AIP-PDO-P1701009-T-0777</v>
          </cell>
          <cell r="C1223">
            <v>43423</v>
          </cell>
          <cell r="D1223" t="str">
            <v>KHF-00-104265-RA-6038-00913-0000</v>
          </cell>
          <cell r="E1223" t="str">
            <v>Procedure for Ultrasonic Testing for Lamination for Pipelines</v>
          </cell>
          <cell r="F1223">
            <v>1</v>
          </cell>
          <cell r="G1223" t="str">
            <v>IFR</v>
          </cell>
        </row>
        <row r="1224">
          <cell r="A1224" t="str">
            <v>KHF-00-104265-RA-6038-00914-0000-1</v>
          </cell>
          <cell r="B1224" t="str">
            <v>AIP-PDO-P1701009-T-0777</v>
          </cell>
          <cell r="C1224">
            <v>43423</v>
          </cell>
          <cell r="D1224" t="str">
            <v>KHF-00-104265-RA-6038-00914-0000</v>
          </cell>
          <cell r="E1224" t="str">
            <v>Procedure for Ultrasonic Testing of Pipeline Welds</v>
          </cell>
          <cell r="F1224">
            <v>1</v>
          </cell>
          <cell r="G1224" t="str">
            <v>IFR</v>
          </cell>
        </row>
        <row r="1225">
          <cell r="A1225" t="str">
            <v>rejected by PDO</v>
          </cell>
          <cell r="B1225" t="str">
            <v>AIP-PDO-P1701009-T-0778</v>
          </cell>
          <cell r="C1225">
            <v>43429</v>
          </cell>
          <cell r="D1225" t="str">
            <v>KHF-00-104265-RA-8241-51148-0000</v>
          </cell>
          <cell r="E1225" t="str">
            <v>MATERIAL APPROVAL SHEET FOR CABLE RAYS/CHANNEL SUPPORT WITH ACCESSORIES / LADDER &amp; PERFORATED (VENDOR-3)</v>
          </cell>
          <cell r="F1225">
            <v>1</v>
          </cell>
          <cell r="G1225" t="str">
            <v>Rejected by PDO, email from PDO DCC on 25-11-18</v>
          </cell>
        </row>
        <row r="1226">
          <cell r="A1226" t="str">
            <v>KHF-00-104265-BA-6070-00117-0000-4</v>
          </cell>
          <cell r="B1226" t="str">
            <v>AIP-PDO-P1701009-T-0779</v>
          </cell>
          <cell r="C1226">
            <v>43430</v>
          </cell>
          <cell r="D1226" t="str">
            <v>KHF-00-104265-BA-6070-00117-0000</v>
          </cell>
          <cell r="E1226" t="str">
            <v>Method Statement for GRE material transportation, handling, storage and control</v>
          </cell>
          <cell r="F1226">
            <v>4</v>
          </cell>
          <cell r="G1226" t="str">
            <v>IFA</v>
          </cell>
        </row>
        <row r="1227">
          <cell r="A1227" t="str">
            <v>KHF-00-104265-MP-6180-00139-0000-2</v>
          </cell>
          <cell r="B1227" t="str">
            <v>AIP-PDO-P1701009-T-0779</v>
          </cell>
          <cell r="C1227">
            <v>43430</v>
          </cell>
          <cell r="D1227" t="str">
            <v>KHF-00-104265-MP-6180-00139-0000</v>
          </cell>
          <cell r="E1227" t="str">
            <v>Method Statement for Flange Tightening for GRE Pipes/Fittings (Threaded)</v>
          </cell>
          <cell r="F1227">
            <v>2</v>
          </cell>
          <cell r="G1227" t="str">
            <v>IFA</v>
          </cell>
        </row>
        <row r="1228">
          <cell r="A1228" t="str">
            <v>KHF-00-104265-MP-6180-00141-0000-2</v>
          </cell>
          <cell r="B1228" t="str">
            <v>AIP-PDO-P1701009-T-0779</v>
          </cell>
          <cell r="C1228">
            <v>43430</v>
          </cell>
          <cell r="D1228" t="str">
            <v>KHF-00-104265-MP-6180-00141-0000</v>
          </cell>
          <cell r="E1228" t="str">
            <v>Method Statement for Road &amp; Wadi Crossing of GRE Pipeline (Threaded)</v>
          </cell>
          <cell r="F1228">
            <v>2</v>
          </cell>
          <cell r="G1228" t="str">
            <v>IFA</v>
          </cell>
        </row>
        <row r="1229">
          <cell r="A1229" t="str">
            <v>KHF-00-104265-MP-6180-00142-0000-2</v>
          </cell>
          <cell r="B1229" t="str">
            <v>AIP-PDO-P1701009-T-0779</v>
          </cell>
          <cell r="C1229">
            <v>43430</v>
          </cell>
          <cell r="D1229" t="str">
            <v>KHF-00-104265-MP-6180-00142-0000</v>
          </cell>
          <cell r="E1229" t="str">
            <v>Method Statement for Trenching, Post Padding &amp; Backfilling of GRE Pipeline (Threaded)</v>
          </cell>
          <cell r="F1229">
            <v>2</v>
          </cell>
          <cell r="G1229" t="str">
            <v>IFA</v>
          </cell>
        </row>
        <row r="1230">
          <cell r="A1230" t="str">
            <v>KHF-00-104265-BA-6070-42006-0000-1</v>
          </cell>
          <cell r="B1230" t="str">
            <v>AIP-PDO-P1701009-T-0780</v>
          </cell>
          <cell r="C1230">
            <v>43429</v>
          </cell>
          <cell r="D1230" t="str">
            <v>KHF-00-104265-BA-6070-42006-0000</v>
          </cell>
          <cell r="E1230" t="str">
            <v>METHOD STATEMENT FOR FLANGE TIGHTENING</v>
          </cell>
          <cell r="F1230">
            <v>1</v>
          </cell>
          <cell r="G1230" t="str">
            <v>IFR</v>
          </cell>
        </row>
        <row r="1231">
          <cell r="A1231" t="str">
            <v>KHF-00-104265-BA-6070-42007-0000-1</v>
          </cell>
          <cell r="B1231" t="str">
            <v>AIP-PDO-P1701009-T-0780</v>
          </cell>
          <cell r="C1231">
            <v>43429</v>
          </cell>
          <cell r="D1231" t="str">
            <v>KHF-00-104265-BA-6070-42007-0000</v>
          </cell>
          <cell r="E1231" t="str">
            <v>METHOD STATEMENT FOR WELDING OF CS &amp; LTCS PIPING</v>
          </cell>
          <cell r="F1231">
            <v>1</v>
          </cell>
          <cell r="G1231" t="str">
            <v>IFR</v>
          </cell>
        </row>
        <row r="1232">
          <cell r="A1232" t="str">
            <v>KHF-00-104265-BA-6070-42008-0000-1</v>
          </cell>
          <cell r="B1232" t="str">
            <v>AIP-PDO-P1701009-T-0780</v>
          </cell>
          <cell r="C1232">
            <v>43429</v>
          </cell>
          <cell r="D1232" t="str">
            <v>KHF-00-104265-BA-6070-42008-0000</v>
          </cell>
          <cell r="E1232" t="str">
            <v>METHOD STATEMENT FOR WELDING OF SS &amp; ALLOY 825 PIPING</v>
          </cell>
          <cell r="F1232">
            <v>1</v>
          </cell>
          <cell r="G1232" t="str">
            <v>IFR</v>
          </cell>
        </row>
        <row r="1233">
          <cell r="A1233" t="str">
            <v>KHF-00-104265-BA-6070-42009-0000-1</v>
          </cell>
          <cell r="B1233" t="str">
            <v>AIP-PDO-P1701009-T-0780</v>
          </cell>
          <cell r="C1233">
            <v>43429</v>
          </cell>
          <cell r="D1233" t="str">
            <v>KHF-00-104265-BA-6070-42009-0000</v>
          </cell>
          <cell r="E1233" t="str">
            <v>Method of Statement for Fabrication &amp; Welding of Steel Structures</v>
          </cell>
          <cell r="F1233">
            <v>1</v>
          </cell>
          <cell r="G1233" t="str">
            <v>IFR</v>
          </cell>
        </row>
        <row r="1234">
          <cell r="A1234" t="str">
            <v>KHF-00-104265-AA-6944-10055-0000-1</v>
          </cell>
          <cell r="B1234" t="str">
            <v>AIP-PDO-P1701009-T-0781</v>
          </cell>
          <cell r="C1234">
            <v>43429</v>
          </cell>
          <cell r="D1234" t="str">
            <v>KHF-00-104265-AA-6944-10055-0000</v>
          </cell>
          <cell r="E1234" t="str">
            <v>Weekly Progress Report No.55</v>
          </cell>
          <cell r="F1234">
            <v>1</v>
          </cell>
          <cell r="G1234" t="str">
            <v>IFI</v>
          </cell>
        </row>
        <row r="1235">
          <cell r="A1235" t="str">
            <v>KHF-00-104265-AA-3341-60122-0000-1</v>
          </cell>
          <cell r="B1235" t="str">
            <v>AIP-PDO-P1701009-T-0782</v>
          </cell>
          <cell r="C1235">
            <v>43429</v>
          </cell>
          <cell r="D1235" t="str">
            <v>KHF-00-104265-AA-3341-60122-0000</v>
          </cell>
          <cell r="E1235" t="str">
            <v>CV OF MR. ABISH SUKUMARAN - MALE NURSE</v>
          </cell>
          <cell r="F1235">
            <v>1</v>
          </cell>
          <cell r="G1235" t="str">
            <v>IFA</v>
          </cell>
        </row>
        <row r="1236">
          <cell r="A1236" t="str">
            <v>KHF-00-104265-BA-6065-00651-0000-1</v>
          </cell>
          <cell r="B1236" t="str">
            <v>AIP-PDO-P1701009-T-0783</v>
          </cell>
          <cell r="C1236">
            <v>43430</v>
          </cell>
          <cell r="D1236" t="str">
            <v>KHF-00-104265-BA-6065-00651-0000</v>
          </cell>
          <cell r="E1236" t="str">
            <v>Welding Procedure Specification (WPS) /PQR- 051 (AI-WPS-M-720)</v>
          </cell>
          <cell r="F1236">
            <v>1</v>
          </cell>
          <cell r="G1236" t="str">
            <v>IFR</v>
          </cell>
        </row>
        <row r="1237">
          <cell r="A1237" t="str">
            <v>KHF-00-104265-BA-6070-42010-0000-1</v>
          </cell>
          <cell r="B1237" t="str">
            <v>AIP-PDO-P1701009-T-0784</v>
          </cell>
          <cell r="C1237">
            <v>43430</v>
          </cell>
          <cell r="D1237" t="str">
            <v>KHF-00-104265-BA-6070-42010-0000</v>
          </cell>
          <cell r="E1237" t="str">
            <v>METHOD STATEMENT FOR HYDROSTATIC TESTING OF PIPELINE VALVES</v>
          </cell>
          <cell r="F1237">
            <v>1</v>
          </cell>
          <cell r="G1237" t="str">
            <v>IFR</v>
          </cell>
        </row>
        <row r="1238">
          <cell r="A1238" t="str">
            <v>KHF-00-104265-BA-6070-42011-0000-1</v>
          </cell>
          <cell r="B1238" t="str">
            <v>AIP-PDO-P1701009-T-0784</v>
          </cell>
          <cell r="C1238">
            <v>43430</v>
          </cell>
          <cell r="D1238" t="str">
            <v>KHF-00-104265-BA-6070-42011-0000</v>
          </cell>
          <cell r="E1238" t="str">
            <v>METHOD STATEMENT FOR ABOVE GROUND PIPELINE FABRICATION AND INSTALLAION</v>
          </cell>
          <cell r="F1238">
            <v>1</v>
          </cell>
          <cell r="G1238" t="str">
            <v>IFR</v>
          </cell>
        </row>
        <row r="1239">
          <cell r="A1239" t="str">
            <v>KHF-00-104265-BA-6070-42012-0000-1</v>
          </cell>
          <cell r="B1239" t="str">
            <v>AIP-PDO-P1701009-T-0784</v>
          </cell>
          <cell r="C1239">
            <v>43430</v>
          </cell>
          <cell r="D1239" t="str">
            <v>KHF-00-104265-BA-6070-42012-0000</v>
          </cell>
          <cell r="E1239" t="str">
            <v>METHOD STATEMENT FOR PIPING INSTALLATION</v>
          </cell>
          <cell r="F1239">
            <v>1</v>
          </cell>
          <cell r="G1239" t="str">
            <v>IFR</v>
          </cell>
        </row>
        <row r="1240">
          <cell r="A1240" t="str">
            <v>KHF-00-104265-BA-6070-00150-0000-1</v>
          </cell>
          <cell r="B1240" t="str">
            <v>AIP-PDO-P1701009-T-0785</v>
          </cell>
          <cell r="C1240">
            <v>43430</v>
          </cell>
          <cell r="D1240" t="str">
            <v>KHF-00-104265-BA-6070-00150-0000</v>
          </cell>
          <cell r="E1240" t="str">
            <v>Method Statement for Concrete Works for GRE Pipeline (Split Casing)</v>
          </cell>
          <cell r="F1240">
            <v>1</v>
          </cell>
          <cell r="G1240" t="str">
            <v>IFA</v>
          </cell>
        </row>
        <row r="1241">
          <cell r="A1241" t="str">
            <v>KHF-00-104265-AA-3341-60123-0000-1</v>
          </cell>
          <cell r="B1241" t="str">
            <v>AIP-PDO-P1701009-T-0786</v>
          </cell>
          <cell r="C1241">
            <v>43430</v>
          </cell>
          <cell r="D1241" t="str">
            <v>KHF-00-104265-AA-3341-60123-0000</v>
          </cell>
          <cell r="E1241" t="str">
            <v>CV OF MR. BALAKRISHNAN.M - QCI INSTRUMENTATION</v>
          </cell>
          <cell r="F1241">
            <v>1</v>
          </cell>
          <cell r="G1241" t="str">
            <v>IFA</v>
          </cell>
        </row>
        <row r="1242">
          <cell r="A1242" t="str">
            <v>KHF-00-104265-AA-3341-60124-0000-1</v>
          </cell>
          <cell r="B1242" t="str">
            <v>AIP-PDO-P1701009-T-0786</v>
          </cell>
          <cell r="C1242">
            <v>43430</v>
          </cell>
          <cell r="D1242" t="str">
            <v>KHF-00-104265-AA-3341-60124-0000</v>
          </cell>
          <cell r="E1242" t="str">
            <v>CV OF MR. THIRUMURUGAN SUBRAMANI - QCI WELDING</v>
          </cell>
          <cell r="F1242">
            <v>1</v>
          </cell>
          <cell r="G1242" t="str">
            <v>IFA</v>
          </cell>
        </row>
        <row r="1243">
          <cell r="A1243" t="str">
            <v>KHF-00-104265-RA-8241-51149-0000-1</v>
          </cell>
          <cell r="B1243" t="str">
            <v>AIP-PDO-P1701009-T-0787</v>
          </cell>
          <cell r="C1243">
            <v>43430</v>
          </cell>
          <cell r="D1243" t="str">
            <v>KHF-00-104265-RA-8241-51149-0000</v>
          </cell>
          <cell r="E1243" t="str">
            <v>MATERIAL APPROVAL SHEET FOR DEEP WELL EARTH BOX WITH COMPLETE FIXING ACCESSORIES</v>
          </cell>
          <cell r="F1243">
            <v>1</v>
          </cell>
          <cell r="G1243" t="str">
            <v>IFA</v>
          </cell>
        </row>
        <row r="1244">
          <cell r="A1244" t="str">
            <v>KHF-00-104265-RA-8241-51080-0000-1</v>
          </cell>
          <cell r="B1244" t="str">
            <v>AIP-PDO-P1701009-T-0788</v>
          </cell>
          <cell r="C1244">
            <v>43431</v>
          </cell>
          <cell r="D1244" t="str">
            <v>KHF-00-104265-RA-8241-51080-0000</v>
          </cell>
          <cell r="E1244" t="str">
            <v>MATERIAL APPROVAL SHEET FOR EARTHING MATERIAL (AL KIYUMI ELECTRIC &amp; TRADING CO. LLC)</v>
          </cell>
          <cell r="F1244">
            <v>1</v>
          </cell>
          <cell r="G1244" t="str">
            <v>IFA</v>
          </cell>
        </row>
        <row r="1245">
          <cell r="A1245" t="str">
            <v>KHF-00-104265-QA-6050-00607-0000-3</v>
          </cell>
          <cell r="B1245" t="str">
            <v>AIP-PDO-P1701009-T-0789</v>
          </cell>
          <cell r="C1245">
            <v>43431</v>
          </cell>
          <cell r="D1245" t="str">
            <v>KHF-00-104265-QA-6050-00607-0000</v>
          </cell>
          <cell r="E1245" t="str">
            <v>MATERIAL CONTROL PROCEDURE FOR PIPING MATERIAL AT FABRICATION SHOP</v>
          </cell>
          <cell r="F1245">
            <v>3</v>
          </cell>
          <cell r="G1245" t="str">
            <v>IFR</v>
          </cell>
        </row>
        <row r="1246">
          <cell r="A1246" t="str">
            <v>KHF-00-104265-BA-6065-50001-0000-3</v>
          </cell>
          <cell r="B1246" t="str">
            <v>AIP-PDO-P1701009-T-0790</v>
          </cell>
          <cell r="C1246">
            <v>43431</v>
          </cell>
          <cell r="D1246" t="str">
            <v>KHF-00-104265-BA-6065-50001-0000</v>
          </cell>
          <cell r="E1246" t="str">
            <v>WPS Register - Pipeline Fittings and Branch Connections</v>
          </cell>
          <cell r="F1246">
            <v>3</v>
          </cell>
          <cell r="G1246" t="str">
            <v>IFA</v>
          </cell>
        </row>
        <row r="1247">
          <cell r="A1247" t="str">
            <v>KHF-00-104265-BA-6065-50003-0000-3</v>
          </cell>
          <cell r="B1247" t="str">
            <v>AIP-PDO-P1701009-T-0790</v>
          </cell>
          <cell r="C1247">
            <v>43431</v>
          </cell>
          <cell r="D1247" t="str">
            <v>KHF-00-104265-BA-6065-50003-0000</v>
          </cell>
          <cell r="E1247" t="str">
            <v>WPS Pipe to Barred Tee / Flange - Applicable for Pipeline PL7, PL8 &amp; PL9</v>
          </cell>
          <cell r="F1247">
            <v>3</v>
          </cell>
          <cell r="G1247" t="str">
            <v>IFA</v>
          </cell>
        </row>
        <row r="1248">
          <cell r="A1248" t="str">
            <v>KHF-00-104265-AA-3341-60125-0000-1</v>
          </cell>
          <cell r="B1248" t="str">
            <v>AIP-PDO-P1701009-T-0791</v>
          </cell>
          <cell r="C1248">
            <v>43432</v>
          </cell>
          <cell r="D1248" t="str">
            <v>KHF-00-104265-AA-3341-60125-0000</v>
          </cell>
          <cell r="E1248" t="str">
            <v>CV OF MR. GUFRAN AHMAD - HSE ADVISOR</v>
          </cell>
          <cell r="F1248">
            <v>1</v>
          </cell>
          <cell r="G1248" t="str">
            <v>IFA</v>
          </cell>
        </row>
        <row r="1249">
          <cell r="A1249" t="str">
            <v>KHF-00-104265-AA-3341-60126-0000-1</v>
          </cell>
          <cell r="B1249" t="str">
            <v>AIP-PDO-P1701009-T-0791</v>
          </cell>
          <cell r="C1249">
            <v>43432</v>
          </cell>
          <cell r="D1249" t="str">
            <v>KHF-00-104265-AA-3341-60126-0000</v>
          </cell>
          <cell r="E1249" t="str">
            <v>CV OF MR. VIJAY KUMAR - HSE ADVISOR</v>
          </cell>
          <cell r="F1249">
            <v>1</v>
          </cell>
          <cell r="G1249" t="str">
            <v>IFA</v>
          </cell>
        </row>
        <row r="1250">
          <cell r="A1250" t="str">
            <v>cancelled</v>
          </cell>
          <cell r="B1250" t="str">
            <v>AIP-PDO-P1701009-T-0792</v>
          </cell>
          <cell r="C1250">
            <v>43432</v>
          </cell>
          <cell r="D1250" t="str">
            <v>KHF-00-104265-BA-6065-00699-0000</v>
          </cell>
          <cell r="E1250" t="str">
            <v>WPS Register</v>
          </cell>
          <cell r="F1250">
            <v>3</v>
          </cell>
          <cell r="G1250" t="str">
            <v>cancelled</v>
          </cell>
        </row>
        <row r="1251">
          <cell r="A1251" t="str">
            <v>KHF-00-104265-BA-6065-00699-0000-3</v>
          </cell>
          <cell r="B1251" t="str">
            <v>AIP-PDO-P1701009-T-0793</v>
          </cell>
          <cell r="C1251">
            <v>43432</v>
          </cell>
          <cell r="D1251" t="str">
            <v>KHF-00-104265-BA-6065-00699-0000</v>
          </cell>
          <cell r="E1251" t="str">
            <v>WPS Register</v>
          </cell>
          <cell r="F1251">
            <v>3</v>
          </cell>
          <cell r="G1251" t="str">
            <v>IFA</v>
          </cell>
        </row>
        <row r="1252">
          <cell r="A1252" t="str">
            <v>KHF-00-104265-AA-3341-60127-0000-1</v>
          </cell>
          <cell r="B1252" t="str">
            <v>AIP-PDO-P1701009-T-0794</v>
          </cell>
          <cell r="C1252">
            <v>43436</v>
          </cell>
          <cell r="D1252" t="str">
            <v>KHF-00-104265-AA-3341-60127-0000</v>
          </cell>
          <cell r="E1252" t="str">
            <v>CV OF MR. KARMJIT SINGH - QCI CIVIL</v>
          </cell>
          <cell r="F1252">
            <v>1</v>
          </cell>
          <cell r="G1252" t="str">
            <v>IFA</v>
          </cell>
        </row>
        <row r="1253">
          <cell r="A1253" t="str">
            <v>KHF-00-104265-BA-6065-50002-0000-3</v>
          </cell>
          <cell r="B1253" t="str">
            <v>AIP-PDO-P1701009-T-0795</v>
          </cell>
          <cell r="C1253">
            <v>43436</v>
          </cell>
          <cell r="D1253" t="str">
            <v>KHF-00-104265-BA-6065-50002-0000</v>
          </cell>
          <cell r="E1253" t="str">
            <v>WPS - Pipe to Barred Tee / Reduced Tee / Flange / Valve Pup Piece - Applicable for Pipeline PL, PL2, Pl3 and PL4 - Qualified Thickness range - 7.5mm to 15.0mm</v>
          </cell>
          <cell r="F1253">
            <v>3</v>
          </cell>
          <cell r="G1253" t="str">
            <v>IFA</v>
          </cell>
        </row>
        <row r="1254">
          <cell r="A1254" t="str">
            <v>KHF-00-104265-BA-6065-50004-0000-3</v>
          </cell>
          <cell r="B1254" t="str">
            <v>AIP-PDO-P1701009-T-0795</v>
          </cell>
          <cell r="C1254">
            <v>43436</v>
          </cell>
          <cell r="D1254" t="str">
            <v>KHF-00-104265-BA-6065-50004-0000</v>
          </cell>
          <cell r="E1254" t="str">
            <v>WPS - Pipe to Barred Tee / Flange - Pipeline PL-5 (AIP-WPS-PL-003) - Qualified Thickness range - 7.5mm to 15.0mm</v>
          </cell>
          <cell r="F1254">
            <v>3</v>
          </cell>
          <cell r="G1254" t="str">
            <v>IFA</v>
          </cell>
        </row>
        <row r="1255">
          <cell r="A1255" t="str">
            <v>KHF-00-104265-BA-6065-50008-0000-2</v>
          </cell>
          <cell r="B1255" t="str">
            <v>AIP-PDO-P1701009-T-0795</v>
          </cell>
          <cell r="C1255">
            <v>43436</v>
          </cell>
          <cell r="D1255" t="str">
            <v>KHF-00-104265-BA-6065-50008-0000</v>
          </cell>
          <cell r="E1255" t="str">
            <v>WPS - Reduced tee to flange welding applicable for pipeline PL1, PL2, PL3 &amp; PL4</v>
          </cell>
          <cell r="F1255">
            <v>2</v>
          </cell>
          <cell r="G1255" t="str">
            <v>IFA</v>
          </cell>
        </row>
        <row r="1256">
          <cell r="A1256" t="str">
            <v>cancelled</v>
          </cell>
          <cell r="B1256" t="str">
            <v>AIP-PDO-P1701009-T-0796</v>
          </cell>
          <cell r="C1256">
            <v>43436</v>
          </cell>
          <cell r="D1256" t="str">
            <v>KHF-00-104265-QA-5733-01101-0000</v>
          </cell>
          <cell r="E1256" t="str">
            <v>INSPECTION AND TEST PLAN FOR SHOP HDPE LINING OF SHORT LENGTH CARBON STEEL SPOOLS</v>
          </cell>
          <cell r="F1256">
            <v>1</v>
          </cell>
          <cell r="G1256" t="str">
            <v>cancelled</v>
          </cell>
        </row>
        <row r="1257">
          <cell r="A1257" t="str">
            <v>KHF-00-104265-QA-5733-01001-0000-1</v>
          </cell>
          <cell r="B1257" t="str">
            <v>AIP-PDO-P1701009-T-0797</v>
          </cell>
          <cell r="C1257">
            <v>43436</v>
          </cell>
          <cell r="D1257" t="str">
            <v>KHF-00-104265-QA-5733-01001-0000</v>
          </cell>
          <cell r="E1257" t="str">
            <v>INSPECTION AND TEST PLAN FOR PE ROTOLINING OF CARBON STEEL SPOOLS</v>
          </cell>
          <cell r="F1257">
            <v>1</v>
          </cell>
          <cell r="G1257" t="str">
            <v>IFR</v>
          </cell>
        </row>
        <row r="1258">
          <cell r="A1258" t="str">
            <v>KHF-00-104265-RA-8241-01001-0000-1</v>
          </cell>
          <cell r="B1258" t="str">
            <v>AIP-PDO-P1701009-T-0798</v>
          </cell>
          <cell r="C1258">
            <v>43436</v>
          </cell>
          <cell r="D1258" t="str">
            <v>KHF-00-104265-RA-8241-01001-0000</v>
          </cell>
          <cell r="E1258" t="str">
            <v>MATERIAL APPROVAL SHEET (ROTOLINING)</v>
          </cell>
          <cell r="F1258">
            <v>1</v>
          </cell>
          <cell r="G1258" t="str">
            <v>IFR</v>
          </cell>
        </row>
        <row r="1259">
          <cell r="A1259" t="str">
            <v>KHF-00-104265-BA-6070-01001-0000-1</v>
          </cell>
          <cell r="B1259" t="str">
            <v>AIP-PDO-P1701009-T-0799</v>
          </cell>
          <cell r="C1259">
            <v>43436</v>
          </cell>
          <cell r="D1259" t="str">
            <v>KHF-00-104265-BA-6070-01001-0000</v>
          </cell>
          <cell r="E1259" t="str">
            <v>METHOD STATEMENT FOR PE ROTOLINING OF CS SPOOLS</v>
          </cell>
          <cell r="F1259">
            <v>1</v>
          </cell>
          <cell r="G1259" t="str">
            <v>IFR</v>
          </cell>
        </row>
        <row r="1260">
          <cell r="A1260" t="str">
            <v>KHF-00-104265-QA-5733-01101-0000-1</v>
          </cell>
          <cell r="B1260" t="str">
            <v>AIP-PDO-P1701009-T-0800</v>
          </cell>
          <cell r="C1260">
            <v>43437</v>
          </cell>
          <cell r="D1260" t="str">
            <v>KHF-00-104265-QA-5733-01101-0000</v>
          </cell>
          <cell r="E1260" t="str">
            <v>INSPECTION AND TEST PLAN FOR SHOP HDPE LINING OF SHORT LENGTH CARBON STEEL SPOOLS</v>
          </cell>
          <cell r="F1260">
            <v>1</v>
          </cell>
          <cell r="G1260" t="str">
            <v>IFR</v>
          </cell>
        </row>
        <row r="1261">
          <cell r="A1261" t="str">
            <v>KHF-00-104265-BA-6070-43003-0000-3</v>
          </cell>
          <cell r="B1261" t="str">
            <v>AIP-PDO-P1701009-T-0801</v>
          </cell>
          <cell r="C1261">
            <v>43437</v>
          </cell>
          <cell r="D1261" t="str">
            <v>KHF-00-104265-BA-6070-43003-0000</v>
          </cell>
          <cell r="E1261" t="str">
            <v>METHOD STATEMENT FOR ERECTION OF TRANSFORMERS</v>
          </cell>
          <cell r="F1261">
            <v>3</v>
          </cell>
          <cell r="G1261" t="str">
            <v>IFA</v>
          </cell>
        </row>
        <row r="1262">
          <cell r="A1262" t="str">
            <v>KHF-00-104265-RA-8241-51150-0000-1</v>
          </cell>
          <cell r="B1262" t="str">
            <v>AIP-PDO-P1701009-T-0802</v>
          </cell>
          <cell r="C1262">
            <v>43437</v>
          </cell>
          <cell r="D1262" t="str">
            <v>KHF-00-104265-RA-8241-51150-0000</v>
          </cell>
          <cell r="E1262" t="str">
            <v>MATERIAL APPROVAL SHEET FOR FIRE RESISTANT HILTI CP-620 FOAM</v>
          </cell>
          <cell r="F1262">
            <v>1</v>
          </cell>
          <cell r="G1262" t="str">
            <v>IFA</v>
          </cell>
        </row>
        <row r="1263">
          <cell r="A1263" t="str">
            <v>KHF-00-104265-RA-8241-51151-0000-1</v>
          </cell>
          <cell r="B1263" t="str">
            <v>AIP-PDO-P1701009-T-0802</v>
          </cell>
          <cell r="C1263">
            <v>43437</v>
          </cell>
          <cell r="D1263" t="str">
            <v>KHF-00-104265-RA-8241-51151-0000</v>
          </cell>
          <cell r="E1263" t="str">
            <v>MATERIAL APPROVAL SHEET FOR FIRE RESISTANT TAPE SCOTCH 77</v>
          </cell>
          <cell r="F1263">
            <v>1</v>
          </cell>
          <cell r="G1263" t="str">
            <v>IFA</v>
          </cell>
        </row>
        <row r="1264">
          <cell r="A1264" t="str">
            <v>KHF-00-104265-AA-3341-60128-0000-1</v>
          </cell>
          <cell r="B1264" t="str">
            <v>AIP-PDO-P1701009-T-0803</v>
          </cell>
          <cell r="C1264">
            <v>43438</v>
          </cell>
          <cell r="D1264" t="str">
            <v>KHF-00-104265-AA-3341-60128-0000</v>
          </cell>
          <cell r="E1264" t="str">
            <v>CV OF MR. CHITYABOINA SANKAR - QA/QC INSPECTOR CIVIL</v>
          </cell>
          <cell r="F1264">
            <v>1</v>
          </cell>
          <cell r="G1264" t="str">
            <v>IFA</v>
          </cell>
        </row>
        <row r="1265">
          <cell r="A1265" t="str">
            <v>KHF-00-104265-AA-3341-00139-0000-1</v>
          </cell>
          <cell r="B1265" t="str">
            <v>AIP-PDO-P1701009-T-0804</v>
          </cell>
          <cell r="C1265">
            <v>43438</v>
          </cell>
          <cell r="D1265" t="str">
            <v>KHF-00-104265-AA-3341-00139-0000</v>
          </cell>
          <cell r="E1265" t="str">
            <v>CV OF MR.SOMASUNDARAM - GRE INSPECTOR</v>
          </cell>
          <cell r="F1265">
            <v>1</v>
          </cell>
          <cell r="G1265" t="str">
            <v>IFA</v>
          </cell>
        </row>
        <row r="1266">
          <cell r="A1266" t="str">
            <v>KHF-00-104265-AA-3341-60079-0000-2</v>
          </cell>
          <cell r="B1266" t="str">
            <v>AIP-PDO-P1701009-T-0805</v>
          </cell>
          <cell r="C1266">
            <v>43438</v>
          </cell>
          <cell r="D1266" t="str">
            <v>KHF-00-104265-AA-3341-60079-0000</v>
          </cell>
          <cell r="E1266" t="str">
            <v>CV of Mr. DHARMA RAO DRONADULA - ELECTRICAL QC INSPECTOR</v>
          </cell>
          <cell r="F1266">
            <v>2</v>
          </cell>
          <cell r="G1266" t="str">
            <v>IFA</v>
          </cell>
        </row>
        <row r="1267">
          <cell r="A1267" t="str">
            <v>KHF-00-104265-QA-6050-32005-0000-4</v>
          </cell>
          <cell r="B1267" t="str">
            <v>AIP-PDO-P1701009-T-0806</v>
          </cell>
          <cell r="C1267">
            <v>43438</v>
          </cell>
          <cell r="D1267" t="str">
            <v>KHF-00-104265-QA-6050-32005-0000</v>
          </cell>
          <cell r="E1267" t="str">
            <v>QUALITY CONTROL PROCEDURE FOR HANDLING OF WELDING CONSUMABLES</v>
          </cell>
          <cell r="F1267">
            <v>4</v>
          </cell>
          <cell r="G1267" t="str">
            <v>IFA</v>
          </cell>
        </row>
        <row r="1268">
          <cell r="A1268" t="str">
            <v>KHF-00-104265-AA-6944-10056-0000-1</v>
          </cell>
          <cell r="B1268" t="str">
            <v>AIP-PDO-P1701009-T-0807</v>
          </cell>
          <cell r="C1268">
            <v>43438</v>
          </cell>
          <cell r="D1268" t="str">
            <v>KHF-00-104265-AA-6944-10056-0000</v>
          </cell>
          <cell r="E1268" t="str">
            <v>Weekly Progress Report No.56</v>
          </cell>
          <cell r="F1268">
            <v>1</v>
          </cell>
          <cell r="G1268" t="str">
            <v>IFI</v>
          </cell>
        </row>
        <row r="1269">
          <cell r="A1269" t="str">
            <v>KHF-00-104265-LA-5009-00120-0000-1</v>
          </cell>
          <cell r="B1269" t="str">
            <v>AIP-PDO-P1701009-T-0808</v>
          </cell>
          <cell r="C1269">
            <v>43439</v>
          </cell>
          <cell r="D1269" t="str">
            <v>KHF-00-104265-LA-5009-00120-0000</v>
          </cell>
          <cell r="E1269" t="str">
            <v>Material Approval Sheet for Primer Top Coat-Yellow &amp;  Black for Road Crush Barrier Painting</v>
          </cell>
          <cell r="F1269">
            <v>1</v>
          </cell>
          <cell r="G1269" t="str">
            <v>IFR</v>
          </cell>
        </row>
        <row r="1270">
          <cell r="A1270" t="str">
            <v>KHF-00-104265-BA-6065-50007-0000-2</v>
          </cell>
          <cell r="B1270" t="str">
            <v>AIP-PDO-P1701009-T-0809</v>
          </cell>
          <cell r="C1270">
            <v>43439</v>
          </cell>
          <cell r="D1270" t="str">
            <v>KHF-00-104265-BA-6065-50007-0000</v>
          </cell>
          <cell r="E1270" t="str">
            <v>PWPS - Weldolet to flange welding applicable for butt welding for pipeline PL1, PL2, PL3, PL4, PL5, PL7, P8, PL9 &amp; P9A</v>
          </cell>
          <cell r="F1270">
            <v>2</v>
          </cell>
          <cell r="G1270" t="str">
            <v>IFA</v>
          </cell>
        </row>
        <row r="1271">
          <cell r="A1271" t="str">
            <v>KHF-00-104265-AA-3347-30025-0000-1</v>
          </cell>
          <cell r="B1271" t="str">
            <v>AIP-PDO-P1701009-T-0810</v>
          </cell>
          <cell r="C1271">
            <v>43439</v>
          </cell>
          <cell r="D1271" t="str">
            <v>KHF-00-104265-AA-3347-30025-0000</v>
          </cell>
          <cell r="E1271" t="str">
            <v>MINUTES OF WEEKLY REVIEW MEETING (SITE) NO.25</v>
          </cell>
          <cell r="F1271">
            <v>1</v>
          </cell>
          <cell r="G1271" t="str">
            <v>IFI</v>
          </cell>
        </row>
        <row r="1272">
          <cell r="A1272" t="str">
            <v>KHF-00-104265-RA-6038-00101-0000-3</v>
          </cell>
          <cell r="B1272" t="str">
            <v>AIP-PDO-P1701009-T-0811</v>
          </cell>
          <cell r="C1272">
            <v>43439</v>
          </cell>
          <cell r="D1272" t="str">
            <v>KHF-00-104265-RA-6038-00101-0000</v>
          </cell>
          <cell r="E1272" t="str">
            <v>Procedure for X-Ray Radiographic Testing of Pipelines</v>
          </cell>
          <cell r="F1272">
            <v>3</v>
          </cell>
          <cell r="G1272" t="str">
            <v>IFA</v>
          </cell>
        </row>
        <row r="1273">
          <cell r="A1273" t="str">
            <v>KHF-00-104265-RA-6038-00102-0000-3</v>
          </cell>
          <cell r="B1273" t="str">
            <v>AIP-PDO-P1701009-T-0811</v>
          </cell>
          <cell r="C1273">
            <v>43439</v>
          </cell>
          <cell r="D1273" t="str">
            <v>KHF-00-104265-RA-6038-00102-0000</v>
          </cell>
          <cell r="E1273" t="str">
            <v>Procedure for External X-Ray Radiographic Testing of Pipelines</v>
          </cell>
          <cell r="F1273">
            <v>3</v>
          </cell>
          <cell r="G1273" t="str">
            <v>IFA</v>
          </cell>
        </row>
        <row r="1274">
          <cell r="A1274" t="str">
            <v>KHF-00-104265-AA-3347-30026-0000-1</v>
          </cell>
          <cell r="B1274" t="str">
            <v>AIP-PDO-P1701009-T-0812</v>
          </cell>
          <cell r="C1274">
            <v>43439</v>
          </cell>
          <cell r="D1274" t="str">
            <v>KHF-00-104265-AA-3347-30026-0000</v>
          </cell>
          <cell r="E1274" t="str">
            <v>MINUTES OF WEEKLY REVIEW MEETING (SITE) NO.26</v>
          </cell>
          <cell r="F1274">
            <v>1</v>
          </cell>
          <cell r="G1274" t="str">
            <v>IFI</v>
          </cell>
        </row>
        <row r="1275">
          <cell r="A1275" t="str">
            <v>KHF-00-104265-RA-8241-51152-0000-1</v>
          </cell>
          <cell r="B1275" t="str">
            <v>AIP-PDO-P1701009-T-0813</v>
          </cell>
          <cell r="C1275">
            <v>43439</v>
          </cell>
          <cell r="D1275" t="str">
            <v>KHF-00-104265-RA-8241-51152-0000</v>
          </cell>
          <cell r="E1275" t="str">
            <v>Material Approval Sheet for HDG Unistruct Channel With Accessories</v>
          </cell>
          <cell r="F1275">
            <v>1</v>
          </cell>
          <cell r="G1275" t="str">
            <v>IFA</v>
          </cell>
        </row>
        <row r="1276">
          <cell r="A1276" t="str">
            <v>KHF-00-104265-RA-8241-51156-0000-1</v>
          </cell>
          <cell r="B1276" t="str">
            <v>AIP-PDO-P1701009-T-0813</v>
          </cell>
          <cell r="C1276">
            <v>43439</v>
          </cell>
          <cell r="D1276" t="str">
            <v>KHF-00-104265-RA-8241-51156-0000</v>
          </cell>
          <cell r="E1276" t="str">
            <v>Material Approval Sheet for Indoor Lighting  &amp; Small Power DB</v>
          </cell>
          <cell r="F1276">
            <v>1</v>
          </cell>
          <cell r="G1276" t="str">
            <v>IFA</v>
          </cell>
        </row>
        <row r="1277">
          <cell r="A1277" t="str">
            <v>KHF-00-104265-RA-8241-51157-0000-1</v>
          </cell>
          <cell r="B1277" t="str">
            <v>AIP-PDO-P1701009-T-0813</v>
          </cell>
          <cell r="C1277">
            <v>43439</v>
          </cell>
          <cell r="D1277" t="str">
            <v>KHF-00-104265-RA-8241-51157-0000</v>
          </cell>
          <cell r="E1277" t="str">
            <v>Material Approval Sheet for TREFOIL Clamps for Single Core Cable</v>
          </cell>
          <cell r="F1277">
            <v>1</v>
          </cell>
          <cell r="G1277" t="str">
            <v>IFA</v>
          </cell>
        </row>
        <row r="1278">
          <cell r="A1278" t="str">
            <v>KHF-00-104265-BA-6070-43009-0000-2</v>
          </cell>
          <cell r="B1278" t="str">
            <v>AIP-PDO-P1701009-T-0814</v>
          </cell>
          <cell r="C1278">
            <v>43440</v>
          </cell>
          <cell r="D1278" t="str">
            <v>KHF-00-104265-BA-6070-43009-0000</v>
          </cell>
          <cell r="E1278" t="str">
            <v>METHOD STATEMENT SKIDDING &amp; JACKING OF 2 x 110 MVA TRANSFORMERS</v>
          </cell>
          <cell r="F1278">
            <v>2</v>
          </cell>
          <cell r="G1278" t="str">
            <v>IFA</v>
          </cell>
        </row>
        <row r="1279">
          <cell r="A1279" t="str">
            <v>KHF-00-104265-BA-6065-00601-0000-2</v>
          </cell>
          <cell r="B1279" t="str">
            <v>AIP-PDO-P1701009-T-0815</v>
          </cell>
          <cell r="C1279">
            <v>43440</v>
          </cell>
          <cell r="D1279" t="str">
            <v>KHF-00-104265-BA-6065-00601-0000</v>
          </cell>
          <cell r="E1279" t="str">
            <v>WELDING PROCEDURE SPECIFICATION (WPS) / PQR– 001 (AIM-WPS-T-522)</v>
          </cell>
          <cell r="F1279">
            <v>2</v>
          </cell>
          <cell r="G1279" t="str">
            <v>VOID</v>
          </cell>
        </row>
        <row r="1280">
          <cell r="A1280" t="str">
            <v>KHF-00-104265-BA-6065-00610-0000-2</v>
          </cell>
          <cell r="B1280" t="str">
            <v>AIP-PDO-P1701009-T-0815</v>
          </cell>
          <cell r="C1280">
            <v>43440</v>
          </cell>
          <cell r="D1280" t="str">
            <v>KHF-00-104265-BA-6065-00610-0000</v>
          </cell>
          <cell r="E1280" t="str">
            <v>WELDING PROCEDURE SPECIFICATION (WPS) / PQR– 010 (AI-WPS-TS-476)</v>
          </cell>
          <cell r="F1280">
            <v>2</v>
          </cell>
          <cell r="G1280" t="str">
            <v>VOID</v>
          </cell>
        </row>
        <row r="1281">
          <cell r="A1281" t="str">
            <v>KHF-00-104265-BA-6065-00638-0000-2</v>
          </cell>
          <cell r="B1281" t="str">
            <v>AIP-PDO-P1701009-T-0815</v>
          </cell>
          <cell r="C1281">
            <v>43440</v>
          </cell>
          <cell r="D1281" t="str">
            <v>KHF-00-104265-BA-6065-00638-0000</v>
          </cell>
          <cell r="E1281" t="str">
            <v>WELDING PROCEDURE SPECIFICATION (WPS) / PQR– 038 - AI-WPS-M-398</v>
          </cell>
          <cell r="F1281">
            <v>2</v>
          </cell>
          <cell r="G1281" t="str">
            <v>VOID</v>
          </cell>
        </row>
        <row r="1282">
          <cell r="A1282" t="str">
            <v>KHF-00-104265-BA-6065-00644-0000-2</v>
          </cell>
          <cell r="B1282" t="str">
            <v>AIP-PDO-P1701009-T-0815</v>
          </cell>
          <cell r="C1282">
            <v>43440</v>
          </cell>
          <cell r="D1282" t="str">
            <v>KHF-00-104265-BA-6065-00644-0000</v>
          </cell>
          <cell r="E1282" t="str">
            <v>WELDING PROCEDURE SPECIFICATION (WPS) / PQR-044 (AI-WPS-TM-634)</v>
          </cell>
          <cell r="F1282">
            <v>2</v>
          </cell>
          <cell r="G1282" t="str">
            <v>VOID</v>
          </cell>
        </row>
        <row r="1283">
          <cell r="A1283" t="str">
            <v>KHF-00-104265-RA-6038-00608-0000-1</v>
          </cell>
          <cell r="B1283" t="str">
            <v>AIP-PDO-P1701009-T-0816</v>
          </cell>
          <cell r="C1283">
            <v>43440</v>
          </cell>
          <cell r="D1283" t="str">
            <v>KHF-00-104265-RA-6038-00608-0000</v>
          </cell>
          <cell r="E1283" t="str">
            <v>Procedure for Radiographic Film Digitization for CS / LTCS Piping Spools</v>
          </cell>
          <cell r="F1283">
            <v>1</v>
          </cell>
          <cell r="G1283" t="str">
            <v>IFR</v>
          </cell>
        </row>
        <row r="1284">
          <cell r="A1284" t="str">
            <v>KHF-00-104265-BA-6070-00115-0000-3</v>
          </cell>
          <cell r="B1284" t="str">
            <v>AIP-PDO-P1701009-T-0817</v>
          </cell>
          <cell r="C1284">
            <v>43440</v>
          </cell>
          <cell r="D1284" t="str">
            <v>KHF-00-104265-BA-6070-00115-0000</v>
          </cell>
          <cell r="E1284" t="str">
            <v>Method Statement for Hydrotesting of CS Pipelines</v>
          </cell>
          <cell r="F1284">
            <v>3</v>
          </cell>
          <cell r="G1284" t="str">
            <v>IFA</v>
          </cell>
        </row>
        <row r="1285">
          <cell r="A1285" t="str">
            <v>KHF-00-104265-MP-1206-01101-0000-2</v>
          </cell>
          <cell r="B1285" t="str">
            <v>AIP-PDO-P1701009-T-0818</v>
          </cell>
          <cell r="C1285">
            <v>43440</v>
          </cell>
          <cell r="D1285" t="str">
            <v>KHF-00-104265-MP-1206-01101-0000</v>
          </cell>
          <cell r="E1285" t="str">
            <v>HDPE Liner Design Calculation - (10”Sch30 Water - 70deg C)</v>
          </cell>
          <cell r="F1285">
            <v>2</v>
          </cell>
          <cell r="G1285" t="str">
            <v>IFA</v>
          </cell>
        </row>
        <row r="1286">
          <cell r="A1286" t="str">
            <v>KHF-00-104265-AA-3341-60018-0000-2</v>
          </cell>
          <cell r="B1286" t="str">
            <v>AIP-PDO-P1701009-T-0819</v>
          </cell>
          <cell r="C1286">
            <v>43440</v>
          </cell>
          <cell r="D1286" t="str">
            <v>KHF-00-104265-AA-3341-60018-0000</v>
          </cell>
          <cell r="E1286" t="str">
            <v>CV of Mr. Kamraj Janakiraman - Lead  Electrical Construction Engineer</v>
          </cell>
          <cell r="F1286">
            <v>2</v>
          </cell>
          <cell r="G1286" t="str">
            <v>IFA</v>
          </cell>
        </row>
        <row r="1287">
          <cell r="A1287" t="str">
            <v>KHF-00-104265-AA-3341-60003-0000-2</v>
          </cell>
          <cell r="B1287" t="str">
            <v>AIP-PDO-P1701009-T-0820</v>
          </cell>
          <cell r="C1287">
            <v>43440</v>
          </cell>
          <cell r="D1287" t="str">
            <v>KHF-00-104265-AA-3341-60003-0000</v>
          </cell>
          <cell r="E1287" t="str">
            <v xml:space="preserve">CV OF MR. SHARON JAIN BABU - AIP SITE BASED HSE ADVISOR </v>
          </cell>
          <cell r="F1287">
            <v>2</v>
          </cell>
          <cell r="G1287" t="str">
            <v>IFA</v>
          </cell>
        </row>
        <row r="1288">
          <cell r="A1288" t="str">
            <v>KHF-00-104265-BA-6070-42013-0000-1</v>
          </cell>
          <cell r="B1288" t="str">
            <v>AIP-PDO-P1701009-T-0821</v>
          </cell>
          <cell r="C1288">
            <v>43440</v>
          </cell>
          <cell r="D1288" t="str">
            <v>KHF-00-104265-BA-6070-42013-0000</v>
          </cell>
          <cell r="E1288" t="str">
            <v>METHOD STATEMENT FOR INSTALLATION OF MISCELLANEOUS STRUCTURE, SUPPORT, PLATFORM ACCESS LADDER, HANDRAILING AND GRATINGS AT POWER PLANT</v>
          </cell>
          <cell r="F1288">
            <v>1</v>
          </cell>
          <cell r="G1288" t="str">
            <v>IFR</v>
          </cell>
        </row>
        <row r="1289">
          <cell r="A1289" t="str">
            <v>KHF-00-104265-RA-8241-51155-0000-1</v>
          </cell>
          <cell r="B1289" t="str">
            <v>AIP-PDO-P1701009-T-0822</v>
          </cell>
          <cell r="C1289">
            <v>43440</v>
          </cell>
          <cell r="D1289" t="str">
            <v>KHF-00-104265-RA-8241-51155-0000</v>
          </cell>
          <cell r="E1289" t="str">
            <v>MATERIAL APPROVAL SHEET FOR WATER SOLUBLE PURGING PAPER</v>
          </cell>
          <cell r="F1289">
            <v>1</v>
          </cell>
          <cell r="G1289" t="str">
            <v>IFA</v>
          </cell>
        </row>
        <row r="1290">
          <cell r="A1290" t="str">
            <v>KHF-00-104265-RA-8241-51154-0000-1</v>
          </cell>
          <cell r="B1290" t="str">
            <v>AIP-PDO-P1701009-T-0823</v>
          </cell>
          <cell r="C1290">
            <v>43440</v>
          </cell>
          <cell r="D1290" t="str">
            <v>KHF-00-104265-RA-8241-51154-0000</v>
          </cell>
          <cell r="E1290" t="str">
            <v>MATERIAL APPROVAL SHEET FOR HILTI GALVANISED BOLTS / NUTS / WASHER AND ANCHOR FASTENER</v>
          </cell>
          <cell r="F1290">
            <v>1</v>
          </cell>
          <cell r="G1290" t="str">
            <v>IFA</v>
          </cell>
        </row>
        <row r="1291">
          <cell r="A1291" t="str">
            <v>rejected by PDO</v>
          </cell>
          <cell r="B1291" t="str">
            <v>AIP-PDO-P1701009-T-0824</v>
          </cell>
          <cell r="C1291">
            <v>43440</v>
          </cell>
          <cell r="D1291" t="str">
            <v>KHF-00-104265-BA-6070-01201-0000</v>
          </cell>
          <cell r="E1291" t="str">
            <v>METHOD OF STATEMENT FOR PRECAST CONCRETE WORKS</v>
          </cell>
          <cell r="F1291">
            <v>1</v>
          </cell>
          <cell r="G1291" t="str">
            <v>IFR</v>
          </cell>
        </row>
        <row r="1292">
          <cell r="A1292" t="str">
            <v>rejected by PDO</v>
          </cell>
          <cell r="B1292" t="str">
            <v>AIP-PDO-P1701009-T-0824</v>
          </cell>
          <cell r="C1292">
            <v>43440</v>
          </cell>
          <cell r="D1292" t="str">
            <v>KHF-00-104265-QA-5733-01201-0000</v>
          </cell>
          <cell r="E1292" t="str">
            <v>INSPECTION TEST PLAN FOR PRECAST CONCRETE ELEMENTS</v>
          </cell>
          <cell r="F1292">
            <v>1</v>
          </cell>
          <cell r="G1292" t="str">
            <v>IFR</v>
          </cell>
        </row>
        <row r="1293">
          <cell r="A1293" t="str">
            <v>rejected by PDO</v>
          </cell>
          <cell r="B1293" t="str">
            <v>AIP-PDO-P1701009-T-0824</v>
          </cell>
          <cell r="C1293">
            <v>43440</v>
          </cell>
          <cell r="D1293" t="str">
            <v>KHF-00-104265-RA-8241-01201-0000</v>
          </cell>
          <cell r="E1293" t="str">
            <v>MATERIAL APPROVAL SHEET FOR PRECAST MANUFACTURER - AL-TASNIM PRECAST</v>
          </cell>
          <cell r="F1293">
            <v>1</v>
          </cell>
          <cell r="G1293" t="str">
            <v>IFR</v>
          </cell>
        </row>
        <row r="1294">
          <cell r="A1294" t="str">
            <v>KHF-00-104265-AA-3341-60129-0000-1</v>
          </cell>
          <cell r="B1294" t="str">
            <v>AIP-PDO-P1701009-T-0825</v>
          </cell>
          <cell r="C1294">
            <v>43443</v>
          </cell>
          <cell r="D1294" t="str">
            <v>KHF-00-104265-AA-3341-60129-0000</v>
          </cell>
          <cell r="E1294" t="str">
            <v>CV OF MR. MANOJ VIJAY SAWANT - AIP SITE BASED HSE ADVISOR</v>
          </cell>
          <cell r="F1294">
            <v>1</v>
          </cell>
          <cell r="G1294" t="str">
            <v>IFA</v>
          </cell>
        </row>
        <row r="1295">
          <cell r="A1295" t="str">
            <v>KHF-00-104265-AA-6944-10057-0000-1</v>
          </cell>
          <cell r="B1295" t="str">
            <v>AIP-PDO-P1701009-T-0826</v>
          </cell>
          <cell r="C1295">
            <v>43443</v>
          </cell>
          <cell r="D1295" t="str">
            <v>KHF-00-104265-AA-6944-10057-0000</v>
          </cell>
          <cell r="E1295" t="str">
            <v>Weekly Progress Report No.57</v>
          </cell>
          <cell r="F1295">
            <v>1</v>
          </cell>
          <cell r="G1295" t="str">
            <v>IFI</v>
          </cell>
        </row>
        <row r="1296">
          <cell r="A1296" t="str">
            <v>KHF-00-104265-QA-6050-00608-0000-2</v>
          </cell>
          <cell r="B1296" t="str">
            <v>AIP-PDO-P1701009-T-0827</v>
          </cell>
          <cell r="C1296">
            <v>43443</v>
          </cell>
          <cell r="D1296" t="str">
            <v>KHF-00-104265-QA-6050-00608-0000</v>
          </cell>
          <cell r="E1296" t="str">
            <v>Weld Repair Procedure for CS / LTCS Piping Spools</v>
          </cell>
          <cell r="F1296">
            <v>2</v>
          </cell>
          <cell r="G1296" t="str">
            <v>IFA</v>
          </cell>
        </row>
        <row r="1297">
          <cell r="A1297" t="str">
            <v>KHF-00-104265-QA-6050-00609-0000-2</v>
          </cell>
          <cell r="B1297" t="str">
            <v>AIP-PDO-P1701009-T-0827</v>
          </cell>
          <cell r="C1297">
            <v>43443</v>
          </cell>
          <cell r="D1297" t="str">
            <v>KHF-00-104265-QA-6050-00609-0000</v>
          </cell>
          <cell r="E1297" t="str">
            <v>Procedure for Carry Out and Maintenance of Preheat Temperature for CS / LTCS Piping Spools</v>
          </cell>
          <cell r="F1297">
            <v>2</v>
          </cell>
          <cell r="G1297" t="str">
            <v>IFA</v>
          </cell>
        </row>
        <row r="1298">
          <cell r="A1298" t="str">
            <v>KHF-00-104265-QA-6050-00610-0000-2</v>
          </cell>
          <cell r="B1298" t="str">
            <v>AIP-PDO-P1701009-T-0827</v>
          </cell>
          <cell r="C1298">
            <v>43443</v>
          </cell>
          <cell r="D1298" t="str">
            <v>KHF-00-104265-QA-6050-00610-0000</v>
          </cell>
          <cell r="E1298" t="str">
            <v>Welding Consumables Storage &amp; handling Procedure for CS / LTCS Piping Spools</v>
          </cell>
          <cell r="F1298">
            <v>2</v>
          </cell>
          <cell r="G1298" t="str">
            <v>IFA</v>
          </cell>
        </row>
        <row r="1299">
          <cell r="A1299" t="str">
            <v>KHF-00-104265-AA-3347-30027-0000-1</v>
          </cell>
          <cell r="B1299" t="str">
            <v>AIP-PDO-P1701009-T-0828</v>
          </cell>
          <cell r="C1299">
            <v>43443</v>
          </cell>
          <cell r="D1299" t="str">
            <v>KHF-00-104265-AA-3347-30027-0000</v>
          </cell>
          <cell r="E1299" t="str">
            <v>MINUTES OF WEEKLY REVIEW MEETING (SITE) NO.27</v>
          </cell>
          <cell r="F1299">
            <v>1</v>
          </cell>
          <cell r="G1299" t="str">
            <v>IFI</v>
          </cell>
        </row>
        <row r="1300">
          <cell r="A1300" t="str">
            <v>KHF-00-104265-BA-6065-50065-0000-1</v>
          </cell>
          <cell r="B1300" t="str">
            <v>AIP-PDO-P1701009-T-0829</v>
          </cell>
          <cell r="C1300">
            <v>43443</v>
          </cell>
          <cell r="D1300" t="str">
            <v>KHF-00-104265-BA-6065-50065-0000</v>
          </cell>
          <cell r="E1300" t="str">
            <v>Piping WPS - Note to File</v>
          </cell>
          <cell r="F1300">
            <v>1</v>
          </cell>
          <cell r="G1300" t="str">
            <v>IFR</v>
          </cell>
        </row>
        <row r="1301">
          <cell r="A1301" t="str">
            <v>KHF-00-104265-BA-6070-42014-0000-1</v>
          </cell>
          <cell r="B1301" t="str">
            <v>AIP-PDO-P1701009-T-0830</v>
          </cell>
          <cell r="C1301">
            <v>43443</v>
          </cell>
          <cell r="D1301" t="str">
            <v>KHF-00-104265-BA-6070-42014-0000</v>
          </cell>
          <cell r="E1301" t="str">
            <v>METHOD STATEMENT FOR SCAFFOLDING ERECTION</v>
          </cell>
          <cell r="F1301">
            <v>1</v>
          </cell>
          <cell r="G1301" t="str">
            <v>IFR</v>
          </cell>
        </row>
        <row r="1302">
          <cell r="A1302" t="str">
            <v>KHF-00-104265-AA-3341-60130-0000-1</v>
          </cell>
          <cell r="B1302" t="str">
            <v>AIP-PDO-P1701009-T-0831</v>
          </cell>
          <cell r="C1302">
            <v>43443</v>
          </cell>
          <cell r="D1302" t="str">
            <v>KHF-00-104265-AA-3341-60130-0000</v>
          </cell>
          <cell r="E1302" t="str">
            <v>CV OF MR. HARIHARA BALAN M. - PIPELINE / PIPING WELDING INSPECTOR</v>
          </cell>
          <cell r="F1302">
            <v>1</v>
          </cell>
          <cell r="G1302" t="str">
            <v>IFA</v>
          </cell>
        </row>
        <row r="1303">
          <cell r="A1303" t="str">
            <v>KHF-00-104265-AA-6944-20014-0000-1</v>
          </cell>
          <cell r="B1303" t="str">
            <v>AIP-PDO-P1701009-T-0832</v>
          </cell>
          <cell r="C1303">
            <v>43443</v>
          </cell>
          <cell r="D1303" t="str">
            <v>KHF-00-104265-AA-6944-20014-0000</v>
          </cell>
          <cell r="E1303" t="str">
            <v>MONTHLY PROGRESS REPORT NO.014 (NOV 2018)</v>
          </cell>
          <cell r="F1303">
            <v>1</v>
          </cell>
          <cell r="G1303" t="str">
            <v>IFR</v>
          </cell>
        </row>
        <row r="1304">
          <cell r="A1304" t="str">
            <v>KHF-00-104265-BA-6065-00101-0000-4</v>
          </cell>
          <cell r="B1304" t="str">
            <v>AIP-PDO-P1701009-T-0833</v>
          </cell>
          <cell r="C1304">
            <v>43444</v>
          </cell>
          <cell r="D1304" t="str">
            <v>KHF-00-104265-BA-6065-00101-0000</v>
          </cell>
          <cell r="E1304" t="str">
            <v>WELDING PROCEDURE SPECIFICATION REGISTER</v>
          </cell>
          <cell r="F1304">
            <v>4</v>
          </cell>
          <cell r="G1304" t="str">
            <v>IFR</v>
          </cell>
        </row>
        <row r="1305">
          <cell r="A1305" t="str">
            <v>KHF-00-104265-QA-0880-10060-0000-1</v>
          </cell>
          <cell r="B1305" t="str">
            <v>AIP-PDO-P1701009-T-0834</v>
          </cell>
          <cell r="C1305">
            <v>43444</v>
          </cell>
          <cell r="D1305" t="str">
            <v>KHF-00-104265-QA-0880-10060-0000</v>
          </cell>
          <cell r="E1305" t="str">
            <v>INTERNAL AUDIT REPORT - DOCUMENT CONTROL</v>
          </cell>
          <cell r="F1305">
            <v>1</v>
          </cell>
          <cell r="G1305" t="str">
            <v>IFI</v>
          </cell>
        </row>
        <row r="1306">
          <cell r="A1306" t="str">
            <v>KHF-00-104265-QA-0880-10061-0000-1</v>
          </cell>
          <cell r="B1306" t="str">
            <v>AIP-PDO-P1701009-T-0834</v>
          </cell>
          <cell r="C1306">
            <v>43444</v>
          </cell>
          <cell r="D1306" t="str">
            <v>KHF-00-104265-QA-0880-10061-0000</v>
          </cell>
          <cell r="E1306" t="str">
            <v>INTERNAL AUDIT REPORT - CONSTRUCTION PHASE-25% - YKP SITE</v>
          </cell>
          <cell r="F1306">
            <v>1</v>
          </cell>
          <cell r="G1306" t="str">
            <v>IFI</v>
          </cell>
        </row>
        <row r="1307">
          <cell r="A1307" t="str">
            <v>cancelled</v>
          </cell>
          <cell r="B1307" t="str">
            <v>AIP-PDO-P1701009-T-0835</v>
          </cell>
          <cell r="C1307">
            <v>43445</v>
          </cell>
          <cell r="D1307" t="str">
            <v>KHF-00-104265-RA-8241-51158-0000</v>
          </cell>
          <cell r="E1307" t="str">
            <v>MATERIAL APPROVAL SHEET FOR INDOOR LIGHTING &amp; SMALL POWER DB</v>
          </cell>
          <cell r="F1307">
            <v>1</v>
          </cell>
          <cell r="G1307" t="str">
            <v>IFA</v>
          </cell>
        </row>
        <row r="1308">
          <cell r="A1308" t="str">
            <v>KHF-00-104265-BA-6070-00120-0000-2</v>
          </cell>
          <cell r="B1308" t="str">
            <v>AIP-PDO-P1701009-T-0836</v>
          </cell>
          <cell r="C1308">
            <v>43446</v>
          </cell>
          <cell r="D1308" t="str">
            <v>KHF-00-104265-BA-6070-00120-0000</v>
          </cell>
          <cell r="E1308" t="str">
            <v>Method Statement for Hydrotesting of GRE Pipeline</v>
          </cell>
          <cell r="F1308">
            <v>2</v>
          </cell>
          <cell r="G1308" t="str">
            <v>IFA</v>
          </cell>
        </row>
        <row r="1309">
          <cell r="A1309" t="str">
            <v>KHF-00-104265-BA-6070-00145-0000-2</v>
          </cell>
          <cell r="B1309" t="str">
            <v>AIP-PDO-P1701009-T-0836</v>
          </cell>
          <cell r="C1309">
            <v>43446</v>
          </cell>
          <cell r="D1309" t="str">
            <v>KHF-00-104265-BA-6070-00145-0000</v>
          </cell>
          <cell r="E1309" t="str">
            <v>Method Statement for Hydrotesting of High Pressure GRE Flowlines (Threaded)</v>
          </cell>
          <cell r="F1309">
            <v>2</v>
          </cell>
          <cell r="G1309" t="str">
            <v>IFA</v>
          </cell>
        </row>
        <row r="1310">
          <cell r="A1310" t="str">
            <v>cancelled</v>
          </cell>
          <cell r="B1310" t="str">
            <v>AIP-PDO-P1701009-T-0837</v>
          </cell>
          <cell r="C1310">
            <v>43446</v>
          </cell>
          <cell r="D1310" t="str">
            <v>KHF-00-104265-RA-8241-51153-0000</v>
          </cell>
          <cell r="E1310" t="str">
            <v xml:space="preserve">MATERIAL APPROVAL SHEET FOR GALVANISED BOLTS/NUTS/WASHER, ANCHOR FASTENER AND THREADED ROD  </v>
          </cell>
          <cell r="F1310">
            <v>1</v>
          </cell>
          <cell r="G1310" t="str">
            <v>IFA</v>
          </cell>
        </row>
        <row r="1311">
          <cell r="A1311" t="str">
            <v>KHF-00-104265-BA-6070-41012-0000-1</v>
          </cell>
          <cell r="B1311" t="str">
            <v>AIP-PDO-P1701009-T-0838</v>
          </cell>
          <cell r="C1311">
            <v>43446</v>
          </cell>
          <cell r="D1311" t="str">
            <v>KHF-00-104265-BA-6070-41012-0000</v>
          </cell>
          <cell r="E1311" t="str">
            <v>METHOD STATEMENT FOR EXTENDED HOUR WORKING - CIVIL WORKS OF GIS, GTG BUILDING AND GTG EQUIPMENT AREA</v>
          </cell>
          <cell r="F1311">
            <v>1</v>
          </cell>
          <cell r="G1311" t="str">
            <v>IFR</v>
          </cell>
        </row>
        <row r="1312">
          <cell r="A1312" t="str">
            <v>cancelled</v>
          </cell>
          <cell r="B1312" t="str">
            <v>AIP-PDO-P1701009-T-0839</v>
          </cell>
          <cell r="C1312">
            <v>43446</v>
          </cell>
          <cell r="D1312" t="str">
            <v>KHF-00-104265-BA-6065-50005-0000</v>
          </cell>
          <cell r="E1312" t="str">
            <v>WPS - Pipe to Weldolet - Pipeline PL-7, PL-8, PL-9 &amp; PL-9A (AIP-WPS-PL-004)</v>
          </cell>
          <cell r="F1312">
            <v>2</v>
          </cell>
          <cell r="G1312" t="str">
            <v>IFA</v>
          </cell>
        </row>
        <row r="1313">
          <cell r="A1313" t="str">
            <v>KHF-00-104265-BA-6065-50005-0000-2</v>
          </cell>
          <cell r="B1313" t="str">
            <v>AIP-PDO-P1701009-T-0840</v>
          </cell>
          <cell r="C1313">
            <v>43447</v>
          </cell>
          <cell r="D1313" t="str">
            <v>KHF-00-104265-BA-6065-50005-0000</v>
          </cell>
          <cell r="E1313" t="str">
            <v>WPS - Pipe to Weldolet - Pipeline PL-7, PL-8, PL-9 &amp; PL-9A (AIP-WPS-PL-004)</v>
          </cell>
          <cell r="F1313">
            <v>2</v>
          </cell>
          <cell r="G1313" t="str">
            <v>IFA</v>
          </cell>
        </row>
        <row r="1314">
          <cell r="A1314" t="str">
            <v>KHF-00-104265-RA-8241-00802-0000-2</v>
          </cell>
          <cell r="B1314" t="str">
            <v>AIP-PDO-P1701009-T-0841</v>
          </cell>
          <cell r="C1314">
            <v>43447</v>
          </cell>
          <cell r="D1314" t="str">
            <v>KHF-00-104265-RA-8241-00802-0000</v>
          </cell>
          <cell r="E1314" t="str">
            <v>MATERIAL APPROVAL SUBMITTAL FOR STRUCTURAL STEEL ABRASIVE (STEEL SHOT)</v>
          </cell>
          <cell r="F1314">
            <v>2</v>
          </cell>
          <cell r="G1314" t="str">
            <v>IFA</v>
          </cell>
        </row>
        <row r="1315">
          <cell r="A1315" t="str">
            <v>KHF-00-104265-BA-6070-41011-0000-1</v>
          </cell>
          <cell r="B1315" t="str">
            <v>AIP-PDO-P1701009-T-0842</v>
          </cell>
          <cell r="C1315">
            <v>43447</v>
          </cell>
          <cell r="D1315" t="str">
            <v>KHF-00-104265-BA-6070-41011-0000</v>
          </cell>
          <cell r="E1315" t="str">
            <v>METHOD STATEMENT FOR MASS CONCRETING WORK FOR TANK FOUNDATION @ OFF Plot - RMS</v>
          </cell>
          <cell r="F1315">
            <v>1</v>
          </cell>
          <cell r="G1315" t="str">
            <v>IFR</v>
          </cell>
        </row>
        <row r="1316">
          <cell r="A1316" t="str">
            <v>KHF-00-104265-BA-6070-41013-0000-1</v>
          </cell>
          <cell r="B1316" t="str">
            <v>AIP-PDO-P1701009-T-0842</v>
          </cell>
          <cell r="C1316">
            <v>43447</v>
          </cell>
          <cell r="D1316" t="str">
            <v>KHF-00-104265-BA-6070-41013-0000</v>
          </cell>
          <cell r="E1316" t="str">
            <v>METHOD STATEMENT FOR UNDERTAKING NIGHT WORKING FOR CIVIL WORKS OF RMS -A200</v>
          </cell>
          <cell r="F1316">
            <v>1</v>
          </cell>
          <cell r="G1316" t="str">
            <v>IFR</v>
          </cell>
        </row>
        <row r="1317">
          <cell r="A1317" t="str">
            <v>KHF-00-104265-AA-6944-10058-0000-1</v>
          </cell>
          <cell r="B1317" t="str">
            <v>AIP-PDO-P1701009-T-0843</v>
          </cell>
          <cell r="C1317">
            <v>43450</v>
          </cell>
          <cell r="D1317" t="str">
            <v>KHF-00-104265-AA-6944-10058-0000</v>
          </cell>
          <cell r="E1317" t="str">
            <v>WEEKLY PROGRESS REPORT NO.058</v>
          </cell>
          <cell r="F1317">
            <v>1</v>
          </cell>
          <cell r="G1317" t="str">
            <v>IFR</v>
          </cell>
        </row>
        <row r="1318">
          <cell r="A1318" t="str">
            <v>KHF-00-104265-AA-3341-60043-0000-3</v>
          </cell>
          <cell r="B1318" t="str">
            <v>AIP-PDO-P1701009-T-0844</v>
          </cell>
          <cell r="C1318">
            <v>43450</v>
          </cell>
          <cell r="D1318" t="str">
            <v>KHF-00-104265-AA-3341-60043-0000</v>
          </cell>
          <cell r="E1318" t="str">
            <v>CV OF MR. SUDHAKAR KAJIPURAM -WELDING ENGINEER</v>
          </cell>
          <cell r="F1318">
            <v>3</v>
          </cell>
          <cell r="G1318" t="str">
            <v>IFA</v>
          </cell>
        </row>
        <row r="1319">
          <cell r="A1319" t="str">
            <v>cancelled</v>
          </cell>
          <cell r="B1319" t="str">
            <v>AIP-PDO-P1701009-T-0845</v>
          </cell>
          <cell r="C1319">
            <v>43450</v>
          </cell>
          <cell r="D1319" t="str">
            <v>KHF-00-104265-RA-8241-51153-0000</v>
          </cell>
          <cell r="E1319" t="str">
            <v>MATERIAL APPROVAL SHEET (INSTRUMENTATION) FOR GALVANISED BOLTS/NUTS/WASHER, ANCHOR FASTENER AND THREADED ROD</v>
          </cell>
          <cell r="F1319">
            <v>1</v>
          </cell>
          <cell r="G1319" t="str">
            <v>IFA</v>
          </cell>
        </row>
        <row r="1320">
          <cell r="A1320" t="str">
            <v>KHF-00-104265-QA-5733-22005-0000-2</v>
          </cell>
          <cell r="B1320" t="str">
            <v>AIP-PDO-P1701009-T-0846</v>
          </cell>
          <cell r="C1320">
            <v>43450</v>
          </cell>
          <cell r="D1320" t="str">
            <v>KHF-00-104265-QA-5733-22005-0000</v>
          </cell>
          <cell r="E1320" t="str">
            <v>INSPECTION AND TEST PLAN FOR INSTALLATION OF ABOVE GROUND CARBON STEEL PIPELINE WORKS</v>
          </cell>
          <cell r="F1320">
            <v>2</v>
          </cell>
          <cell r="G1320" t="str">
            <v>IFA</v>
          </cell>
        </row>
        <row r="1321">
          <cell r="A1321" t="str">
            <v>KHF-00-104265-QA-5733-23012-0000-1</v>
          </cell>
          <cell r="B1321" t="str">
            <v>AIP-PDO-P1701009-T-0847</v>
          </cell>
          <cell r="C1321">
            <v>43450</v>
          </cell>
          <cell r="D1321" t="str">
            <v>KHF-00-104265-QA-5733-23012-0000</v>
          </cell>
          <cell r="E1321" t="str">
            <v>INSPECTION AND TEST PLAN FOR INSULATION &amp; INSTALLATION OF DUCTING</v>
          </cell>
          <cell r="F1321">
            <v>1</v>
          </cell>
          <cell r="G1321" t="str">
            <v>IFR</v>
          </cell>
        </row>
        <row r="1322">
          <cell r="A1322" t="str">
            <v>KHF-00-104265-BA-6070-43013-0000-1</v>
          </cell>
          <cell r="B1322" t="str">
            <v>AIP-PDO-P1701009-T-0847</v>
          </cell>
          <cell r="C1322">
            <v>43450</v>
          </cell>
          <cell r="D1322" t="str">
            <v>KHF-00-104265-BA-6070-43013-0000</v>
          </cell>
          <cell r="E1322" t="str">
            <v>METHOD STATEMENT FOR INSULATION &amp; INSTALLATION OF DUCTING</v>
          </cell>
          <cell r="F1322">
            <v>1</v>
          </cell>
          <cell r="G1322" t="str">
            <v>IFR</v>
          </cell>
        </row>
        <row r="1323">
          <cell r="A1323" t="str">
            <v>KHF-00-104265-AA-3341-60120-0000-2</v>
          </cell>
          <cell r="B1323" t="str">
            <v>AIP-PDO-P1701009-T-0848</v>
          </cell>
          <cell r="C1323">
            <v>43450</v>
          </cell>
          <cell r="D1323" t="str">
            <v>KHF-00-104265-AA-3341-60120-0000</v>
          </cell>
          <cell r="E1323" t="str">
            <v>CV OF MR. ASHWINKUMAR, QC INSPECTOR - WELDING (PIPING &amp; PIPELINE)</v>
          </cell>
          <cell r="F1323">
            <v>2</v>
          </cell>
          <cell r="G1323" t="str">
            <v>IFA</v>
          </cell>
        </row>
        <row r="1324">
          <cell r="A1324" t="str">
            <v>KHF-00-104265-AA-3341-00140-0000-1</v>
          </cell>
          <cell r="B1324" t="str">
            <v>AIP-PDO-P1701009-T-0849</v>
          </cell>
          <cell r="C1324">
            <v>43450</v>
          </cell>
          <cell r="D1324" t="str">
            <v>KHF-00-104265-AA-3341-00140-0000</v>
          </cell>
          <cell r="E1324" t="str">
            <v>CV FOR MR.ANILESH KUMAR SINGH_JOINTERS FOR FGS GRE - 100 BAR SYSTEM</v>
          </cell>
          <cell r="F1324">
            <v>1</v>
          </cell>
          <cell r="G1324" t="str">
            <v>IFA</v>
          </cell>
        </row>
        <row r="1325">
          <cell r="A1325" t="str">
            <v>KHF-00-104265-AA-3341-00141-0000-1</v>
          </cell>
          <cell r="B1325" t="str">
            <v>AIP-PDO-P1701009-T-0849</v>
          </cell>
          <cell r="C1325">
            <v>43450</v>
          </cell>
          <cell r="D1325" t="str">
            <v>KHF-00-104265-AA-3341-00141-0000</v>
          </cell>
          <cell r="E1325" t="str">
            <v>CV FOR MR.RAMASHISH RAM - JOINTERS FOR FGS GRE -100 BAR SYSTEM</v>
          </cell>
          <cell r="F1325">
            <v>1</v>
          </cell>
          <cell r="G1325" t="str">
            <v>IFA</v>
          </cell>
        </row>
        <row r="1326">
          <cell r="A1326" t="str">
            <v>KHF-00-104265-AA-3341-00142-0000-1</v>
          </cell>
          <cell r="B1326" t="str">
            <v>AIP-PDO-P1701009-T-0849</v>
          </cell>
          <cell r="C1326">
            <v>43450</v>
          </cell>
          <cell r="D1326" t="str">
            <v>KHF-00-104265-AA-3341-00142-0000</v>
          </cell>
          <cell r="E1326" t="str">
            <v>CV FOR MR.TOTAL MANDAL - JOINTERS FOR FGS GRE -100 BAR SYSTEM</v>
          </cell>
          <cell r="F1326">
            <v>1</v>
          </cell>
          <cell r="G1326" t="str">
            <v>IFA</v>
          </cell>
        </row>
        <row r="1327">
          <cell r="A1327" t="str">
            <v>KHF-00-104265-AA-3341-00143-0000-1</v>
          </cell>
          <cell r="B1327" t="str">
            <v>AIP-PDO-P1701009-T-0849</v>
          </cell>
          <cell r="C1327">
            <v>43450</v>
          </cell>
          <cell r="D1327" t="str">
            <v>KHF-00-104265-AA-3341-00143-0000</v>
          </cell>
          <cell r="E1327" t="str">
            <v>CV FOR MR.JITENDRA YADAV - JOINTERS FOR FGS GRE -100 BAR SYSTEM</v>
          </cell>
          <cell r="F1327">
            <v>1</v>
          </cell>
          <cell r="G1327" t="str">
            <v>IFA</v>
          </cell>
        </row>
        <row r="1328">
          <cell r="A1328" t="str">
            <v>KHF-00-104265-AA-3341-00144-0000-1</v>
          </cell>
          <cell r="B1328" t="str">
            <v>AIP-PDO-P1701009-T-0849</v>
          </cell>
          <cell r="C1328">
            <v>43450</v>
          </cell>
          <cell r="D1328" t="str">
            <v>KHF-00-104265-AA-3341-00144-0000</v>
          </cell>
          <cell r="E1328" t="str">
            <v>CV FOR MR.BHUPENDRA TIWARI - JOINTERS FOR FGS GRE - 100 BAR SYSTEM</v>
          </cell>
          <cell r="F1328">
            <v>1</v>
          </cell>
          <cell r="G1328" t="str">
            <v>IFA</v>
          </cell>
        </row>
        <row r="1329">
          <cell r="A1329" t="str">
            <v>KHF-00-104265-AA-3341-00145-0000-1</v>
          </cell>
          <cell r="B1329" t="str">
            <v>AIP-PDO-P1701009-T-0849</v>
          </cell>
          <cell r="C1329">
            <v>43450</v>
          </cell>
          <cell r="D1329" t="str">
            <v>KHF-00-104265-AA-3341-00145-0000</v>
          </cell>
          <cell r="E1329" t="str">
            <v>CV FOR MR.DIPAK KUMAR GUPTA - JOINTERS FOR FGS GRE - 100 BAR SYSTEM</v>
          </cell>
          <cell r="F1329">
            <v>1</v>
          </cell>
          <cell r="G1329" t="str">
            <v>IFA</v>
          </cell>
        </row>
        <row r="1330">
          <cell r="A1330" t="str">
            <v>KHF-00-104265-AA-3341-00146-0000-1</v>
          </cell>
          <cell r="B1330" t="str">
            <v>AIP-PDO-P1701009-T-0849</v>
          </cell>
          <cell r="C1330">
            <v>43450</v>
          </cell>
          <cell r="D1330" t="str">
            <v>KHF-00-104265-AA-3341-00146-0000</v>
          </cell>
          <cell r="E1330" t="str">
            <v>CV FOR MR.RADHE SHYAM - JOINTERS FOR FGS GRE - 100 BAR SYSTEM</v>
          </cell>
          <cell r="F1330">
            <v>1</v>
          </cell>
          <cell r="G1330" t="str">
            <v>IFA</v>
          </cell>
        </row>
        <row r="1331">
          <cell r="A1331" t="str">
            <v>KHF-00-104265-BA-6070-41014-0000-1</v>
          </cell>
          <cell r="B1331" t="str">
            <v>AIP-PDO-P1701009-T-0850</v>
          </cell>
          <cell r="C1331">
            <v>43451</v>
          </cell>
          <cell r="D1331" t="str">
            <v>KHF-00-104265-BA-6070-41014-0000</v>
          </cell>
          <cell r="E1331" t="str">
            <v>METHOD STATEMENT FOR THE GRANOLITIC FLOORING FOR BUILDING</v>
          </cell>
          <cell r="F1331">
            <v>1</v>
          </cell>
          <cell r="G1331" t="str">
            <v>IFR</v>
          </cell>
        </row>
        <row r="1332">
          <cell r="A1332" t="str">
            <v>KHF-00-104265-RA-8241-51160-0000-1</v>
          </cell>
          <cell r="B1332" t="str">
            <v>AIP-PDO-P1701009-T-0851</v>
          </cell>
          <cell r="C1332">
            <v>43452</v>
          </cell>
          <cell r="D1332" t="str">
            <v>KHF-00-104265-RA-8241-51160-0000</v>
          </cell>
          <cell r="E1332" t="str">
            <v>MATERIAL APPROVAL SHEET FOR HARDENED &amp; SEALED GRANOLTHIC FLOOR (F8 TYPE FLOOR FINISH)</v>
          </cell>
          <cell r="F1332">
            <v>1</v>
          </cell>
          <cell r="G1332" t="str">
            <v>IFA</v>
          </cell>
        </row>
        <row r="1333">
          <cell r="A1333" t="str">
            <v>KHF-00-104265-RA-8241-51156-0000-2</v>
          </cell>
          <cell r="B1333" t="str">
            <v>AIP-PDO-P1701009-T-0852</v>
          </cell>
          <cell r="C1333">
            <v>43452</v>
          </cell>
          <cell r="D1333" t="str">
            <v>KHF-00-104265-RA-8241-51156-0000</v>
          </cell>
          <cell r="E1333" t="str">
            <v>MATERIAL APPROVAL SHEET FOR INDOOR LIGHTING &amp; SMALL POWER DB</v>
          </cell>
          <cell r="F1333">
            <v>2</v>
          </cell>
          <cell r="G1333" t="str">
            <v>IFA</v>
          </cell>
        </row>
        <row r="1334">
          <cell r="A1334" t="str">
            <v>KHF-00-104265-LA-5009-00118-0000-3</v>
          </cell>
          <cell r="B1334" t="str">
            <v>AIP-PDO-P1701009-T-0853</v>
          </cell>
          <cell r="C1334">
            <v>43452</v>
          </cell>
          <cell r="D1334" t="str">
            <v>KHF-00-104265-LA-5009-00118-0000</v>
          </cell>
          <cell r="E1334" t="str">
            <v>MATERIAL APPROVAL SHEET (MAS) 3" G.I. Pipe (Class-L2) for Pipe line Marker Post - Off Plot.</v>
          </cell>
          <cell r="F1334">
            <v>3</v>
          </cell>
          <cell r="G1334" t="str">
            <v>IFA</v>
          </cell>
        </row>
        <row r="1335">
          <cell r="A1335" t="str">
            <v>KHF-00-104265-CX-4180-10062-0001-1</v>
          </cell>
          <cell r="B1335" t="str">
            <v>AIP-PDO-P1701009-T-0854</v>
          </cell>
          <cell r="C1335">
            <v>43452</v>
          </cell>
          <cell r="D1335" t="str">
            <v>KHF-00-104265-CX-4180-10062-0001</v>
          </cell>
          <cell r="E1335" t="str">
            <v>Drawings for Roller Shutter - 2 Hour Fire Rated Steel Roller Shutter Elevation, section, Specifications &amp; Component Details</v>
          </cell>
          <cell r="F1335">
            <v>1</v>
          </cell>
          <cell r="G1335" t="str">
            <v>IFI</v>
          </cell>
        </row>
        <row r="1336">
          <cell r="A1336" t="str">
            <v>KHF-00-104265-CX-4180-10062-0002-1</v>
          </cell>
          <cell r="B1336" t="str">
            <v>AIP-PDO-P1701009-T-0854</v>
          </cell>
          <cell r="C1336">
            <v>43452</v>
          </cell>
          <cell r="D1336" t="str">
            <v>KHF-00-104265-CX-4180-10062-0002</v>
          </cell>
          <cell r="E1336" t="str">
            <v>Drawings for Roller Shutter - 2 Hour Fire Rated Steel Roller Shutter Isometric View, Shutter Box Details &amp; Component Details</v>
          </cell>
          <cell r="F1336">
            <v>1</v>
          </cell>
          <cell r="G1336" t="str">
            <v>IFI</v>
          </cell>
        </row>
        <row r="1337">
          <cell r="A1337" t="str">
            <v>KHF-00-104265-BA-6070-43010-0000-2</v>
          </cell>
          <cell r="B1337" t="str">
            <v>AIP-PDO-P1701009-T-0855</v>
          </cell>
          <cell r="C1337">
            <v>43452</v>
          </cell>
          <cell r="D1337" t="str">
            <v>KHF-00-104265-BA-6070-43010-0000</v>
          </cell>
          <cell r="E1337" t="str">
            <v>METHOD STATEMENT SKIDDING &amp; JACKING / MECHANICAL PROTECTION OF 50/63 MVA, 11/134.5KV GTG STEP UP TRANSFORMERG-23001-TX</v>
          </cell>
          <cell r="F1337">
            <v>2</v>
          </cell>
          <cell r="G1337" t="str">
            <v>IFR</v>
          </cell>
        </row>
        <row r="1338">
          <cell r="A1338" t="str">
            <v>KHF-00-104265-BA-6070-42015-0000-1</v>
          </cell>
          <cell r="B1338" t="str">
            <v>AIP-PDO-P1701009-T-0856</v>
          </cell>
          <cell r="C1338">
            <v>43452</v>
          </cell>
          <cell r="D1338" t="str">
            <v>KHF-00-104265-BA-6070-42015-0000</v>
          </cell>
          <cell r="E1338" t="str">
            <v>METHOD STATEMENT FOR INSTALLATION &amp; ALIGNMENT OF STATIC EQUIPMENTS (AREA-200)</v>
          </cell>
          <cell r="F1338">
            <v>1</v>
          </cell>
          <cell r="G1338" t="str">
            <v>IFR</v>
          </cell>
        </row>
        <row r="1339">
          <cell r="A1339" t="str">
            <v>KHF-00-104265-RA-6038-00606-0000-2</v>
          </cell>
          <cell r="B1339" t="str">
            <v>AIP-PDO-P1701009-T-0857</v>
          </cell>
          <cell r="C1339">
            <v>43452</v>
          </cell>
          <cell r="D1339" t="str">
            <v>KHF-00-104265-RA-6038-00606-0000</v>
          </cell>
          <cell r="E1339" t="str">
            <v>Procedure for Post Weld Heat Treatment for Piping (HI-TECH)</v>
          </cell>
          <cell r="F1339">
            <v>2</v>
          </cell>
          <cell r="G1339" t="str">
            <v>IFR</v>
          </cell>
        </row>
        <row r="1340">
          <cell r="A1340" t="str">
            <v>cancelled</v>
          </cell>
          <cell r="B1340" t="str">
            <v>AIP-PDO-P1701009-T-0858</v>
          </cell>
          <cell r="C1340">
            <v>43452</v>
          </cell>
          <cell r="D1340" t="str">
            <v>KHF-00-104265-BA-6070-01201-0000</v>
          </cell>
          <cell r="E1340" t="str">
            <v>METHOD OF STATEMENT FOR PRECAST CONCRETE WORKS</v>
          </cell>
          <cell r="F1340">
            <v>1</v>
          </cell>
          <cell r="G1340" t="str">
            <v>IFR</v>
          </cell>
        </row>
        <row r="1341">
          <cell r="A1341" t="str">
            <v>cancelled</v>
          </cell>
          <cell r="B1341" t="str">
            <v>AIP-PDO-P1701009-T-0858</v>
          </cell>
          <cell r="C1341">
            <v>43452</v>
          </cell>
          <cell r="D1341" t="str">
            <v>KHF-00-104265-QA-5733-01201-0000</v>
          </cell>
          <cell r="E1341" t="str">
            <v>INSPECTION TEST PLAN FOR PRECAST CONCRETE ELEMENTS</v>
          </cell>
          <cell r="F1341">
            <v>1</v>
          </cell>
          <cell r="G1341" t="str">
            <v>IFR</v>
          </cell>
        </row>
        <row r="1342">
          <cell r="A1342" t="str">
            <v>cancelled</v>
          </cell>
          <cell r="B1342" t="str">
            <v>AIP-PDO-P1701009-T-0858</v>
          </cell>
          <cell r="C1342">
            <v>43452</v>
          </cell>
          <cell r="D1342" t="str">
            <v>KHF-00-104265-RA-8241-01201-0000</v>
          </cell>
          <cell r="E1342" t="str">
            <v>MATERIAL APPROVAL SHEET FOR PRECAST MANUFACTURER - AL-TASNIM PRECAST</v>
          </cell>
          <cell r="F1342">
            <v>1</v>
          </cell>
          <cell r="G1342" t="str">
            <v>IFR</v>
          </cell>
        </row>
        <row r="1343">
          <cell r="A1343" t="str">
            <v>KHF-00-104265-AA-3352-10063-0000-1</v>
          </cell>
          <cell r="B1343" t="str">
            <v>AIP-PDO-P1701009-T-0859</v>
          </cell>
          <cell r="C1343">
            <v>43453</v>
          </cell>
          <cell r="D1343" t="str">
            <v>KHF-00-104265-AA-3352-10063-0000</v>
          </cell>
          <cell r="E1343" t="str">
            <v>YKP AIP HSSE Organogram</v>
          </cell>
          <cell r="F1343">
            <v>1</v>
          </cell>
          <cell r="G1343" t="str">
            <v>IFI</v>
          </cell>
        </row>
        <row r="1344">
          <cell r="A1344" t="str">
            <v>KHF-00-104265-AA-3341-00901-0000-1</v>
          </cell>
          <cell r="B1344" t="str">
            <v>AIP-PDO-P1701009-T-0860</v>
          </cell>
          <cell r="C1344">
            <v>43454</v>
          </cell>
          <cell r="D1344" t="str">
            <v>KHF-00-104265-AA-3341-00901-0000</v>
          </cell>
          <cell r="E1344" t="str">
            <v>CV FOR MR. PEDISETTI GANESH- NDT TECHNICIAN</v>
          </cell>
          <cell r="F1344">
            <v>1</v>
          </cell>
          <cell r="G1344" t="str">
            <v>IFA</v>
          </cell>
        </row>
        <row r="1345">
          <cell r="A1345" t="str">
            <v>withdrawn</v>
          </cell>
          <cell r="B1345" t="str">
            <v>AIP-PDO-P1701009-T-0861</v>
          </cell>
          <cell r="C1345">
            <v>43457</v>
          </cell>
          <cell r="D1345" t="str">
            <v>KHF-00-104265-RA-8241-51161-0000</v>
          </cell>
          <cell r="E1345" t="str">
            <v>MATERIAL APPROVAL SHEET FOR ACID RESISTANT PAINT FOR BATTERY ROOMS</v>
          </cell>
          <cell r="F1345">
            <v>1</v>
          </cell>
          <cell r="G1345" t="str">
            <v>withdrawn</v>
          </cell>
        </row>
        <row r="1346">
          <cell r="A1346" t="str">
            <v>KHF-00-104265-QA-5733-23012-0000-2</v>
          </cell>
          <cell r="B1346" t="str">
            <v>AIP-PDO-P1701009-T-0862</v>
          </cell>
          <cell r="C1346">
            <v>43457</v>
          </cell>
          <cell r="D1346" t="str">
            <v>KHF-00-104265-QA-5733-23012-0000</v>
          </cell>
          <cell r="E1346" t="str">
            <v>INSPECTION AND TEST PLAN FOR INSTALLATION OF HVAC SYSTEM</v>
          </cell>
          <cell r="F1346">
            <v>2</v>
          </cell>
          <cell r="G1346" t="str">
            <v>IFA</v>
          </cell>
        </row>
        <row r="1347">
          <cell r="A1347" t="str">
            <v>withdrawn</v>
          </cell>
          <cell r="B1347" t="str">
            <v>AIP-PDO-P1701009-T-0863</v>
          </cell>
          <cell r="C1347">
            <v>43457</v>
          </cell>
          <cell r="D1347" t="str">
            <v>KHF-00-104265-QA-6050-32004-0000</v>
          </cell>
          <cell r="E1347" t="str">
            <v>QUALITY CONTROL PROCEDURE FOR CONTROL MEASURES OF M/s GIEMINOX PIPE SPOOL 100% RADIOGRAPHY AT YKP SITE</v>
          </cell>
          <cell r="F1347">
            <v>1</v>
          </cell>
          <cell r="G1347" t="str">
            <v>withdrawn</v>
          </cell>
        </row>
        <row r="1348">
          <cell r="A1348" t="str">
            <v>KHF-00-104265-BA-6070-00151-0000-1</v>
          </cell>
          <cell r="B1348" t="str">
            <v>AIP-PDO-P1701009-T-0864</v>
          </cell>
          <cell r="C1348">
            <v>43457</v>
          </cell>
          <cell r="D1348" t="str">
            <v>KHF-00-104265-BA-6070-00151-0000</v>
          </cell>
          <cell r="E1348" t="str">
            <v>Method Statement for Three layer polythene (3LPE) coating application on casing line pipes</v>
          </cell>
          <cell r="F1348">
            <v>1</v>
          </cell>
          <cell r="G1348" t="str">
            <v>IFR</v>
          </cell>
        </row>
        <row r="1349">
          <cell r="A1349" t="str">
            <v>KHF-00-104265-AA-3347-30028-0000-1</v>
          </cell>
          <cell r="B1349" t="str">
            <v>AIP-PDO-P1701009-T-0865</v>
          </cell>
          <cell r="C1349">
            <v>43457</v>
          </cell>
          <cell r="D1349" t="str">
            <v>KHF-00-104265-AA-3347-30028-0000</v>
          </cell>
          <cell r="E1349" t="str">
            <v>MINUTES OF WEEKLY REVIEW MEETING (SITE) NO.28</v>
          </cell>
          <cell r="F1349">
            <v>1</v>
          </cell>
          <cell r="G1349" t="str">
            <v>IFI</v>
          </cell>
        </row>
        <row r="1350">
          <cell r="A1350" t="str">
            <v>KHF-00-104265-RA-8241-51159-0000-1</v>
          </cell>
          <cell r="B1350" t="str">
            <v>AIP-PDO-P1701009-T-0866</v>
          </cell>
          <cell r="C1350">
            <v>43457</v>
          </cell>
          <cell r="D1350" t="str">
            <v>KHF-00-104265-RA-8241-51159-0000</v>
          </cell>
          <cell r="E1350" t="str">
            <v>MATERIAL APPROVAL SHEET FOR GALVANISED ADJUSTABLE CABLE CLAMP WITH ACCESSORIES FOR INSTRUMENTATION</v>
          </cell>
          <cell r="F1350">
            <v>1</v>
          </cell>
          <cell r="G1350" t="str">
            <v>IFA</v>
          </cell>
        </row>
        <row r="1351">
          <cell r="A1351" t="str">
            <v>KHF-00-104265-AA-3341-00147-0000-1</v>
          </cell>
          <cell r="B1351" t="str">
            <v>AIP-PDO-P1701009-T-0867</v>
          </cell>
          <cell r="C1351">
            <v>43457</v>
          </cell>
          <cell r="D1351" t="str">
            <v>KHF-00-104265-AA-3341-00147-0000</v>
          </cell>
          <cell r="E1351" t="str">
            <v>CV FOR MR.SAKIR F VAHORA - GRE SUPERVISOR (FGS THREADED SYSTEM 80 AND 100 BAR)</v>
          </cell>
          <cell r="F1351">
            <v>1</v>
          </cell>
          <cell r="G1351" t="str">
            <v>IFA</v>
          </cell>
        </row>
        <row r="1352">
          <cell r="A1352" t="str">
            <v>KHF-00-104265-AA-3341-00148-0000-1</v>
          </cell>
          <cell r="B1352" t="str">
            <v>AIP-PDO-P1701009-T-0867</v>
          </cell>
          <cell r="C1352">
            <v>43457</v>
          </cell>
          <cell r="D1352" t="str">
            <v>KHF-00-104265-AA-3341-00148-0000</v>
          </cell>
          <cell r="E1352" t="str">
            <v>CV FOR MR.VAHORA JAVED SALIM - GRE SUPERVISOR (FGS THREADED SYSTEM 80 AND 100 BAR)</v>
          </cell>
          <cell r="F1352">
            <v>1</v>
          </cell>
          <cell r="G1352" t="str">
            <v>IFA</v>
          </cell>
        </row>
        <row r="1353">
          <cell r="A1353" t="str">
            <v>KHF-00-104265-AA-6944-10059-0000-1</v>
          </cell>
          <cell r="B1353" t="str">
            <v>AIP-PDO-P1701009-T-0868</v>
          </cell>
          <cell r="C1353">
            <v>43457</v>
          </cell>
          <cell r="D1353" t="str">
            <v>KHF-00-104265-AA-6944-10059-0000</v>
          </cell>
          <cell r="E1353" t="str">
            <v>WEEKLY PROGRESS REPORT NO.059</v>
          </cell>
          <cell r="F1353">
            <v>1</v>
          </cell>
          <cell r="G1353" t="str">
            <v>IFR</v>
          </cell>
        </row>
        <row r="1354">
          <cell r="A1354" t="str">
            <v>KHF-00-104265-BA-6070-42016-0000-1</v>
          </cell>
          <cell r="B1354" t="str">
            <v>AIP-PDO-P1701009-T-0869</v>
          </cell>
          <cell r="C1354">
            <v>43458</v>
          </cell>
          <cell r="D1354" t="str">
            <v>KHF-00-104265-BA-6070-42016-0000</v>
          </cell>
          <cell r="E1354" t="str">
            <v>METHOD STATEMENT FOR PICKLING AND PASSIVATION</v>
          </cell>
          <cell r="F1354">
            <v>1</v>
          </cell>
          <cell r="G1354" t="str">
            <v>IFR</v>
          </cell>
        </row>
        <row r="1355">
          <cell r="A1355" t="str">
            <v>KHF-00-104265-BA-6070-42017-0000-1</v>
          </cell>
          <cell r="B1355" t="str">
            <v>AIP-PDO-P1701009-T-0869</v>
          </cell>
          <cell r="C1355">
            <v>43458</v>
          </cell>
          <cell r="D1355" t="str">
            <v>KHF-00-104265-BA-6070-42017-0000</v>
          </cell>
          <cell r="E1355" t="str">
            <v>METHOD STATEMENT FOR DISMANTLING &amp; INSTALLATION OF TIE IN SPOOLS</v>
          </cell>
          <cell r="F1355">
            <v>1</v>
          </cell>
          <cell r="G1355" t="str">
            <v>IFR</v>
          </cell>
        </row>
        <row r="1356">
          <cell r="A1356" t="str">
            <v>KHF-00-104265-LA-0580-00147-0000-1</v>
          </cell>
          <cell r="B1356" t="str">
            <v>AIP-PDO-P1701009-T-0870</v>
          </cell>
          <cell r="C1356">
            <v>43458</v>
          </cell>
          <cell r="D1356" t="str">
            <v>KHF-00-104265-LA-0580-00147-0000</v>
          </cell>
          <cell r="E1356" t="str">
            <v>RO water from Fahud RO Plant -Analysis report (Water required for pipeline hydro testing)</v>
          </cell>
          <cell r="F1356">
            <v>1</v>
          </cell>
          <cell r="G1356" t="str">
            <v>IFR</v>
          </cell>
        </row>
        <row r="1357">
          <cell r="A1357" t="str">
            <v>KHF-00-104265-QA-6050-00117-0000-1</v>
          </cell>
          <cell r="B1357" t="str">
            <v>AIP-PDO-P1701009-T-0871</v>
          </cell>
          <cell r="C1357">
            <v>43459</v>
          </cell>
          <cell r="D1357" t="str">
            <v>KHF-00-104265-QA-6050-00117-0000</v>
          </cell>
          <cell r="E1357" t="str">
            <v>QUALITY CONTROL PLAN FOR 3LPE COATING</v>
          </cell>
          <cell r="F1357">
            <v>1</v>
          </cell>
          <cell r="G1357" t="str">
            <v>IFR</v>
          </cell>
        </row>
        <row r="1358">
          <cell r="A1358" t="str">
            <v>KHF-00-104265-QA-5733-22001-0000-2</v>
          </cell>
          <cell r="B1358" t="str">
            <v>AIP-PDO-P1701009-T-0872</v>
          </cell>
          <cell r="C1358">
            <v>43459</v>
          </cell>
          <cell r="D1358" t="str">
            <v>KHF-00-104265-QA-5733-22001-0000</v>
          </cell>
          <cell r="E1358" t="str">
            <v>INSPECTION AND TEST PLAN FOR INSTALLATION AND TESTING OF EOT CRANE</v>
          </cell>
          <cell r="F1358">
            <v>2</v>
          </cell>
          <cell r="G1358" t="str">
            <v>IFA</v>
          </cell>
        </row>
        <row r="1359">
          <cell r="A1359" t="str">
            <v>KHF-00-104265-QA-5733-22008-0000-2</v>
          </cell>
          <cell r="B1359" t="str">
            <v>AIP-PDO-P1701009-T-0873</v>
          </cell>
          <cell r="C1359">
            <v>43459</v>
          </cell>
          <cell r="D1359" t="str">
            <v>KHF-00-104265-QA-5733-22008-0000</v>
          </cell>
          <cell r="E1359" t="str">
            <v>INSPECTION &amp; TEST PLAN FOR INSTALLATION OF FINFAN COOLER</v>
          </cell>
          <cell r="F1359">
            <v>2</v>
          </cell>
          <cell r="G1359" t="str">
            <v>IFA</v>
          </cell>
        </row>
        <row r="1360">
          <cell r="A1360" t="str">
            <v>KHF-00-104265-QA-5733-01001-0000-2</v>
          </cell>
          <cell r="B1360" t="str">
            <v>AIP-PDO-P1701009-T-0874</v>
          </cell>
          <cell r="C1360">
            <v>43459</v>
          </cell>
          <cell r="D1360" t="str">
            <v>KHF-00-104265-QA-5733-01001-0000</v>
          </cell>
          <cell r="E1360" t="str">
            <v>INSPECTION &amp; TEST PLAN FOR PE ROTOLINING OF CS SPOOLS</v>
          </cell>
          <cell r="F1360">
            <v>2</v>
          </cell>
          <cell r="G1360" t="str">
            <v>IFA</v>
          </cell>
        </row>
        <row r="1361">
          <cell r="A1361" t="str">
            <v>KHF-00-104265-QA-5733-23008-0000-4</v>
          </cell>
          <cell r="B1361" t="str">
            <v>AIP-PDO-P1701009-T-0875</v>
          </cell>
          <cell r="C1361">
            <v>43459</v>
          </cell>
          <cell r="D1361" t="str">
            <v>KHF-00-104265-QA-5733-23008-0000</v>
          </cell>
          <cell r="E1361" t="str">
            <v>INSPECTION AND TEST PLAN FOR LIGHTING &amp; SMALL POWER WORKS</v>
          </cell>
          <cell r="F1361">
            <v>4</v>
          </cell>
          <cell r="G1361" t="str">
            <v>IFA</v>
          </cell>
        </row>
        <row r="1362">
          <cell r="A1362" t="str">
            <v>KHF-00-104265-QA-5733-24004-0000-4</v>
          </cell>
          <cell r="B1362" t="str">
            <v>AIP-PDO-P1701009-T-0876</v>
          </cell>
          <cell r="C1362">
            <v>43459</v>
          </cell>
          <cell r="D1362" t="str">
            <v>KHF-00-104265-QA-5733-24004-0000</v>
          </cell>
          <cell r="E1362" t="str">
            <v>INSPECTION AND TEST PLAN FOR INSTALLATION AND TESTING OF IMPLUSE AND AIRLINE TUBING</v>
          </cell>
          <cell r="F1362">
            <v>4</v>
          </cell>
          <cell r="G1362" t="str">
            <v>IFA</v>
          </cell>
        </row>
        <row r="1363">
          <cell r="A1363" t="str">
            <v>KHF-00-104265-HX-6180-00901-0000-2</v>
          </cell>
          <cell r="B1363" t="str">
            <v>AIP-PDO-P1701009-T-0877</v>
          </cell>
          <cell r="C1363">
            <v>43459</v>
          </cell>
          <cell r="D1363" t="str">
            <v>KHF-00-104265-HX-6180-00901-0000</v>
          </cell>
          <cell r="E1363" t="str">
            <v>PROCEDURE FOR RADIATION SAFETY</v>
          </cell>
          <cell r="F1363">
            <v>2</v>
          </cell>
          <cell r="G1363" t="str">
            <v>IFA</v>
          </cell>
        </row>
        <row r="1364">
          <cell r="A1364" t="str">
            <v>KHF-00-104265-HX-6180-00902-0000-2</v>
          </cell>
          <cell r="B1364" t="str">
            <v>AIP-PDO-P1701009-T-0877</v>
          </cell>
          <cell r="C1364">
            <v>43459</v>
          </cell>
          <cell r="D1364" t="str">
            <v>KHF-00-104265-HX-6180-00902-0000</v>
          </cell>
          <cell r="E1364" t="str">
            <v>STANDARD HANDLING PROCEDURES FOR THE TRANSPORT OF RADIOISOTOPES</v>
          </cell>
          <cell r="F1364">
            <v>2</v>
          </cell>
          <cell r="G1364" t="str">
            <v>IFA</v>
          </cell>
        </row>
        <row r="1365">
          <cell r="A1365" t="str">
            <v>KHF-00-104265-HX-6180-00903-0000-2</v>
          </cell>
          <cell r="B1365" t="str">
            <v>AIP-PDO-P1701009-T-0877</v>
          </cell>
          <cell r="C1365">
            <v>43459</v>
          </cell>
          <cell r="D1365" t="str">
            <v>KHF-00-104265-HX-6180-00903-0000</v>
          </cell>
          <cell r="E1365" t="str">
            <v>PROCEDURE FOR SOURCE EXCHANGE</v>
          </cell>
          <cell r="F1365">
            <v>2</v>
          </cell>
          <cell r="G1365" t="str">
            <v>IFA</v>
          </cell>
        </row>
        <row r="1366">
          <cell r="A1366" t="str">
            <v>KHF-00-104265-HX-6180-00904-0000-2</v>
          </cell>
          <cell r="B1366" t="str">
            <v>AIP-PDO-P1701009-T-0877</v>
          </cell>
          <cell r="C1366">
            <v>43459</v>
          </cell>
          <cell r="D1366" t="str">
            <v>KHF-00-104265-HX-6180-00904-0000</v>
          </cell>
          <cell r="E1366" t="str">
            <v>PROCEDURE FOR EMERGENCY PREPAREDNESS AND INCIDENT /ACCIDENT REPORTING AND INVESTIGATIONS</v>
          </cell>
          <cell r="F1366">
            <v>2</v>
          </cell>
          <cell r="G1366" t="str">
            <v>IFA</v>
          </cell>
        </row>
        <row r="1367">
          <cell r="A1367" t="str">
            <v>KHF-00-104265-HX-6180-00905-0000-2</v>
          </cell>
          <cell r="B1367" t="str">
            <v>AIP-PDO-P1701009-T-0877</v>
          </cell>
          <cell r="C1367">
            <v>43459</v>
          </cell>
          <cell r="D1367" t="str">
            <v>KHF-00-104265-HX-6180-00905-0000</v>
          </cell>
          <cell r="E1367" t="str">
            <v>PROCEDURE FOR WASTE DISPOSAL</v>
          </cell>
          <cell r="F1367">
            <v>2</v>
          </cell>
          <cell r="G1367" t="str">
            <v>IFA</v>
          </cell>
        </row>
        <row r="1368">
          <cell r="A1368" t="str">
            <v>KHF-00-104265-LA-5009-00122-0000-1</v>
          </cell>
          <cell r="B1368" t="str">
            <v>AIP-PDO-P1701009-T-0878</v>
          </cell>
          <cell r="C1368">
            <v>43460</v>
          </cell>
          <cell r="D1368" t="str">
            <v>KHF-00-104265-LA-5009-00122-0000</v>
          </cell>
          <cell r="E1368" t="str">
            <v>MATERIAL APPROVAL SHEET (MAS) TYPE-B MATERIAL FOR ROW ACCESS ROAD</v>
          </cell>
          <cell r="F1368">
            <v>1</v>
          </cell>
          <cell r="G1368" t="str">
            <v>IFA</v>
          </cell>
        </row>
        <row r="1369">
          <cell r="A1369" t="str">
            <v>KHF-00-104265-QA-5733-23012-0000-3</v>
          </cell>
          <cell r="B1369" t="str">
            <v>AIP-PDO-P1701009-T-0879</v>
          </cell>
          <cell r="C1369">
            <v>43460</v>
          </cell>
          <cell r="D1369" t="str">
            <v>KHF-00-104265-QA-5733-23012-0000</v>
          </cell>
          <cell r="E1369" t="str">
            <v>INSPECTION AND TEST PLAN FOR INSTALLATION OF HVAC SYSTEM</v>
          </cell>
          <cell r="F1369">
            <v>3</v>
          </cell>
          <cell r="G1369" t="str">
            <v>IFA</v>
          </cell>
        </row>
        <row r="1370">
          <cell r="A1370" t="str">
            <v>KHF-00-104265-RA-8241-51165-0000-1</v>
          </cell>
          <cell r="B1370" t="str">
            <v>AIP-PDO-P1701009-T-0880</v>
          </cell>
          <cell r="C1370">
            <v>43461</v>
          </cell>
          <cell r="D1370" t="str">
            <v>KHF-00-104265-RA-8241-51165-0000</v>
          </cell>
          <cell r="E1370" t="str">
            <v>MATERIAL APPROVAL SHEET FOR ACID RESISTANT PAINT FOR BATTERY ROOMS</v>
          </cell>
          <cell r="F1370">
            <v>1</v>
          </cell>
          <cell r="G1370" t="str">
            <v>IFA</v>
          </cell>
        </row>
        <row r="1371">
          <cell r="A1371" t="str">
            <v>KHF-00-104265-RA-8241-51127-0000-2</v>
          </cell>
          <cell r="B1371" t="str">
            <v>AIP-PDO-P1701009-T-0881</v>
          </cell>
          <cell r="C1371">
            <v>43461</v>
          </cell>
          <cell r="D1371" t="str">
            <v>KHF-00-104265-RA-8241-51127-0000</v>
          </cell>
          <cell r="E1371" t="str">
            <v>MATERIAL APPROVAL SHEET FOR ELECTRICAL CABLE GLAND</v>
          </cell>
          <cell r="F1371">
            <v>2</v>
          </cell>
          <cell r="G1371" t="str">
            <v>IFA</v>
          </cell>
        </row>
        <row r="1372">
          <cell r="A1372" t="str">
            <v>KHF-00-104265-AA-3347-30029-0000-1</v>
          </cell>
          <cell r="B1372" t="str">
            <v>AIP-PDO-P1701009-T-0882</v>
          </cell>
          <cell r="C1372">
            <v>43461</v>
          </cell>
          <cell r="D1372" t="str">
            <v>KHF-00-104265-AA-3347-30029-0000</v>
          </cell>
          <cell r="E1372" t="str">
            <v>MINUTES OF WEEKLY REVIEW MEETING (SITE) NO.29</v>
          </cell>
          <cell r="F1372">
            <v>1</v>
          </cell>
          <cell r="G1372" t="str">
            <v>IFI</v>
          </cell>
        </row>
        <row r="1373">
          <cell r="A1373" t="str">
            <v>KHF-00-104265-AA-6944-10060-0000-1</v>
          </cell>
          <cell r="B1373" t="str">
            <v>AIP-PDO-P1701009-T-0883</v>
          </cell>
          <cell r="C1373">
            <v>43464</v>
          </cell>
          <cell r="D1373" t="str">
            <v>KHF-00-104265-AA-6944-10060-0000</v>
          </cell>
          <cell r="E1373" t="str">
            <v>WEEKLY PROGRESS REPORT NO.060</v>
          </cell>
          <cell r="F1373">
            <v>1</v>
          </cell>
          <cell r="G1373" t="str">
            <v>IFR</v>
          </cell>
        </row>
        <row r="1374">
          <cell r="A1374" t="str">
            <v>KHF-00-104265-BA-6070-43011-0000-2</v>
          </cell>
          <cell r="B1374" t="str">
            <v>AIP-PDO-P1701009-T-0884</v>
          </cell>
          <cell r="C1374">
            <v>43464</v>
          </cell>
          <cell r="D1374" t="str">
            <v>KHF-00-104265-BA-6070-43011-0000</v>
          </cell>
          <cell r="E1374" t="str">
            <v>METHOD STATEMENT FOR MODIFICATION WORK IN G94100-GIS TAMCO SWITCHBOARD TYPE GV3 AT GGP-IV SUBSTATION</v>
          </cell>
          <cell r="F1374">
            <v>2</v>
          </cell>
          <cell r="G1374" t="str">
            <v>IFA</v>
          </cell>
        </row>
        <row r="1375">
          <cell r="A1375" t="str">
            <v>KHF-00-104265-RA-6038-00609-0000-1</v>
          </cell>
          <cell r="B1375" t="str">
            <v>AIP-PDO-P1701009-T-0885</v>
          </cell>
          <cell r="C1375">
            <v>43466</v>
          </cell>
          <cell r="D1375" t="str">
            <v>KHF-00-104265-RA-6038-00609-0000</v>
          </cell>
          <cell r="E1375" t="str">
            <v>VISUAL EXAMINATION PROCEDURE FOR CS / LTCS / SS &amp; ALLOY PIPING SPOOLS</v>
          </cell>
          <cell r="F1375">
            <v>1</v>
          </cell>
          <cell r="G1375" t="str">
            <v>IFR</v>
          </cell>
        </row>
        <row r="1376">
          <cell r="A1376" t="str">
            <v>KHF-00-104265-QA-6050-32007-0000-1</v>
          </cell>
          <cell r="B1376" t="str">
            <v>AIP-PDO-P1701009-T-0886</v>
          </cell>
          <cell r="C1376">
            <v>43466</v>
          </cell>
          <cell r="D1376" t="str">
            <v>KHF-00-104265-QA-6050-32007-0000</v>
          </cell>
          <cell r="E1376" t="str">
            <v>QUALITY CONTROL PROCEDURE FOR VISUAL EXAMINATION OF PIPING</v>
          </cell>
          <cell r="F1376">
            <v>1</v>
          </cell>
          <cell r="G1376" t="str">
            <v>IFR</v>
          </cell>
        </row>
        <row r="1377">
          <cell r="A1377" t="str">
            <v>KHF-00-104265-BA-6070-42006-0000-2</v>
          </cell>
          <cell r="B1377" t="str">
            <v>AIP-PDO-P1701009-T-0887</v>
          </cell>
          <cell r="C1377">
            <v>43466</v>
          </cell>
          <cell r="D1377" t="str">
            <v>KHF-00-104265-BA-6070-42006-0000</v>
          </cell>
          <cell r="E1377" t="str">
            <v>METHOD STATEMENT FOR FLANGE TIGHTENING</v>
          </cell>
          <cell r="F1377">
            <v>2</v>
          </cell>
          <cell r="G1377" t="str">
            <v>IFA</v>
          </cell>
        </row>
        <row r="1378">
          <cell r="A1378" t="str">
            <v>KHF-00-104265-AA-3341-00149-0000-1</v>
          </cell>
          <cell r="B1378" t="str">
            <v>AIP-PDO-P1701009-T-0888</v>
          </cell>
          <cell r="C1378">
            <v>43466</v>
          </cell>
          <cell r="D1378" t="str">
            <v>KHF-00-104265-AA-3341-00149-0000</v>
          </cell>
          <cell r="E1378" t="str">
            <v>CV OF MR.GANESH CHINTALA - SR.HSE ADVISOR</v>
          </cell>
          <cell r="F1378">
            <v>1</v>
          </cell>
          <cell r="G1378" t="str">
            <v>IFR</v>
          </cell>
        </row>
        <row r="1379">
          <cell r="A1379" t="str">
            <v>KHF-00-104265-RA-8241-51166-0000-1</v>
          </cell>
          <cell r="B1379" t="str">
            <v>AIP-PDO-P1701009-T-0889</v>
          </cell>
          <cell r="C1379">
            <v>43467</v>
          </cell>
          <cell r="D1379" t="str">
            <v>KHF-00-104265-RA-8241-51166-0000</v>
          </cell>
          <cell r="E1379" t="str">
            <v>MATERIAL APPROVAL SHEET FOR HDG STEEL PIPE USED AT DEEP WELL EARTH PIT WORKS</v>
          </cell>
          <cell r="F1379">
            <v>1</v>
          </cell>
          <cell r="G1379" t="str">
            <v>IFA</v>
          </cell>
        </row>
        <row r="1380">
          <cell r="A1380" t="str">
            <v>KHF-00-104265-HX-6613-10049-0000-2</v>
          </cell>
          <cell r="B1380" t="str">
            <v>AIP-PDO-P1701009-T-0890</v>
          </cell>
          <cell r="C1380">
            <v>43467</v>
          </cell>
          <cell r="D1380" t="str">
            <v>KHF-00-104265-HX-6613-10049-0000</v>
          </cell>
          <cell r="E1380" t="str">
            <v>WORK HEMP REGISTER Catering Service Contract AIP/YKP</v>
          </cell>
          <cell r="F1380">
            <v>2</v>
          </cell>
          <cell r="G1380" t="str">
            <v>IFR</v>
          </cell>
        </row>
        <row r="1381">
          <cell r="A1381" t="str">
            <v>KHF-00-104265-QA-6050-32004-0000-1</v>
          </cell>
          <cell r="B1381" t="str">
            <v>AIP-PDO-P1701009-T-0891</v>
          </cell>
          <cell r="C1381">
            <v>43467</v>
          </cell>
          <cell r="D1381" t="str">
            <v>KHF-00-104265-QA-6050-32004-0000</v>
          </cell>
          <cell r="E1381" t="str">
            <v>QUALITY CONTROL PROCEDURE FOR CONTROL MEASURES OF M/s GIEMINOX PIPE SPOOL 100% RADIOGRAPHY AT YKP SITE</v>
          </cell>
          <cell r="F1381">
            <v>1</v>
          </cell>
          <cell r="G1381" t="str">
            <v>IFR</v>
          </cell>
        </row>
        <row r="1382">
          <cell r="A1382" t="str">
            <v>withdrawn</v>
          </cell>
          <cell r="B1382" t="str">
            <v>AIP-PDO-P1701009-T-0892</v>
          </cell>
          <cell r="C1382">
            <v>43468</v>
          </cell>
          <cell r="D1382" t="str">
            <v>KHF-00-104265-RA-8241-51167-0000</v>
          </cell>
          <cell r="E1382" t="str">
            <v>Material Approval Sheet for Granolithic Flooring for Substation Buildings</v>
          </cell>
          <cell r="F1382">
            <v>1</v>
          </cell>
          <cell r="G1382" t="str">
            <v>withdrawn</v>
          </cell>
        </row>
        <row r="1383">
          <cell r="A1383" t="str">
            <v>KHF-00-104265-RA-8241-51167-0000-1</v>
          </cell>
          <cell r="B1383" t="str">
            <v>AIP-PDO-P1701009-T-0893</v>
          </cell>
          <cell r="C1383">
            <v>43468</v>
          </cell>
          <cell r="D1383" t="str">
            <v>KHF-00-104265-RA-8241-51167-0000</v>
          </cell>
          <cell r="E1383" t="str">
            <v>Material Approval Sheet for Granolithic Flooring for Substation Buildings</v>
          </cell>
          <cell r="F1383">
            <v>1</v>
          </cell>
          <cell r="G1383" t="str">
            <v>IFA</v>
          </cell>
        </row>
        <row r="1384">
          <cell r="A1384" t="str">
            <v>KHF-00-104265-RA-8241-01001-0000-2</v>
          </cell>
          <cell r="B1384" t="str">
            <v>AIP-PDO-P1701009-T-0894</v>
          </cell>
          <cell r="C1384">
            <v>43471</v>
          </cell>
          <cell r="D1384" t="str">
            <v>KHF-00-104265-RA-8241-01001-0000</v>
          </cell>
          <cell r="E1384" t="str">
            <v>Material Approval Sheet for (ROTOLINING)</v>
          </cell>
          <cell r="F1384">
            <v>2</v>
          </cell>
          <cell r="G1384" t="str">
            <v>IFA</v>
          </cell>
        </row>
        <row r="1385">
          <cell r="A1385" t="str">
            <v>KHF-00-104265-QA-5733-24009-0000-1</v>
          </cell>
          <cell r="B1385" t="str">
            <v>AIP-PDO-P1701009-T-0895</v>
          </cell>
          <cell r="C1385">
            <v>43471</v>
          </cell>
          <cell r="D1385" t="str">
            <v>KHF-00-104265-QA-5733-24009-0000</v>
          </cell>
          <cell r="E1385" t="str">
            <v>Inspection Test Plan for Instrument Loop Checking</v>
          </cell>
          <cell r="F1385">
            <v>1</v>
          </cell>
          <cell r="G1385" t="str">
            <v>IFR</v>
          </cell>
        </row>
        <row r="1386">
          <cell r="A1386" t="str">
            <v>withdrawn</v>
          </cell>
          <cell r="B1386" t="str">
            <v>AIP-PDO-P1701009-T-0896</v>
          </cell>
          <cell r="C1386">
            <v>43471</v>
          </cell>
          <cell r="D1386" t="str">
            <v>KHF-00-104265-QA-5733-22005-0000</v>
          </cell>
          <cell r="E1386" t="str">
            <v>Inspection Test Plan for Installation of above Ground Carbon Steel Pipeline Works</v>
          </cell>
          <cell r="F1386">
            <v>3</v>
          </cell>
          <cell r="G1386" t="str">
            <v>withdrawn</v>
          </cell>
        </row>
        <row r="1387">
          <cell r="A1387" t="str">
            <v>KHF-00-104265-AA-3341-00150-0000-1</v>
          </cell>
          <cell r="B1387" t="str">
            <v>AIP-PDO-P1701009-T-0897</v>
          </cell>
          <cell r="C1387">
            <v>43471</v>
          </cell>
          <cell r="D1387" t="str">
            <v>KHF-00-104265-AA-3341-00150-0000</v>
          </cell>
          <cell r="E1387" t="str">
            <v>CV OF MR. K.S.LOGESHWARAN - QC INSPECTOR - (GRE THREADED)</v>
          </cell>
          <cell r="F1387">
            <v>1</v>
          </cell>
          <cell r="G1387" t="str">
            <v>IFA</v>
          </cell>
        </row>
        <row r="1388">
          <cell r="A1388" t="str">
            <v>KHF-00-104265-BA-6070-42016-0000-2</v>
          </cell>
          <cell r="B1388" t="str">
            <v>AIP-PDO-P1701009-T-0898</v>
          </cell>
          <cell r="C1388">
            <v>43471</v>
          </cell>
          <cell r="D1388" t="str">
            <v>KHF-00-104265-BA-6070-42016-0000</v>
          </cell>
          <cell r="E1388" t="str">
            <v>Method Statement for Pickling and Passivation</v>
          </cell>
          <cell r="F1388">
            <v>2</v>
          </cell>
          <cell r="G1388" t="str">
            <v>IFA</v>
          </cell>
        </row>
        <row r="1389">
          <cell r="A1389" t="str">
            <v>KHF-00-104265-AA-3341-60131-0000-1</v>
          </cell>
          <cell r="B1389" t="str">
            <v>AIP-PDO-P1701009-T-0899</v>
          </cell>
          <cell r="C1389">
            <v>43471</v>
          </cell>
          <cell r="D1389" t="str">
            <v>KHF-00-104265-AA-3341-60131-0000</v>
          </cell>
          <cell r="E1389" t="str">
            <v>CV OF MR. SHAIKH TANVEER - QC Inspector - HVAC</v>
          </cell>
          <cell r="F1389">
            <v>1</v>
          </cell>
          <cell r="G1389" t="str">
            <v>IFA</v>
          </cell>
        </row>
        <row r="1390">
          <cell r="A1390" t="str">
            <v>KHF-00-104265-QA-0880-01201-0000-1</v>
          </cell>
          <cell r="B1390" t="str">
            <v>AIP-PDO-P1701009-T-0900</v>
          </cell>
          <cell r="C1390">
            <v>43471</v>
          </cell>
          <cell r="D1390" t="str">
            <v>KHF-00-104265-QA-0880-01201-0000</v>
          </cell>
          <cell r="E1390" t="str">
            <v>Pre start-up Audit Report - M/s Al-Tasnim Cement Products - Pre cast</v>
          </cell>
          <cell r="F1390">
            <v>1</v>
          </cell>
          <cell r="G1390" t="str">
            <v>IFI</v>
          </cell>
        </row>
        <row r="1391">
          <cell r="A1391" t="str">
            <v>KHF-00-104265-QA-5733-22005-0000-3</v>
          </cell>
          <cell r="B1391" t="str">
            <v>AIP-PDO-P1701009-T-0901</v>
          </cell>
          <cell r="C1391">
            <v>43471</v>
          </cell>
          <cell r="D1391" t="str">
            <v>KHF-00-104265-QA-5733-22005-0000</v>
          </cell>
          <cell r="E1391" t="str">
            <v>Inspection Test Plan for Installation of above Ground Carbon Steel Pipeline Works</v>
          </cell>
          <cell r="F1391">
            <v>3</v>
          </cell>
          <cell r="G1391" t="str">
            <v>IFA</v>
          </cell>
        </row>
        <row r="1392">
          <cell r="A1392" t="str">
            <v>KHF-00-104265-AA-6944-20015-0000-1</v>
          </cell>
          <cell r="B1392" t="str">
            <v>AIP-PDO-P1701009-T-0902</v>
          </cell>
          <cell r="C1392">
            <v>43473</v>
          </cell>
          <cell r="D1392" t="str">
            <v>KHF-00-104265-AA-6944-20015-0000</v>
          </cell>
          <cell r="E1392" t="str">
            <v>MONTHLY PROGRESS REPORT NO.015 (DEC 2018)</v>
          </cell>
          <cell r="F1392">
            <v>1</v>
          </cell>
          <cell r="G1392" t="str">
            <v>IFR</v>
          </cell>
        </row>
        <row r="1393">
          <cell r="A1393" t="str">
            <v>KHF-00-104265-AA-6944-10061-0000-1</v>
          </cell>
          <cell r="B1393" t="str">
            <v>AIP-PDO-P1701009-T-0903</v>
          </cell>
          <cell r="C1393">
            <v>43473</v>
          </cell>
          <cell r="D1393" t="str">
            <v>KHF-00-104265-AA-6944-10061-0000</v>
          </cell>
          <cell r="E1393" t="str">
            <v>WEEKLY PROGRESS REPORT NO.061</v>
          </cell>
          <cell r="F1393">
            <v>1</v>
          </cell>
          <cell r="G1393" t="str">
            <v>IFI</v>
          </cell>
        </row>
        <row r="1394">
          <cell r="A1394" t="str">
            <v>rejected by PDO</v>
          </cell>
          <cell r="B1394" t="str">
            <v>AIP-PDO-P1701009-T-0904</v>
          </cell>
          <cell r="C1394">
            <v>43473</v>
          </cell>
          <cell r="D1394" t="str">
            <v>KHF-00-104265-RA-8241-51169-0000</v>
          </cell>
          <cell r="E1394" t="str">
            <v>Material Approval Sheet for Non Slip Granolithic Flooring for Substation Building</v>
          </cell>
          <cell r="F1394">
            <v>1</v>
          </cell>
          <cell r="G1394" t="str">
            <v>rejected</v>
          </cell>
        </row>
        <row r="1395">
          <cell r="A1395" t="str">
            <v>KHF-00-104265-RA-8241-51170-0000-1</v>
          </cell>
          <cell r="B1395" t="str">
            <v>AIP-PDO-P1701009-T-0905</v>
          </cell>
          <cell r="C1395">
            <v>43474</v>
          </cell>
          <cell r="D1395" t="str">
            <v>KHF-00-104265-RA-8241-51170-0000</v>
          </cell>
          <cell r="E1395" t="str">
            <v>Material Approval Sheet for Insulation Materials at GTG Drain Pocket</v>
          </cell>
          <cell r="F1395">
            <v>1</v>
          </cell>
          <cell r="G1395" t="str">
            <v>IFA</v>
          </cell>
        </row>
        <row r="1396">
          <cell r="A1396" t="str">
            <v>KHF-00-104265-QA-5733-22013-0000-1</v>
          </cell>
          <cell r="B1396" t="str">
            <v>AIP-PDO-P1701009-T-0906</v>
          </cell>
          <cell r="C1396">
            <v>43474</v>
          </cell>
          <cell r="D1396" t="str">
            <v>KHF-00-104265-QA-5733-22013-0000</v>
          </cell>
          <cell r="E1396" t="str">
            <v>ITP for GRE Piping Installation, Bonding, Lamination and Hydro Testing</v>
          </cell>
          <cell r="F1396">
            <v>1</v>
          </cell>
          <cell r="G1396" t="str">
            <v>IFR</v>
          </cell>
        </row>
        <row r="1397">
          <cell r="A1397" t="str">
            <v>KHF-00-104265-AA-3341-00902-0000-1</v>
          </cell>
          <cell r="B1397" t="str">
            <v>AIP-PDO-P1701009-T-0907</v>
          </cell>
          <cell r="C1397">
            <v>43474</v>
          </cell>
          <cell r="D1397" t="str">
            <v>KHF-00-104265-AA-3341-00902-0000</v>
          </cell>
          <cell r="E1397" t="str">
            <v>CV of Mr. Shabeer Kureshbabu - NDT Technician</v>
          </cell>
          <cell r="F1397">
            <v>1</v>
          </cell>
          <cell r="G1397" t="str">
            <v>IFR</v>
          </cell>
        </row>
        <row r="1398">
          <cell r="A1398" t="str">
            <v>KHF-00-104265-AA-3341-00903-0000-1</v>
          </cell>
          <cell r="B1398" t="str">
            <v>AIP-PDO-P1701009-T-0907</v>
          </cell>
          <cell r="C1398">
            <v>43474</v>
          </cell>
          <cell r="D1398" t="str">
            <v>KHF-00-104265-AA-3341-00903-0000</v>
          </cell>
          <cell r="E1398" t="str">
            <v>CV of Mr. Nandhu Sugathan - NDT Technician</v>
          </cell>
          <cell r="F1398">
            <v>1</v>
          </cell>
          <cell r="G1398" t="str">
            <v>IFR</v>
          </cell>
        </row>
        <row r="1399">
          <cell r="A1399" t="str">
            <v>KHF-00-104265-AA-3341-60132-0000-1</v>
          </cell>
          <cell r="B1399" t="str">
            <v>AIP-PDO-P1701009-T-0908</v>
          </cell>
          <cell r="C1399">
            <v>43475</v>
          </cell>
          <cell r="D1399" t="str">
            <v>KHF-00-104265-AA-3341-60132-0000</v>
          </cell>
          <cell r="E1399" t="str">
            <v>CV of  MR. Waeel Mohammad Alabdullah - Medical Officer</v>
          </cell>
          <cell r="F1399">
            <v>1</v>
          </cell>
          <cell r="G1399" t="str">
            <v>IFA</v>
          </cell>
        </row>
        <row r="1400">
          <cell r="A1400" t="str">
            <v>rejected by PDO</v>
          </cell>
          <cell r="B1400" t="str">
            <v>AIP-PDO-P1701009-T-0909</v>
          </cell>
          <cell r="C1400">
            <v>43475</v>
          </cell>
          <cell r="D1400" t="str">
            <v>KHF-00-104265-BA-6070-01309-0000</v>
          </cell>
          <cell r="E1400" t="str">
            <v>Method Statement for Erection of GTEBS System</v>
          </cell>
          <cell r="F1400">
            <v>1</v>
          </cell>
          <cell r="G1400" t="str">
            <v>IFR</v>
          </cell>
        </row>
        <row r="1401">
          <cell r="A1401" t="str">
            <v>KHF-00-104265-HX-5880-10014-0000-4</v>
          </cell>
          <cell r="B1401" t="str">
            <v>AIP-PDO-P1701009-T-0910</v>
          </cell>
          <cell r="C1401">
            <v>43475</v>
          </cell>
          <cell r="D1401" t="str">
            <v>KHF-00-104265-HX-5880-10014-0000</v>
          </cell>
          <cell r="E1401" t="str">
            <v>HSE Monitoring Plan</v>
          </cell>
          <cell r="F1401">
            <v>4</v>
          </cell>
          <cell r="G1401" t="str">
            <v>IFA</v>
          </cell>
        </row>
        <row r="1402">
          <cell r="A1402" t="str">
            <v>rejected by PDO</v>
          </cell>
          <cell r="B1402" t="str">
            <v>AIP-PDO-P1701009-T-0911</v>
          </cell>
          <cell r="C1402">
            <v>43475</v>
          </cell>
          <cell r="D1402" t="str">
            <v>KHF-00-104265-BA-6070-01302-0000</v>
          </cell>
          <cell r="E1402" t="str">
            <v>Method of Statement for Erection of Non Pressure Parts</v>
          </cell>
          <cell r="F1402">
            <v>1</v>
          </cell>
          <cell r="G1402" t="str">
            <v>IFR</v>
          </cell>
        </row>
        <row r="1403">
          <cell r="A1403" t="str">
            <v>rejected by PDO</v>
          </cell>
          <cell r="B1403" t="str">
            <v>AIP-PDO-P1701009-T-0911</v>
          </cell>
          <cell r="C1403">
            <v>43475</v>
          </cell>
          <cell r="D1403" t="str">
            <v>KHF-00-104265-BA-6070-01310-0000</v>
          </cell>
          <cell r="E1403" t="str">
            <v>Method of Statement Erection GT, GTG &amp; Auxiliaries.</v>
          </cell>
          <cell r="F1403">
            <v>1</v>
          </cell>
          <cell r="G1403" t="str">
            <v>IFR</v>
          </cell>
        </row>
        <row r="1404">
          <cell r="A1404" t="str">
            <v>KHF-00-104265-AA-6944-10062-0000-1</v>
          </cell>
          <cell r="B1404" t="str">
            <v>AIP-PDO-P1701009-T-0912</v>
          </cell>
          <cell r="C1404">
            <v>43478</v>
          </cell>
          <cell r="D1404" t="str">
            <v>KHF-00-104265-AA-6944-10062-0000</v>
          </cell>
          <cell r="E1404" t="str">
            <v>WEEKLY PROGRESS REPORT NO.062</v>
          </cell>
          <cell r="F1404">
            <v>1</v>
          </cell>
          <cell r="G1404" t="str">
            <v>IFR</v>
          </cell>
        </row>
        <row r="1405">
          <cell r="A1405" t="str">
            <v>KHF-00-104265-RA-8241-51169-0000-1</v>
          </cell>
          <cell r="B1405" t="str">
            <v>AIP-PDO-P1701009-T-0913</v>
          </cell>
          <cell r="C1405">
            <v>43478</v>
          </cell>
          <cell r="D1405" t="str">
            <v>KHF-00-104265-RA-8241-51169-0000</v>
          </cell>
          <cell r="E1405" t="str">
            <v>Material Approval Sheet for (F-7) Non Slip Granolithic Flooring for Substation Building (External Corridor /Steps)</v>
          </cell>
          <cell r="F1405">
            <v>1</v>
          </cell>
          <cell r="G1405" t="str">
            <v>IFA</v>
          </cell>
        </row>
        <row r="1406">
          <cell r="A1406" t="str">
            <v>cancelled</v>
          </cell>
          <cell r="B1406" t="str">
            <v>AIP-PDO-P1701009-T-0914</v>
          </cell>
          <cell r="C1406">
            <v>43478</v>
          </cell>
          <cell r="D1406" t="str">
            <v>KHF-00-104265-RA-8241-01201-0000</v>
          </cell>
          <cell r="E1406" t="str">
            <v>Material Approval Sheet for Precast Manufacturer - Al Tasnim Precast</v>
          </cell>
          <cell r="F1406">
            <v>1</v>
          </cell>
          <cell r="G1406" t="str">
            <v>IFR</v>
          </cell>
        </row>
        <row r="1407">
          <cell r="A1407" t="str">
            <v>cancelled</v>
          </cell>
          <cell r="B1407" t="str">
            <v>AIP-PDO-P1701009-T-0914</v>
          </cell>
          <cell r="C1407">
            <v>43478</v>
          </cell>
          <cell r="D1407" t="str">
            <v>KHF-00-104265-QA-5733-01201-0000</v>
          </cell>
          <cell r="E1407" t="str">
            <v>Inspection Test Plan for Precast Concrete Elements</v>
          </cell>
          <cell r="F1407">
            <v>1</v>
          </cell>
          <cell r="G1407" t="str">
            <v>IFR</v>
          </cell>
        </row>
        <row r="1408">
          <cell r="A1408" t="str">
            <v>cancelled</v>
          </cell>
          <cell r="B1408" t="str">
            <v>AIP-PDO-P1701009-T-0914</v>
          </cell>
          <cell r="C1408">
            <v>43478</v>
          </cell>
          <cell r="D1408" t="str">
            <v>KHF-00-104265-BA-6070-01201-0000</v>
          </cell>
          <cell r="E1408" t="str">
            <v>Material Approval Sheet for Precast Concrete Works</v>
          </cell>
          <cell r="F1408">
            <v>1</v>
          </cell>
          <cell r="G1408" t="str">
            <v>IFR</v>
          </cell>
        </row>
        <row r="1409">
          <cell r="A1409" t="str">
            <v>KHF-00-104265-BA-6065-00700-0000-1</v>
          </cell>
          <cell r="B1409" t="str">
            <v>AIP-PDO-P1701009-T-0915</v>
          </cell>
          <cell r="C1409">
            <v>43478</v>
          </cell>
          <cell r="D1409" t="str">
            <v>KHF-00-104265-BA-6065-00700-0000</v>
          </cell>
          <cell r="E1409" t="str">
            <v>Welding Procedure Register (WPSR) - Structural</v>
          </cell>
          <cell r="F1409">
            <v>1</v>
          </cell>
          <cell r="G1409" t="str">
            <v>IFR</v>
          </cell>
        </row>
        <row r="1410">
          <cell r="A1410" t="str">
            <v>KHF-00-104265-BA-6065-00651-0000-2</v>
          </cell>
          <cell r="B1410" t="str">
            <v>AIP-PDO-P1701009-T-0915</v>
          </cell>
          <cell r="C1410">
            <v>43478</v>
          </cell>
          <cell r="D1410" t="str">
            <v>KHF-00-104265-BA-6065-00651-0000</v>
          </cell>
          <cell r="E1410" t="str">
            <v>Welding Procedure Specification (WPS) / PQR– 051 (AI-WPS-M-720)</v>
          </cell>
          <cell r="F1410">
            <v>2</v>
          </cell>
          <cell r="G1410" t="str">
            <v>IFR</v>
          </cell>
        </row>
        <row r="1411">
          <cell r="A1411" t="str">
            <v>KHF-00-104265-RA-8241-01201-0000-1</v>
          </cell>
          <cell r="B1411" t="str">
            <v>AIP-PDO-P1701009-T-0916</v>
          </cell>
          <cell r="C1411">
            <v>43479</v>
          </cell>
          <cell r="D1411" t="str">
            <v>KHF-00-104265-RA-8241-01201-0000</v>
          </cell>
          <cell r="E1411" t="str">
            <v>Material Approval Sheet for Precast Manufacturer - Al Tasnim Precast</v>
          </cell>
          <cell r="F1411">
            <v>1</v>
          </cell>
          <cell r="G1411" t="str">
            <v>IFR</v>
          </cell>
        </row>
        <row r="1412">
          <cell r="A1412" t="str">
            <v>KHF-00-104265-QA-5733-01201-0000-1</v>
          </cell>
          <cell r="B1412" t="str">
            <v>AIP-PDO-P1701009-T-0916</v>
          </cell>
          <cell r="C1412">
            <v>43479</v>
          </cell>
          <cell r="D1412" t="str">
            <v>KHF-00-104265-QA-5733-01201-0000</v>
          </cell>
          <cell r="E1412" t="str">
            <v>Inspection Test Plan for Precast Concrete Elements</v>
          </cell>
          <cell r="F1412">
            <v>1</v>
          </cell>
          <cell r="G1412" t="str">
            <v>IFR</v>
          </cell>
        </row>
        <row r="1413">
          <cell r="A1413" t="str">
            <v>KHF-00-104265-BA-6070-01201-0000-1</v>
          </cell>
          <cell r="B1413" t="str">
            <v>AIP-PDO-P1701009-T-0916</v>
          </cell>
          <cell r="C1413">
            <v>43479</v>
          </cell>
          <cell r="D1413" t="str">
            <v>KHF-00-104265-BA-6070-01201-0000</v>
          </cell>
          <cell r="E1413" t="str">
            <v>Material Approval Sheet for Precast Concrete Works</v>
          </cell>
          <cell r="F1413">
            <v>1</v>
          </cell>
          <cell r="G1413" t="str">
            <v>IFR</v>
          </cell>
        </row>
        <row r="1414">
          <cell r="A1414" t="str">
            <v>KHF-00-104265-QA-6050-32008-0000-1</v>
          </cell>
          <cell r="B1414" t="str">
            <v>AIP-PDO-P1701009-T-0917</v>
          </cell>
          <cell r="C1414">
            <v>43479</v>
          </cell>
          <cell r="D1414" t="str">
            <v>KHF-00-104265-QA-6050-32008-0000</v>
          </cell>
          <cell r="E1414" t="str">
            <v>Procedure For 4” Golden Joint (Tie-in) Welding</v>
          </cell>
          <cell r="F1414">
            <v>1</v>
          </cell>
          <cell r="G1414" t="str">
            <v>IFR</v>
          </cell>
        </row>
        <row r="1415">
          <cell r="A1415" t="str">
            <v>KHF-00-104265-BA-6070-42018-0000-1</v>
          </cell>
          <cell r="B1415" t="str">
            <v>AIP-PDO-P1701009-T-0918</v>
          </cell>
          <cell r="C1415">
            <v>43479</v>
          </cell>
          <cell r="D1415" t="str">
            <v>KHF-00-104265-BA-6070-42018-0000</v>
          </cell>
          <cell r="E1415" t="str">
            <v>Method Statement for Field Hydrotest of GRE Piping (YKP-Power Plant &amp; RMS)</v>
          </cell>
          <cell r="F1415">
            <v>1</v>
          </cell>
          <cell r="G1415" t="str">
            <v>IFA</v>
          </cell>
        </row>
        <row r="1416">
          <cell r="A1416" t="str">
            <v>KHF-00-104265-BA-6070-42019-0000-1</v>
          </cell>
          <cell r="B1416" t="str">
            <v>AIP-PDO-P1701009-T-0918</v>
          </cell>
          <cell r="C1416">
            <v>43479</v>
          </cell>
          <cell r="D1416" t="str">
            <v>KHF-00-104265-BA-6070-42019-0000</v>
          </cell>
          <cell r="E1416" t="str">
            <v>Method Statement for Trenching, Padding and Backfilling of GRE Piping (YKP-Power Plant &amp; RMS)</v>
          </cell>
          <cell r="F1416">
            <v>1</v>
          </cell>
          <cell r="G1416" t="str">
            <v>IFA</v>
          </cell>
        </row>
        <row r="1417">
          <cell r="A1417" t="str">
            <v>KHF-00-104265-BA-6070-42020-0000-1</v>
          </cell>
          <cell r="B1417" t="str">
            <v>AIP-PDO-P1701009-T-0918</v>
          </cell>
          <cell r="C1417">
            <v>43479</v>
          </cell>
          <cell r="D1417" t="str">
            <v>KHF-00-104265-BA-6070-42020-0000</v>
          </cell>
          <cell r="E1417" t="str">
            <v>Method Statement for Adhesive Bonding of GRE Piping (YKP-Power Plant &amp; RMS)</v>
          </cell>
          <cell r="F1417">
            <v>1</v>
          </cell>
          <cell r="G1417" t="str">
            <v>IFA</v>
          </cell>
        </row>
        <row r="1418">
          <cell r="A1418" t="str">
            <v>KHF-00-104265-BA-6070-42021-0000-1</v>
          </cell>
          <cell r="B1418" t="str">
            <v>AIP-PDO-P1701009-T-0918</v>
          </cell>
          <cell r="C1418">
            <v>43479</v>
          </cell>
          <cell r="D1418" t="str">
            <v>KHF-00-104265-BA-6070-42021-0000</v>
          </cell>
          <cell r="E1418" t="str">
            <v>Method Statement for Field Lamination of GRE Piping (YKP-Power Plant &amp; RMS)</v>
          </cell>
          <cell r="F1418">
            <v>1</v>
          </cell>
          <cell r="G1418" t="str">
            <v>IFA</v>
          </cell>
        </row>
        <row r="1419">
          <cell r="A1419" t="str">
            <v>KHF-00-104265-BA-6070-42022-0000-1</v>
          </cell>
          <cell r="B1419" t="str">
            <v>AIP-PDO-P1701009-T-0918</v>
          </cell>
          <cell r="C1419">
            <v>43479</v>
          </cell>
          <cell r="D1419" t="str">
            <v>KHF-00-104265-BA-6070-42022-0000</v>
          </cell>
          <cell r="E1419" t="str">
            <v>Method Statement for Flange Tightening of GRE Piping (YKP-Power Plant &amp; RMS)</v>
          </cell>
          <cell r="F1419">
            <v>1</v>
          </cell>
          <cell r="G1419" t="str">
            <v>IFA</v>
          </cell>
        </row>
        <row r="1420">
          <cell r="A1420" t="str">
            <v>KHF-00-104265-BA-6070-42023-0000-1</v>
          </cell>
          <cell r="B1420" t="str">
            <v>AIP-PDO-P1701009-T-0918</v>
          </cell>
          <cell r="C1420">
            <v>43479</v>
          </cell>
          <cell r="D1420" t="str">
            <v>KHF-00-104265-BA-6070-42023-0000</v>
          </cell>
          <cell r="E1420" t="str">
            <v>Method Statement for Repair of GRE Piping (YKP-Power Plant &amp; RMS)</v>
          </cell>
          <cell r="F1420">
            <v>1</v>
          </cell>
          <cell r="G1420" t="str">
            <v>IFA</v>
          </cell>
        </row>
        <row r="1421">
          <cell r="A1421" t="str">
            <v>KHF-00-104265-BA-6070-42024-0000-1</v>
          </cell>
          <cell r="B1421" t="str">
            <v>AIP-PDO-P1701009-T-0918</v>
          </cell>
          <cell r="C1421">
            <v>43479</v>
          </cell>
          <cell r="D1421" t="str">
            <v>KHF-00-104265-BA-6070-42024-0000</v>
          </cell>
          <cell r="E1421" t="str">
            <v>Method Statement for Road / Wadi Crossing of GRE Piping (YKP-Power Plant &amp; RMS)</v>
          </cell>
          <cell r="F1421">
            <v>1</v>
          </cell>
          <cell r="G1421" t="str">
            <v>IFA</v>
          </cell>
        </row>
        <row r="1422">
          <cell r="A1422" t="str">
            <v>KHF-00-104265-BA-6070-42025-0000-1</v>
          </cell>
          <cell r="B1422" t="str">
            <v>AIP-PDO-P1701009-T-0918</v>
          </cell>
          <cell r="C1422">
            <v>43479</v>
          </cell>
          <cell r="D1422" t="str">
            <v>KHF-00-104265-BA-6070-42025-0000</v>
          </cell>
          <cell r="E1422" t="str">
            <v>Method Statement for Storage, Handling &amp; Preservation of GRE Piping Materials (YKP-Power Plant &amp; RMS)</v>
          </cell>
          <cell r="F1422">
            <v>1</v>
          </cell>
          <cell r="G1422" t="str">
            <v>IFA</v>
          </cell>
        </row>
        <row r="1423">
          <cell r="A1423" t="str">
            <v>KHF-00-104265-BA-6070-42026-0000-1</v>
          </cell>
          <cell r="B1423" t="str">
            <v>AIP-PDO-P1701009-T-0918</v>
          </cell>
          <cell r="C1423">
            <v>43479</v>
          </cell>
          <cell r="D1423" t="str">
            <v>KHF-00-104265-BA-6070-42026-0000</v>
          </cell>
          <cell r="E1423" t="str">
            <v>Qualification and Control of Installation &amp; Crew Training for GRE Piping (YKP-Power Plant &amp; RMS)</v>
          </cell>
          <cell r="F1423">
            <v>1</v>
          </cell>
          <cell r="G1423" t="str">
            <v>IFA</v>
          </cell>
        </row>
        <row r="1424">
          <cell r="A1424" t="str">
            <v>rejected by PDO</v>
          </cell>
          <cell r="B1424" t="str">
            <v>AIP-PDO-P1701009-T-0919</v>
          </cell>
          <cell r="C1424">
            <v>43480</v>
          </cell>
          <cell r="D1424" t="str">
            <v>KHF-00-104265-BA-6070-00140-0000</v>
          </cell>
          <cell r="E1424" t="str">
            <v>Method Statement for Training &amp; Crew Qualification (FGS)</v>
          </cell>
          <cell r="F1424">
            <v>2</v>
          </cell>
          <cell r="G1424" t="str">
            <v>IFA</v>
          </cell>
        </row>
        <row r="1425">
          <cell r="A1425" t="str">
            <v>KHF-00-104265-AA-3341-00151-0000-1</v>
          </cell>
          <cell r="B1425" t="str">
            <v>AIP-PDO-P1701009-T-0920</v>
          </cell>
          <cell r="C1425">
            <v>43480</v>
          </cell>
          <cell r="D1425" t="str">
            <v>KHF-00-104265-AA-3341-00151-0000</v>
          </cell>
          <cell r="E1425" t="str">
            <v>CV of  MR. Narayanan  Kurup Gopalkrishna Pillai_GRE Supervisor  (FOR GRE Flow Lines 80 and 100 Bar  FGS System)</v>
          </cell>
          <cell r="F1425">
            <v>1</v>
          </cell>
          <cell r="G1425" t="str">
            <v>IFR</v>
          </cell>
        </row>
        <row r="1426">
          <cell r="A1426" t="str">
            <v>KHF-00-104265-AA-3341-00152-0000-1</v>
          </cell>
          <cell r="B1426" t="str">
            <v>AIP-PDO-P1701009-T-0920</v>
          </cell>
          <cell r="C1426">
            <v>43480</v>
          </cell>
          <cell r="D1426" t="str">
            <v>KHF-00-104265-AA-3341-00152-0000</v>
          </cell>
          <cell r="E1426" t="str">
            <v>CV of Mr. Ramesh Parmar_GRE Inspector (For GRE flow lines 80 and 100 bar FGS System)</v>
          </cell>
          <cell r="F1426">
            <v>1</v>
          </cell>
          <cell r="G1426" t="str">
            <v>IFR</v>
          </cell>
        </row>
        <row r="1427">
          <cell r="A1427" t="str">
            <v>KHF-00-104265-BA-6070-01309-0000-1</v>
          </cell>
          <cell r="B1427" t="str">
            <v>AIP-PDO-P1701009-T-0921</v>
          </cell>
          <cell r="C1427">
            <v>43480</v>
          </cell>
          <cell r="D1427" t="str">
            <v>KHF-00-104265-BA-6070-01309-0000</v>
          </cell>
          <cell r="E1427" t="str">
            <v>Method Statement for Erection of Gas Turbine Exhaust Bypass System</v>
          </cell>
          <cell r="F1427">
            <v>1</v>
          </cell>
          <cell r="G1427" t="str">
            <v>IFR</v>
          </cell>
        </row>
        <row r="1428">
          <cell r="A1428" t="str">
            <v>KHF-00-104265-QA-5733-22014-0000-1</v>
          </cell>
          <cell r="B1428" t="str">
            <v>AIP-PDO-P1701009-T-0922</v>
          </cell>
          <cell r="C1428">
            <v>43481</v>
          </cell>
          <cell r="D1428" t="str">
            <v>KHF-00-104265-QA-5733-22014-0000</v>
          </cell>
          <cell r="E1428" t="str">
            <v>Inspection Test Plan for Pipeline Valve Hydro Testing</v>
          </cell>
          <cell r="F1428">
            <v>1</v>
          </cell>
          <cell r="G1428" t="str">
            <v>IFR</v>
          </cell>
        </row>
        <row r="1429">
          <cell r="A1429" t="str">
            <v>KHF-00-104265-MP-6180-00140-0000-2</v>
          </cell>
          <cell r="B1429" t="str">
            <v>AIP-PDO-P1701009-T-0923</v>
          </cell>
          <cell r="C1429">
            <v>43481</v>
          </cell>
          <cell r="D1429" t="str">
            <v>KHF-00-104265-MP-6180-00140-0000</v>
          </cell>
          <cell r="E1429" t="str">
            <v>Method Statement for Training &amp; Crew Qualification (FGS)</v>
          </cell>
          <cell r="F1429">
            <v>2</v>
          </cell>
          <cell r="G1429" t="str">
            <v>IFA</v>
          </cell>
        </row>
        <row r="1430">
          <cell r="A1430" t="str">
            <v>KHF-00-104265-QA-5733-21006-0000-3</v>
          </cell>
          <cell r="B1430" t="str">
            <v>AIP-PDO-P1701009-T-0924</v>
          </cell>
          <cell r="C1430">
            <v>43482</v>
          </cell>
          <cell r="D1430" t="str">
            <v>KHF-00-104265-QA-5733-21006-0000</v>
          </cell>
          <cell r="E1430" t="str">
            <v>Inspection Test Plan for Concrete Works</v>
          </cell>
          <cell r="F1430">
            <v>3</v>
          </cell>
          <cell r="G1430" t="str">
            <v>IFA</v>
          </cell>
        </row>
        <row r="1431">
          <cell r="A1431" t="str">
            <v>KHF-00-104265-AA-3341-60133-0000-1</v>
          </cell>
          <cell r="B1431" t="str">
            <v>AIP-PDO-P1701009-T-0925</v>
          </cell>
          <cell r="C1431">
            <v>43485</v>
          </cell>
          <cell r="D1431" t="str">
            <v>KHF-00-104265-AA-3341-60133-0000</v>
          </cell>
          <cell r="E1431" t="str">
            <v>CV of Mr. Sharun Kassim - Male Nurse</v>
          </cell>
          <cell r="F1431">
            <v>1</v>
          </cell>
          <cell r="G1431" t="str">
            <v>IFA</v>
          </cell>
        </row>
        <row r="1432">
          <cell r="A1432" t="str">
            <v>KHF-00-104265-BA-6065-00801-0000-2</v>
          </cell>
          <cell r="B1432" t="str">
            <v>AIP-PDO-P1701009-T-0926</v>
          </cell>
          <cell r="C1432">
            <v>43485</v>
          </cell>
          <cell r="D1432" t="str">
            <v>KHF-00-104265-BA-6065-00801-0000</v>
          </cell>
          <cell r="E1432" t="str">
            <v>WELDING PROCEDURE SPECIFICATION &amp; PROCEDURE QUALIFICATION RECORD (WPS &amp; PQR NO: 01)</v>
          </cell>
          <cell r="F1432">
            <v>2</v>
          </cell>
          <cell r="G1432" t="str">
            <v>IFR</v>
          </cell>
        </row>
        <row r="1433">
          <cell r="A1433" t="str">
            <v>KHF-00-104265-BA-6065-00805-0000-2</v>
          </cell>
          <cell r="B1433" t="str">
            <v>AIP-PDO-P1701009-T-0926</v>
          </cell>
          <cell r="C1433">
            <v>43485</v>
          </cell>
          <cell r="D1433" t="str">
            <v>KHF-00-104265-BA-6065-00805-0000</v>
          </cell>
          <cell r="E1433" t="str">
            <v>WELDING PROCEDURE SPECIFICATION &amp; PROCEDURE QUALIFICATION RECORD (WPS &amp; PQR NO: 08)</v>
          </cell>
          <cell r="F1433">
            <v>2</v>
          </cell>
          <cell r="G1433" t="str">
            <v>IFR</v>
          </cell>
        </row>
        <row r="1434">
          <cell r="A1434" t="str">
            <v>KHF-00-104265-BA-6065-00806-0000-2</v>
          </cell>
          <cell r="B1434" t="str">
            <v>AIP-PDO-P1701009-T-0926</v>
          </cell>
          <cell r="C1434">
            <v>43485</v>
          </cell>
          <cell r="D1434" t="str">
            <v>KHF-00-104265-BA-6065-00806-0000</v>
          </cell>
          <cell r="E1434" t="str">
            <v>WELDING PROCEDURE SPECIFICATION &amp; PROCEDURE QUALIFICATION RECORD (WPS &amp; PQR NO: 09)</v>
          </cell>
          <cell r="F1434">
            <v>2</v>
          </cell>
          <cell r="G1434" t="str">
            <v>IFR</v>
          </cell>
        </row>
        <row r="1435">
          <cell r="A1435" t="str">
            <v>KHF-00-104265-BA-6065-00809-0000-2</v>
          </cell>
          <cell r="B1435" t="str">
            <v>AIP-PDO-P1701009-T-0926</v>
          </cell>
          <cell r="C1435">
            <v>43485</v>
          </cell>
          <cell r="D1435" t="str">
            <v>KHF-00-104265-BA-6065-00809-0000</v>
          </cell>
          <cell r="E1435" t="str">
            <v>WELDING PROCEDURE SPECIFICATION &amp; PROCEDURE QUALIFICATION RECORD (WPS &amp; PQR NO: 02)</v>
          </cell>
          <cell r="F1435">
            <v>2</v>
          </cell>
          <cell r="G1435" t="str">
            <v>IFR</v>
          </cell>
        </row>
        <row r="1436">
          <cell r="A1436" t="str">
            <v>KHF-00-104265-QA-5733-01303-0000-1</v>
          </cell>
          <cell r="B1436" t="str">
            <v>AIP-PDO-P1701009-T-0927</v>
          </cell>
          <cell r="C1436">
            <v>43485</v>
          </cell>
          <cell r="D1436" t="str">
            <v>KHF-00-104265-QA-5733-01303-0000</v>
          </cell>
          <cell r="E1436" t="str">
            <v>ITP for Surface Preparation and Touch up Painting of Field Weld</v>
          </cell>
          <cell r="F1436">
            <v>1</v>
          </cell>
          <cell r="G1436" t="str">
            <v>IFR</v>
          </cell>
        </row>
        <row r="1437">
          <cell r="A1437" t="str">
            <v>KHF-00-104265-QA-5733-01304-0000-1</v>
          </cell>
          <cell r="B1437" t="str">
            <v>AIP-PDO-P1701009-T-0927</v>
          </cell>
          <cell r="C1437">
            <v>43485</v>
          </cell>
          <cell r="D1437" t="str">
            <v>KHF-00-104265-QA-5733-01304-0000</v>
          </cell>
          <cell r="E1437" t="str">
            <v>ITP for Installation of FIN Fan Cooler</v>
          </cell>
          <cell r="F1437">
            <v>1</v>
          </cell>
          <cell r="G1437" t="str">
            <v>IFR</v>
          </cell>
        </row>
        <row r="1438">
          <cell r="A1438" t="str">
            <v>KHF-00-104265-QA-5733-01305-0000-1</v>
          </cell>
          <cell r="B1438" t="str">
            <v>AIP-PDO-P1701009-T-0927</v>
          </cell>
          <cell r="C1438">
            <v>43485</v>
          </cell>
          <cell r="D1438" t="str">
            <v>KHF-00-104265-QA-5733-01305-0000</v>
          </cell>
          <cell r="E1438" t="str">
            <v>ITP for the Installation of Gas Turbine Exhaust Bypass System</v>
          </cell>
          <cell r="F1438">
            <v>1</v>
          </cell>
          <cell r="G1438" t="str">
            <v>IFR</v>
          </cell>
        </row>
        <row r="1439">
          <cell r="A1439" t="str">
            <v>KHF-00-104265-QA-5733-01306-0000-1</v>
          </cell>
          <cell r="B1439" t="str">
            <v>AIP-PDO-P1701009-T-0927</v>
          </cell>
          <cell r="C1439">
            <v>43485</v>
          </cell>
          <cell r="D1439" t="str">
            <v>KHF-00-104265-QA-5733-01306-0000</v>
          </cell>
          <cell r="E1439" t="str">
            <v>ITP for the Installation of HRSG Main Stack</v>
          </cell>
          <cell r="F1439">
            <v>1</v>
          </cell>
          <cell r="G1439" t="str">
            <v>IFR</v>
          </cell>
        </row>
        <row r="1440">
          <cell r="A1440" t="str">
            <v>KHF-00-104265-QA-5733-01307-0000-1</v>
          </cell>
          <cell r="B1440" t="str">
            <v>AIP-PDO-P1701009-T-0927</v>
          </cell>
          <cell r="C1440">
            <v>43485</v>
          </cell>
          <cell r="D1440" t="str">
            <v>KHF-00-104265-QA-5733-01307-0000</v>
          </cell>
          <cell r="E1440" t="str">
            <v>ITP for the Installation of Rotary Equipment</v>
          </cell>
          <cell r="F1440">
            <v>1</v>
          </cell>
          <cell r="G1440" t="str">
            <v>IFR</v>
          </cell>
        </row>
        <row r="1441">
          <cell r="A1441" t="str">
            <v>KHF-00-104265-QA-5733-01308-0000-1</v>
          </cell>
          <cell r="B1441" t="str">
            <v>AIP-PDO-P1701009-T-0927</v>
          </cell>
          <cell r="C1441">
            <v>43485</v>
          </cell>
          <cell r="D1441" t="str">
            <v>KHF-00-104265-QA-5733-01308-0000</v>
          </cell>
          <cell r="E1441" t="str">
            <v>ITP for the Static Equipment &amp; Skid Installation</v>
          </cell>
          <cell r="F1441">
            <v>1</v>
          </cell>
          <cell r="G1441" t="str">
            <v>IFR</v>
          </cell>
        </row>
        <row r="1442">
          <cell r="A1442" t="str">
            <v>KHF-00-104265-RA-8241-51105-0000-2</v>
          </cell>
          <cell r="B1442" t="str">
            <v>AIP-PDO-P1701009-T-0928</v>
          </cell>
          <cell r="C1442">
            <v>43485</v>
          </cell>
          <cell r="D1442" t="str">
            <v>KHF-00-104265-RA-8241-51105-0000</v>
          </cell>
          <cell r="E1442" t="str">
            <v>Material Approval Sheet for GRP Manholes</v>
          </cell>
          <cell r="F1442">
            <v>2</v>
          </cell>
          <cell r="G1442" t="str">
            <v>IFA</v>
          </cell>
        </row>
        <row r="1443">
          <cell r="A1443" t="str">
            <v>KHF-00-104265-AA-3341-60134-0000-1</v>
          </cell>
          <cell r="B1443" t="str">
            <v>AIP-PDO-P1701009-T-0929</v>
          </cell>
          <cell r="C1443">
            <v>43486</v>
          </cell>
          <cell r="D1443" t="str">
            <v>KHF-00-104265-AA-3341-60134-0000</v>
          </cell>
          <cell r="E1443" t="str">
            <v>CV of Mr. D. Thamizharasan -  Lead QA/QC Engineer</v>
          </cell>
          <cell r="F1443">
            <v>1</v>
          </cell>
          <cell r="G1443" t="str">
            <v>IFA</v>
          </cell>
        </row>
        <row r="1444">
          <cell r="A1444" t="str">
            <v>KHF-00-104265-BA-6070-01302-0000-1</v>
          </cell>
          <cell r="B1444" t="str">
            <v>AIP-PDO-P1701009-T-0930</v>
          </cell>
          <cell r="C1444">
            <v>43486</v>
          </cell>
          <cell r="D1444" t="str">
            <v>KHF-00-104265-BA-6070-01302-0000</v>
          </cell>
          <cell r="E1444" t="str">
            <v>Method Statement for Erection of HRSG Ducting and Main Stack</v>
          </cell>
          <cell r="F1444">
            <v>1</v>
          </cell>
          <cell r="G1444" t="str">
            <v>IFR</v>
          </cell>
        </row>
        <row r="1445">
          <cell r="A1445" t="str">
            <v>KHF-00-104265-BA-6070-01310-0000-1</v>
          </cell>
          <cell r="B1445" t="str">
            <v>AIP-PDO-P1701009-T-0930</v>
          </cell>
          <cell r="C1445">
            <v>43486</v>
          </cell>
          <cell r="D1445" t="str">
            <v>KHF-00-104265-BA-6070-01310-0000</v>
          </cell>
          <cell r="E1445" t="str">
            <v>Method Statement for Erection GT, GTG &amp; Auxiliaries</v>
          </cell>
          <cell r="F1445">
            <v>1</v>
          </cell>
          <cell r="G1445" t="str">
            <v>IFR</v>
          </cell>
        </row>
        <row r="1446">
          <cell r="A1446" t="str">
            <v>KHF-00-104265-QA-5733-01302-0000-1</v>
          </cell>
          <cell r="B1446" t="str">
            <v>AIP-PDO-P1701009-T-0931</v>
          </cell>
          <cell r="C1446">
            <v>43486</v>
          </cell>
          <cell r="D1446" t="str">
            <v>KHF-00-104265-QA-5733-01302-0000</v>
          </cell>
          <cell r="E1446" t="str">
            <v>Inspection &amp; Test Plan for GTG Package and its Auxiliaries</v>
          </cell>
          <cell r="F1446">
            <v>1</v>
          </cell>
          <cell r="G1446" t="str">
            <v>IFR</v>
          </cell>
        </row>
        <row r="1447">
          <cell r="A1447" t="str">
            <v>KHF-00-104265-RA-6038-00906-0000-2</v>
          </cell>
          <cell r="B1447" t="str">
            <v>AIP-PDO-P1701009-T-0932</v>
          </cell>
          <cell r="C1447">
            <v>43488</v>
          </cell>
          <cell r="D1447" t="str">
            <v>KHF-00-104265-RA-6038-00906-0000</v>
          </cell>
          <cell r="E1447" t="str">
            <v>Procedure for Post Weld Heat Treatment</v>
          </cell>
          <cell r="F1447">
            <v>2</v>
          </cell>
          <cell r="G1447" t="str">
            <v>IFA</v>
          </cell>
        </row>
        <row r="1448">
          <cell r="A1448" t="str">
            <v>KHF-00-104265-RA-6038-00907-0000-2</v>
          </cell>
          <cell r="B1448" t="str">
            <v>AIP-PDO-P1701009-T-0932</v>
          </cell>
          <cell r="C1448">
            <v>43488</v>
          </cell>
          <cell r="D1448" t="str">
            <v>KHF-00-104265-RA-6038-00907-0000</v>
          </cell>
          <cell r="E1448" t="str">
            <v>Procedure for Positive Material Identification Using Optical Emission Spectrometer &amp; XRF Methods</v>
          </cell>
          <cell r="F1448">
            <v>2</v>
          </cell>
          <cell r="G1448" t="str">
            <v>IFA</v>
          </cell>
        </row>
        <row r="1449">
          <cell r="A1449" t="str">
            <v>KHF-00-104265-RA-6038-00908-0000-2</v>
          </cell>
          <cell r="B1449" t="str">
            <v>AIP-PDO-P1701009-T-0932</v>
          </cell>
          <cell r="C1449">
            <v>43488</v>
          </cell>
          <cell r="D1449" t="str">
            <v>KHF-00-104265-RA-6038-00908-0000</v>
          </cell>
          <cell r="E1449" t="str">
            <v>Procedure for Hardness Testing</v>
          </cell>
          <cell r="F1449">
            <v>2</v>
          </cell>
          <cell r="G1449" t="str">
            <v>IFA</v>
          </cell>
        </row>
        <row r="1450">
          <cell r="A1450" t="str">
            <v>KHF-00-104265-RA-6038-00909-0000-2</v>
          </cell>
          <cell r="B1450" t="str">
            <v>AIP-PDO-P1701009-T-0932</v>
          </cell>
          <cell r="C1450">
            <v>43488</v>
          </cell>
          <cell r="D1450" t="str">
            <v>KHF-00-104265-RA-6038-00909-0000</v>
          </cell>
          <cell r="E1450" t="str">
            <v>Procedure for Ferrite Content Measurement</v>
          </cell>
          <cell r="F1450">
            <v>2</v>
          </cell>
          <cell r="G1450" t="str">
            <v>IFA</v>
          </cell>
        </row>
        <row r="1451">
          <cell r="A1451" t="str">
            <v>KHF-00-104265-RA-6038-00910-0000-2</v>
          </cell>
          <cell r="B1451" t="str">
            <v>AIP-PDO-P1701009-T-0932</v>
          </cell>
          <cell r="C1451">
            <v>43488</v>
          </cell>
          <cell r="D1451" t="str">
            <v>KHF-00-104265-RA-6038-00910-0000</v>
          </cell>
          <cell r="E1451" t="str">
            <v>Procedure for Internal X-Ray Radiographic Testing of Pipelines</v>
          </cell>
          <cell r="F1451">
            <v>2</v>
          </cell>
          <cell r="G1451" t="str">
            <v>IFA</v>
          </cell>
        </row>
        <row r="1452">
          <cell r="A1452" t="str">
            <v>KHF-00-104265-RA-6038-00914-0000-2</v>
          </cell>
          <cell r="B1452" t="str">
            <v>AIP-PDO-P1701009-T-0932</v>
          </cell>
          <cell r="C1452">
            <v>43488</v>
          </cell>
          <cell r="D1452" t="str">
            <v>KHF-00-104265-RA-6038-00914-0000</v>
          </cell>
          <cell r="E1452" t="str">
            <v>Procedure for Ultrasonic Testing of Pipelines Welds</v>
          </cell>
          <cell r="F1452">
            <v>2</v>
          </cell>
          <cell r="G1452" t="str">
            <v>IFA</v>
          </cell>
        </row>
        <row r="1453">
          <cell r="A1453" t="str">
            <v>KHF-00-104265-AA-6944-10063-0000-1</v>
          </cell>
          <cell r="B1453" t="str">
            <v>AIP-PDO-P1701009-T-0933</v>
          </cell>
          <cell r="C1453">
            <v>43489</v>
          </cell>
          <cell r="D1453" t="str">
            <v>KHF-00-104265-AA-6944-10063-0000</v>
          </cell>
          <cell r="E1453" t="str">
            <v>WEEKLY PROGRESS REPORT NO.063</v>
          </cell>
          <cell r="F1453">
            <v>1</v>
          </cell>
          <cell r="G1453" t="str">
            <v>IFR</v>
          </cell>
        </row>
        <row r="1454">
          <cell r="A1454" t="str">
            <v>KHF-00-104265-RA-6038-00916-0000-1</v>
          </cell>
          <cell r="B1454" t="str">
            <v>AIP-PDO-P1701009-T-0934</v>
          </cell>
          <cell r="C1454">
            <v>43490</v>
          </cell>
          <cell r="D1454" t="str">
            <v>KHF-00-104265-RA-6038-00916-0000</v>
          </cell>
          <cell r="E1454" t="str">
            <v>Procedure for Dry Magnetic Testing for Hot Piping Welds</v>
          </cell>
          <cell r="F1454">
            <v>1</v>
          </cell>
          <cell r="G1454" t="str">
            <v>IFR</v>
          </cell>
        </row>
        <row r="1455">
          <cell r="A1455" t="str">
            <v>KHF-00-104265-RA-8241-51168-0000-1</v>
          </cell>
          <cell r="B1455" t="str">
            <v>AIP-PDO-P1701009-T-0935</v>
          </cell>
          <cell r="C1455">
            <v>43492</v>
          </cell>
          <cell r="D1455" t="str">
            <v>KHF-00-104265-RA-8241-51168-0000</v>
          </cell>
          <cell r="E1455" t="str">
            <v>MATERIAL APPROVAL SHEET FOR GIC TILE GROUT FOR ROOF TILES</v>
          </cell>
          <cell r="F1455">
            <v>1</v>
          </cell>
          <cell r="G1455" t="str">
            <v>IFA</v>
          </cell>
        </row>
        <row r="1456">
          <cell r="A1456" t="str">
            <v>rejected by PDO</v>
          </cell>
          <cell r="B1456" t="str">
            <v>AIP-PDO-P1701009-T-0936</v>
          </cell>
          <cell r="C1456">
            <v>43492</v>
          </cell>
          <cell r="D1456" t="str">
            <v>KHF-00-104265-AA-6944-10064-0000</v>
          </cell>
          <cell r="E1456" t="str">
            <v>WEEKLY PROGRESS REPORT NO.064</v>
          </cell>
          <cell r="F1456">
            <v>1</v>
          </cell>
          <cell r="G1456" t="str">
            <v>IFR</v>
          </cell>
        </row>
        <row r="1457">
          <cell r="A1457" t="str">
            <v>KHF-00-104265-AA-3341-00153-0000-1</v>
          </cell>
          <cell r="B1457" t="str">
            <v>AIP-PDO-P1701009-T-0937</v>
          </cell>
          <cell r="C1457">
            <v>43492</v>
          </cell>
          <cell r="D1457" t="str">
            <v>KHF-00-104265-AA-3341-00153-0000</v>
          </cell>
          <cell r="E1457" t="str">
            <v>CV of Mr. Umar Farooq_GRE Supervisor (FGS 80 BAR AND 100 BAR SYSTEM)</v>
          </cell>
          <cell r="F1457">
            <v>1</v>
          </cell>
          <cell r="G1457" t="str">
            <v>IFR</v>
          </cell>
        </row>
        <row r="1458">
          <cell r="A1458" t="str">
            <v>KHF-00-104265-AA-3341-60135-0000-1</v>
          </cell>
          <cell r="B1458" t="str">
            <v>AIP-PDO-P1701009-T-0938</v>
          </cell>
          <cell r="C1458">
            <v>43492</v>
          </cell>
          <cell r="D1458" t="str">
            <v>KHF-00-104265-AA-3341-60135-0000</v>
          </cell>
          <cell r="E1458" t="str">
            <v>CV of Mr. Ananta Kumar. Madabattula – Safety Supervisor</v>
          </cell>
          <cell r="F1458">
            <v>1</v>
          </cell>
          <cell r="G1458" t="str">
            <v>IFA</v>
          </cell>
        </row>
        <row r="1459">
          <cell r="A1459" t="str">
            <v>KHF-00-104265-RA-6038-00101-0000-4</v>
          </cell>
          <cell r="B1459" t="str">
            <v>AIP-PDO-P1701009-T-0939</v>
          </cell>
          <cell r="C1459">
            <v>43492</v>
          </cell>
          <cell r="D1459" t="str">
            <v>KHF-00-104265-RA-6038-00101-0000</v>
          </cell>
          <cell r="E1459" t="str">
            <v>Procedure for Internal X-Ray Radiographic Testing of Pipelines</v>
          </cell>
          <cell r="F1459">
            <v>4</v>
          </cell>
          <cell r="G1459" t="str">
            <v>IFA</v>
          </cell>
        </row>
        <row r="1460">
          <cell r="A1460" t="str">
            <v>KHF-00-104265-RA-6038-00105-0000-4</v>
          </cell>
          <cell r="B1460" t="str">
            <v>AIP-PDO-P1701009-T-0939</v>
          </cell>
          <cell r="C1460">
            <v>43492</v>
          </cell>
          <cell r="D1460" t="str">
            <v>KHF-00-104265-RA-6038-00105-0000</v>
          </cell>
          <cell r="E1460" t="str">
            <v>Procedure for Ultrasonic Testing of Pipeline Welds</v>
          </cell>
          <cell r="F1460">
            <v>4</v>
          </cell>
          <cell r="G1460" t="str">
            <v>IFA</v>
          </cell>
        </row>
        <row r="1461">
          <cell r="A1461" t="str">
            <v>KHF-00-104265-AA-6944-10064-0000-1</v>
          </cell>
          <cell r="B1461" t="str">
            <v>AIP-PDO-P1701009-T-0940</v>
          </cell>
          <cell r="C1461">
            <v>43492</v>
          </cell>
          <cell r="D1461" t="str">
            <v>KHF-00-104265-AA-6944-10064-0000</v>
          </cell>
          <cell r="E1461" t="str">
            <v>WEEKLY PROGRESS REPORT NO.064</v>
          </cell>
          <cell r="F1461">
            <v>1</v>
          </cell>
          <cell r="G1461" t="str">
            <v>IFR</v>
          </cell>
        </row>
        <row r="1462">
          <cell r="A1462" t="str">
            <v>KHF-00-104265-AA-3347-30031-0000-1</v>
          </cell>
          <cell r="B1462" t="str">
            <v>AIP-PDO-P1701009-T-0941</v>
          </cell>
          <cell r="C1462">
            <v>43492</v>
          </cell>
          <cell r="D1462" t="str">
            <v>KHF-00-104265-AA-3347-30031-0000</v>
          </cell>
          <cell r="E1462" t="str">
            <v>MINUTES OF WEEKLY REVIEW MEETING (SITE) NO. 31</v>
          </cell>
          <cell r="F1462">
            <v>1</v>
          </cell>
          <cell r="G1462" t="str">
            <v>IFI</v>
          </cell>
        </row>
        <row r="1463">
          <cell r="A1463" t="str">
            <v>KHF-00-104265-BA-6070-43012-0000-1</v>
          </cell>
          <cell r="B1463" t="str">
            <v>AIP-PDO-P1701009-T-0942</v>
          </cell>
          <cell r="C1463">
            <v>43492</v>
          </cell>
          <cell r="D1463" t="str">
            <v>KHF-00-104265-BA-6070-43012-0000</v>
          </cell>
          <cell r="E1463" t="str">
            <v>Method Statement for Extended Hour Working – Electrical Works at GIS &amp; GTG Building</v>
          </cell>
          <cell r="F1463">
            <v>1</v>
          </cell>
          <cell r="G1463" t="str">
            <v>IFR</v>
          </cell>
        </row>
        <row r="1464">
          <cell r="A1464" t="str">
            <v>KHF-00-104265-RA-8241-51162-0000-1</v>
          </cell>
          <cell r="B1464" t="str">
            <v>AIP-PDO-P1701009-T-0943</v>
          </cell>
          <cell r="C1464">
            <v>43492</v>
          </cell>
          <cell r="D1464" t="str">
            <v>KHF-00-104265-RA-8241-51162-0000</v>
          </cell>
          <cell r="E1464" t="str">
            <v>Material Approval Sheet for Oil / Hydrocarbon Resistant Sealant</v>
          </cell>
          <cell r="F1464">
            <v>1</v>
          </cell>
          <cell r="G1464" t="str">
            <v>IFA</v>
          </cell>
        </row>
        <row r="1465">
          <cell r="A1465" t="str">
            <v>KHF-00-104265-RA-8241-51163-0000-1</v>
          </cell>
          <cell r="B1465" t="str">
            <v>AIP-PDO-P1701009-T-0943</v>
          </cell>
          <cell r="C1465">
            <v>43492</v>
          </cell>
          <cell r="D1465" t="str">
            <v>KHF-00-104265-RA-8241-51163-0000</v>
          </cell>
          <cell r="E1465" t="str">
            <v>Material Approval Sheet for Compressible Protection Filler Board 50mm THK Expansionthene LD-50mm</v>
          </cell>
          <cell r="F1465">
            <v>1</v>
          </cell>
          <cell r="G1465" t="str">
            <v>IFA</v>
          </cell>
        </row>
        <row r="1466">
          <cell r="A1466" t="str">
            <v>KHF-00-104265-RA-8241-51164-0000-1</v>
          </cell>
          <cell r="B1466" t="str">
            <v>AIP-PDO-P1701009-T-0943</v>
          </cell>
          <cell r="C1466">
            <v>43492</v>
          </cell>
          <cell r="D1466" t="str">
            <v>KHF-00-104265-RA-8241-51164-0000</v>
          </cell>
          <cell r="E1466" t="str">
            <v>Material Approval Sheet for Bond Breaker Tape &amp; Backer Rod Polyethylene Bond Breaker Tape</v>
          </cell>
          <cell r="F1466">
            <v>1</v>
          </cell>
          <cell r="G1466" t="str">
            <v>IFA</v>
          </cell>
        </row>
        <row r="1467">
          <cell r="A1467" t="str">
            <v>KHF-00-104265-BA-6070-44006-0000-1</v>
          </cell>
          <cell r="B1467" t="str">
            <v>AIP-PDO-P1701009-T-0944</v>
          </cell>
          <cell r="C1467">
            <v>43492</v>
          </cell>
          <cell r="D1467" t="str">
            <v>KHF-00-104265-BA-6070-44006-0000</v>
          </cell>
          <cell r="E1467" t="str">
            <v>Method Statement for Extended Hour Working  Instrument and Telecom Works at Power Plant</v>
          </cell>
          <cell r="F1467">
            <v>1</v>
          </cell>
          <cell r="G1467" t="str">
            <v>IFR</v>
          </cell>
        </row>
        <row r="1468">
          <cell r="A1468" t="str">
            <v>KHF-00-104265-BA-6070-42027-0000-1</v>
          </cell>
          <cell r="B1468" t="str">
            <v>AIP-PDO-P1701009-T-0945</v>
          </cell>
          <cell r="C1468">
            <v>43492</v>
          </cell>
          <cell r="D1468" t="str">
            <v>KHF-00-104265-BA-6070-42027-0000</v>
          </cell>
          <cell r="E1468" t="str">
            <v>Method Statement for Extended Hour Working – HVAC Duct Installation Insulation works at GIS &amp; GTG Building</v>
          </cell>
          <cell r="F1468">
            <v>1</v>
          </cell>
          <cell r="G1468" t="str">
            <v>IFR</v>
          </cell>
        </row>
        <row r="1469">
          <cell r="A1469" t="str">
            <v>KHF-00-104265-RA-8241-51156-0000-3</v>
          </cell>
          <cell r="B1469" t="str">
            <v>AIP-PDO-P1701009-T-0946</v>
          </cell>
          <cell r="C1469">
            <v>43492</v>
          </cell>
          <cell r="D1469" t="str">
            <v>KHF-00-104265-RA-8241-51156-0000</v>
          </cell>
          <cell r="E1469" t="str">
            <v>Material Approval Sheet for Indoor Lighting &amp; Small Power DB</v>
          </cell>
          <cell r="F1469">
            <v>3</v>
          </cell>
          <cell r="G1469" t="str">
            <v>IFA</v>
          </cell>
        </row>
        <row r="1470">
          <cell r="A1470" t="str">
            <v>KHF-00-104265-RA-8241-51171-0000-1</v>
          </cell>
          <cell r="B1470" t="str">
            <v>AIP-PDO-P1701009-T-0947</v>
          </cell>
          <cell r="C1470">
            <v>43494</v>
          </cell>
          <cell r="D1470" t="str">
            <v>KHF-00-104265-RA-8241-51171-0000</v>
          </cell>
          <cell r="E1470" t="str">
            <v>Material Approval Sheet for PPR Pipes &amp; Fittings</v>
          </cell>
          <cell r="F1470">
            <v>1</v>
          </cell>
          <cell r="G1470" t="str">
            <v>IFA</v>
          </cell>
        </row>
        <row r="1471">
          <cell r="A1471" t="str">
            <v>KHF-00-104265-LA-5009-00123-0000-1</v>
          </cell>
          <cell r="B1471" t="str">
            <v>AIP-PDO-P1701009-T-0948</v>
          </cell>
          <cell r="C1471">
            <v>43494</v>
          </cell>
          <cell r="D1471" t="str">
            <v>KHF-00-104265-LA-5009-00123-0000</v>
          </cell>
          <cell r="E1471" t="str">
            <v>Material Approval Sheet (MAS) for Pipeline Market Post Installation for all Pipelines</v>
          </cell>
          <cell r="F1471">
            <v>1</v>
          </cell>
          <cell r="G1471" t="str">
            <v>IFR</v>
          </cell>
        </row>
        <row r="1472">
          <cell r="A1472" t="str">
            <v>KHF-00-104265-RA-8241-51172-0000-1</v>
          </cell>
          <cell r="B1472" t="str">
            <v>AIP-PDO-P1701009-T-0949</v>
          </cell>
          <cell r="C1472">
            <v>43494</v>
          </cell>
          <cell r="D1472" t="str">
            <v>KHF-00-104265-RA-8241-51172-0000</v>
          </cell>
          <cell r="E1472" t="str">
            <v>Material Approval Sheet for Water Heater &amp; Accessories</v>
          </cell>
          <cell r="F1472">
            <v>1</v>
          </cell>
          <cell r="G1472" t="str">
            <v>IFA</v>
          </cell>
        </row>
        <row r="1473">
          <cell r="A1473" t="str">
            <v>KHF-00-104265-RA-8241-51121-0000-2</v>
          </cell>
          <cell r="B1473" t="str">
            <v>AIP-PDO-P1701009-T-0950</v>
          </cell>
          <cell r="C1473">
            <v>43494</v>
          </cell>
          <cell r="D1473" t="str">
            <v>KHF-00-104265-RA-8241-51121-0000</v>
          </cell>
          <cell r="E1473" t="str">
            <v>Material Approval Sheet for Flexible Metallic Conduit &amp; Accessories</v>
          </cell>
          <cell r="F1473">
            <v>2</v>
          </cell>
          <cell r="G1473" t="str">
            <v>IFA</v>
          </cell>
        </row>
        <row r="1474">
          <cell r="A1474" t="str">
            <v>KHF-00-104265-RA-8241-51122-0000-2</v>
          </cell>
          <cell r="B1474" t="str">
            <v>AIP-PDO-P1701009-T-0951</v>
          </cell>
          <cell r="C1474">
            <v>43494</v>
          </cell>
          <cell r="D1474" t="str">
            <v>KHF-00-104265-RA-8241-51122-0000</v>
          </cell>
          <cell r="E1474" t="str">
            <v>Material Approval Sheet for Heavy Gauge GI Conduit &amp; Accessories (Vendor-1)</v>
          </cell>
          <cell r="F1474">
            <v>2</v>
          </cell>
          <cell r="G1474" t="str">
            <v>IFA</v>
          </cell>
        </row>
        <row r="1475">
          <cell r="A1475" t="str">
            <v>KHF-00-104265-BA-6070-42010-0000-2</v>
          </cell>
          <cell r="B1475" t="str">
            <v>AIP-PDO-P1701009-T-0952</v>
          </cell>
          <cell r="C1475">
            <v>43494</v>
          </cell>
          <cell r="D1475" t="str">
            <v>KHF-00-104265-BA-6070-42010-0000</v>
          </cell>
          <cell r="E1475" t="str">
            <v>Method Statement for Hydrostatic Testing of Pipeline Valves</v>
          </cell>
          <cell r="F1475">
            <v>2</v>
          </cell>
          <cell r="G1475" t="str">
            <v>IFA</v>
          </cell>
        </row>
        <row r="1476">
          <cell r="A1476" t="str">
            <v>KHF-00-104265-BA-6065-50006-0000-2</v>
          </cell>
          <cell r="B1476" t="str">
            <v>AIP-PDO-P1701009-T-0953</v>
          </cell>
          <cell r="C1476">
            <v>43495</v>
          </cell>
          <cell r="D1476" t="str">
            <v>KHF-00-104265-BA-6065-50006-0000</v>
          </cell>
          <cell r="E1476" t="str">
            <v>WPS - Pipe to Weldolet - Pipeline PL-5 (AIP-WPS-PL-005)</v>
          </cell>
          <cell r="F1476">
            <v>2</v>
          </cell>
          <cell r="G1476" t="str">
            <v>IFA</v>
          </cell>
        </row>
        <row r="1477">
          <cell r="A1477" t="str">
            <v>KHF-00-104265-QA-5733-22014-0000-2</v>
          </cell>
          <cell r="B1477" t="str">
            <v>AIP-PDO-P1701009-T-0954</v>
          </cell>
          <cell r="C1477">
            <v>43495</v>
          </cell>
          <cell r="D1477" t="str">
            <v>KHF-00-104265-QA-5733-22014-0000</v>
          </cell>
          <cell r="E1477" t="str">
            <v>Inspection Test Plan for Pipeline Valve Hydro Testing</v>
          </cell>
          <cell r="F1477">
            <v>2</v>
          </cell>
          <cell r="G1477" t="str">
            <v>IFA</v>
          </cell>
        </row>
        <row r="1478">
          <cell r="A1478" t="str">
            <v>KHF-00-104265-RA-8241-51173-0000-1</v>
          </cell>
          <cell r="B1478" t="str">
            <v>AIP-PDO-P1701009-T-0955</v>
          </cell>
          <cell r="C1478">
            <v>43495</v>
          </cell>
          <cell r="D1478" t="str">
            <v>KHF-00-104265-RA-8241-51173-0000</v>
          </cell>
          <cell r="E1478" t="str">
            <v>Material Approval Sheet for Copper Pipes &amp; Fittings</v>
          </cell>
          <cell r="F1478">
            <v>1</v>
          </cell>
          <cell r="G1478" t="str">
            <v>IFA</v>
          </cell>
        </row>
        <row r="1479">
          <cell r="A1479" t="str">
            <v>KHF-00-104265-RA-8241-51174-0000-1</v>
          </cell>
          <cell r="B1479" t="str">
            <v>AIP-PDO-P1701009-T-0956</v>
          </cell>
          <cell r="C1479">
            <v>43495</v>
          </cell>
          <cell r="D1479" t="str">
            <v>KHF-00-104265-RA-8241-51174-0000</v>
          </cell>
          <cell r="E1479" t="str">
            <v>Material Approval Sheet for Valves</v>
          </cell>
          <cell r="F1479">
            <v>1</v>
          </cell>
          <cell r="G1479" t="str">
            <v>IFA</v>
          </cell>
        </row>
        <row r="1480">
          <cell r="A1480" t="str">
            <v>KHF-00-104265-VA-6180-10050-0000-2</v>
          </cell>
          <cell r="B1480" t="str">
            <v>AIP-PDO-P1701009-T-0957</v>
          </cell>
          <cell r="C1480">
            <v>43496</v>
          </cell>
          <cell r="D1480" t="str">
            <v>KHF-00-104265-VA-6180-10050-0000</v>
          </cell>
          <cell r="E1480" t="str">
            <v>Vendor Mobilisation Plan</v>
          </cell>
          <cell r="F1480">
            <v>2</v>
          </cell>
          <cell r="G1480" t="str">
            <v>IFR</v>
          </cell>
        </row>
        <row r="1481">
          <cell r="A1481" t="str">
            <v>KHF-00-104265-RA-8241-51176-0000-1</v>
          </cell>
          <cell r="B1481" t="str">
            <v>AIP-PDO-P1701009-T-0958</v>
          </cell>
          <cell r="C1481">
            <v>43496</v>
          </cell>
          <cell r="D1481" t="str">
            <v>KHF-00-104265-RA-8241-51176-0000</v>
          </cell>
          <cell r="E1481" t="str">
            <v>Material Approval Sheet Cementitious Waterproof Coating (Polyflex)</v>
          </cell>
          <cell r="F1481">
            <v>1</v>
          </cell>
          <cell r="G1481" t="str">
            <v>IFA</v>
          </cell>
        </row>
        <row r="1482">
          <cell r="A1482" t="str">
            <v>rejected by PDO</v>
          </cell>
          <cell r="B1482" t="str">
            <v>AIP-PDO-P1701009-T-0959</v>
          </cell>
          <cell r="C1482">
            <v>43496</v>
          </cell>
          <cell r="D1482" t="str">
            <v>KHF-00-104265-AA-3341-00904-0000</v>
          </cell>
          <cell r="E1482" t="str">
            <v>CV of Mr. Abhijit Dutta</v>
          </cell>
          <cell r="F1482">
            <v>1</v>
          </cell>
          <cell r="G1482" t="str">
            <v>rejected</v>
          </cell>
        </row>
        <row r="1483">
          <cell r="A1483" t="str">
            <v>KHF-00-104265-AA-6944-10065-0000-1</v>
          </cell>
          <cell r="B1483" t="str">
            <v>AIP-PDO-P1701009-T-0960</v>
          </cell>
          <cell r="C1483">
            <v>43499</v>
          </cell>
          <cell r="D1483" t="str">
            <v>KHF-00-104265-AA-6944-10065-0000</v>
          </cell>
          <cell r="E1483" t="str">
            <v>WEEKLY PROGRESS REPORT NO.065</v>
          </cell>
          <cell r="F1483">
            <v>1</v>
          </cell>
          <cell r="G1483" t="str">
            <v>IFR</v>
          </cell>
        </row>
        <row r="1484">
          <cell r="A1484" t="str">
            <v>KHF-00-104265-BA-6065-00640-0000-2</v>
          </cell>
          <cell r="B1484" t="str">
            <v>AIP-PDO-P1701009-T-0961</v>
          </cell>
          <cell r="C1484">
            <v>43500</v>
          </cell>
          <cell r="D1484" t="str">
            <v>KHF-00-104265-BA-6065-00640-0000</v>
          </cell>
          <cell r="E1484" t="str">
            <v>Welding Procedure Specification  (WPS) / PQR– 040 With CRS (AI-WPS-T-704)</v>
          </cell>
          <cell r="F1484">
            <v>2</v>
          </cell>
          <cell r="G1484" t="str">
            <v>IFR</v>
          </cell>
        </row>
        <row r="1485">
          <cell r="A1485" t="str">
            <v>KHF-00-104265-BA-6065-00645-0000-2</v>
          </cell>
          <cell r="B1485" t="str">
            <v>AIP-PDO-P1701009-T-0961</v>
          </cell>
          <cell r="C1485">
            <v>43500</v>
          </cell>
          <cell r="D1485" t="str">
            <v>KHF-00-104265-BA-6065-00645-0000</v>
          </cell>
          <cell r="E1485" t="str">
            <v>Welding Procedure Specification  (WPS) / PQR– 045 With CRS (AIM-WPS-TM-710 (825 # 625)</v>
          </cell>
          <cell r="F1485">
            <v>2</v>
          </cell>
          <cell r="G1485" t="str">
            <v>IFR</v>
          </cell>
        </row>
        <row r="1486">
          <cell r="A1486" t="str">
            <v>KHF-00-104265-BA-6065-00701-0000-1</v>
          </cell>
          <cell r="B1486" t="str">
            <v>AIP-PDO-P1701009-T-0961</v>
          </cell>
          <cell r="C1486">
            <v>43500</v>
          </cell>
          <cell r="D1486" t="str">
            <v>KHF-00-104265-BA-6065-00701-0000</v>
          </cell>
          <cell r="E1486" t="str">
            <v>Welding Procedure Register (WPSR) - 825 # 625</v>
          </cell>
          <cell r="F1486">
            <v>1</v>
          </cell>
          <cell r="G1486" t="str">
            <v>IFR</v>
          </cell>
        </row>
        <row r="1487">
          <cell r="A1487" t="str">
            <v>KHF-00-104265-AA-3341-60136-0000-1</v>
          </cell>
          <cell r="B1487" t="str">
            <v>AIP-PDO-P1701009-T-0962</v>
          </cell>
          <cell r="C1487">
            <v>43500</v>
          </cell>
          <cell r="D1487" t="str">
            <v>KHF-00-104265-AA-3341-60136-0000</v>
          </cell>
          <cell r="E1487" t="str">
            <v>CV OF MR. SAMUEL GILBERT - QA/QC INSPECTOR - ROTATING  EQUIPMENT</v>
          </cell>
          <cell r="F1487">
            <v>1</v>
          </cell>
          <cell r="G1487" t="str">
            <v>IFA</v>
          </cell>
        </row>
        <row r="1488">
          <cell r="A1488" t="str">
            <v>KHF-00-104265-RA-8241-51175-0000-1</v>
          </cell>
          <cell r="B1488" t="str">
            <v>AIP-PDO-P1701009-T-0963</v>
          </cell>
          <cell r="C1488">
            <v>43500</v>
          </cell>
          <cell r="D1488" t="str">
            <v>KHF-00-104265-RA-8241-51175-0000</v>
          </cell>
          <cell r="E1488" t="str">
            <v>MATERIAL APPROVAL SHEET FOR STUD ANCHOR</v>
          </cell>
          <cell r="F1488">
            <v>1</v>
          </cell>
          <cell r="G1488" t="str">
            <v>IFA</v>
          </cell>
        </row>
        <row r="1489">
          <cell r="A1489" t="str">
            <v>KHF-00-104265-RA-8241-51177-0000-1</v>
          </cell>
          <cell r="B1489" t="str">
            <v>AIP-PDO-P1701009-T-0963</v>
          </cell>
          <cell r="C1489">
            <v>43500</v>
          </cell>
          <cell r="D1489" t="str">
            <v>KHF-00-104265-RA-8241-51177-0000</v>
          </cell>
          <cell r="E1489" t="str">
            <v>MATERIAL APPROVAL SHEET FOR SILICONE (CSL 533) AT GTG DRAIN POCKET</v>
          </cell>
          <cell r="F1489">
            <v>1</v>
          </cell>
          <cell r="G1489" t="str">
            <v>IFA</v>
          </cell>
        </row>
        <row r="1490">
          <cell r="A1490" t="str">
            <v>KHF-00-104265-RA-8241-51178-0000-1</v>
          </cell>
          <cell r="B1490" t="str">
            <v>AIP-PDO-P1701009-T-0963</v>
          </cell>
          <cell r="C1490">
            <v>43500</v>
          </cell>
          <cell r="D1490" t="str">
            <v>KHF-00-104265-RA-8241-51178-0000</v>
          </cell>
          <cell r="E1490" t="str">
            <v>MATERIAL APPROVAL SHEET FOR DUST PROOF EPOXY WITH SELF LEVELLING COMPOUND</v>
          </cell>
          <cell r="F1490">
            <v>1</v>
          </cell>
          <cell r="G1490" t="str">
            <v>IFA</v>
          </cell>
        </row>
        <row r="1491">
          <cell r="A1491" t="str">
            <v>KHF-00-104265-QA-5733-01201-0000-2</v>
          </cell>
          <cell r="B1491" t="str">
            <v>AIP-PDO-P1701009-T-0964</v>
          </cell>
          <cell r="C1491">
            <v>43500</v>
          </cell>
          <cell r="D1491" t="str">
            <v>KHF-00-104265-QA-5733-01201-0000</v>
          </cell>
          <cell r="E1491" t="str">
            <v>INSPECTION TEST PLAN FOR PRECAST CONCRETE ELEMENTS</v>
          </cell>
          <cell r="F1491">
            <v>2</v>
          </cell>
          <cell r="G1491" t="str">
            <v>IFA</v>
          </cell>
        </row>
        <row r="1492">
          <cell r="A1492" t="str">
            <v>KHF-00-104265-QA-5733-01304-0000-2</v>
          </cell>
          <cell r="B1492" t="str">
            <v>AIP-PDO-P1701009-T-0965</v>
          </cell>
          <cell r="C1492">
            <v>43500</v>
          </cell>
          <cell r="D1492" t="str">
            <v>KHF-00-104265-QA-5733-01304-0000</v>
          </cell>
          <cell r="E1492" t="str">
            <v>ITP FOR INSTALLATION OF FIN FAN COOLER (MECHANICAL WORKS)</v>
          </cell>
          <cell r="F1492">
            <v>2</v>
          </cell>
          <cell r="G1492" t="str">
            <v>IFA</v>
          </cell>
        </row>
        <row r="1493">
          <cell r="A1493" t="str">
            <v>KHF-00-104265-QA-5733-01305-0000-2</v>
          </cell>
          <cell r="B1493" t="str">
            <v>AIP-PDO-P1701009-T-0965</v>
          </cell>
          <cell r="C1493">
            <v>43500</v>
          </cell>
          <cell r="D1493" t="str">
            <v>KHF-00-104265-QA-5733-01305-0000</v>
          </cell>
          <cell r="E1493" t="str">
            <v>ITP FOR INSTALLATION OF GAS TURBINE EXHAUST BYPASS SYSTEM (MECHANICAL WORKS)</v>
          </cell>
          <cell r="F1493">
            <v>2</v>
          </cell>
          <cell r="G1493" t="str">
            <v>IFA</v>
          </cell>
        </row>
        <row r="1494">
          <cell r="A1494" t="str">
            <v>KHF-00-104265-QA-5733-01306-0000-2</v>
          </cell>
          <cell r="B1494" t="str">
            <v>AIP-PDO-P1701009-T-0965</v>
          </cell>
          <cell r="C1494">
            <v>43500</v>
          </cell>
          <cell r="D1494" t="str">
            <v>KHF-00-104265-QA-5733-01306-0000</v>
          </cell>
          <cell r="E1494" t="str">
            <v>ITP FOR INSTALLATION OF HRSG  MAIN  STACK INSTALLATION (MECHANICAL WORKS)</v>
          </cell>
          <cell r="F1494">
            <v>2</v>
          </cell>
          <cell r="G1494" t="str">
            <v>IFA</v>
          </cell>
        </row>
        <row r="1495">
          <cell r="A1495" t="str">
            <v>KHF-00-104265-QA-5733-01307-0000-2</v>
          </cell>
          <cell r="B1495" t="str">
            <v>AIP-PDO-P1701009-T-0965</v>
          </cell>
          <cell r="C1495">
            <v>43500</v>
          </cell>
          <cell r="D1495" t="str">
            <v>KHF-00-104265-QA-5733-01307-0000</v>
          </cell>
          <cell r="E1495" t="str">
            <v>ITP FOR MECHANICAL INSTALLATION OF ROTARY EQUIPMENT (PUMP)</v>
          </cell>
          <cell r="F1495">
            <v>2</v>
          </cell>
          <cell r="G1495" t="str">
            <v>IFA</v>
          </cell>
        </row>
        <row r="1496">
          <cell r="A1496" t="str">
            <v>KHF-00-104265-QA-5733-01308-0000-2</v>
          </cell>
          <cell r="B1496" t="str">
            <v>AIP-PDO-P1701009-T-0965</v>
          </cell>
          <cell r="C1496">
            <v>43500</v>
          </cell>
          <cell r="D1496" t="str">
            <v>KHF-00-104265-QA-5733-01308-0000</v>
          </cell>
          <cell r="E1496" t="str">
            <v>ITP FOR INSTALLATION OFSTATIC EQUIPMENT &amp; SKID (MECHANICAL WORKS)</v>
          </cell>
          <cell r="F1496">
            <v>2</v>
          </cell>
          <cell r="G1496" t="str">
            <v>IFA</v>
          </cell>
        </row>
        <row r="1497">
          <cell r="A1497" t="str">
            <v>KHF-00-104265-BA-6070-41015-0000-1</v>
          </cell>
          <cell r="B1497" t="str">
            <v>AIP-PDO-P1701009-T-0966</v>
          </cell>
          <cell r="C1497">
            <v>43500</v>
          </cell>
          <cell r="D1497" t="str">
            <v>KHF-00-104265-BA-6070-41015-0000</v>
          </cell>
          <cell r="E1497" t="str">
            <v>METHOD STATEMENT FOR FOUNDATION BOLT ELEVATION, LEVELLING RECTIFICATION</v>
          </cell>
          <cell r="F1497">
            <v>1</v>
          </cell>
          <cell r="G1497" t="str">
            <v>IFR</v>
          </cell>
        </row>
        <row r="1498">
          <cell r="A1498" t="str">
            <v>KHF-00-104265-QA-5733-01401-0000-1</v>
          </cell>
          <cell r="B1498" t="str">
            <v>AIP-PDO-P1701009-T-0967</v>
          </cell>
          <cell r="C1498">
            <v>43500</v>
          </cell>
          <cell r="D1498" t="str">
            <v>KHF-00-104265-QA-5733-01401-0000</v>
          </cell>
          <cell r="E1498" t="str">
            <v>INSPECTION AND TEST PLAN FOR THE APPLICATION OF FBE COATING TO THE INTERNAL SURFACE OF INDIVIDUAL FITTINGS AND SPOOL PIECES</v>
          </cell>
          <cell r="F1498">
            <v>1</v>
          </cell>
          <cell r="G1498" t="str">
            <v>IFR</v>
          </cell>
        </row>
        <row r="1499">
          <cell r="A1499" t="str">
            <v>KHF-00-104265-BA-6070-01301-0000-1</v>
          </cell>
          <cell r="B1499" t="str">
            <v>AIP-PDO-P1701009-T-0968</v>
          </cell>
          <cell r="C1499">
            <v>43500</v>
          </cell>
          <cell r="D1499" t="str">
            <v>KHF-00-104265-BA-6070-01301-0000</v>
          </cell>
          <cell r="E1499" t="str">
            <v>Method Of Statement For Installation HRSG Module</v>
          </cell>
          <cell r="F1499">
            <v>1</v>
          </cell>
          <cell r="G1499" t="str">
            <v>IFR</v>
          </cell>
        </row>
        <row r="1500">
          <cell r="A1500" t="str">
            <v>KHF-00-104265-BA-5736-01301-0000-1</v>
          </cell>
          <cell r="B1500" t="str">
            <v>AIP-PDO-P1701009-T-0968</v>
          </cell>
          <cell r="C1500">
            <v>43500</v>
          </cell>
          <cell r="D1500" t="str">
            <v>KHF-00-104265-BA-5736-01301-0000</v>
          </cell>
          <cell r="E1500" t="str">
            <v>Lifting plan for Mechanical Installation for HRSG Module</v>
          </cell>
          <cell r="F1500">
            <v>1</v>
          </cell>
          <cell r="G1500" t="str">
            <v>IFR</v>
          </cell>
        </row>
        <row r="1501">
          <cell r="A1501" t="str">
            <v>KHF-00-104265-AA-3341-60108-0000-2</v>
          </cell>
          <cell r="B1501" t="str">
            <v>AIP-PDO-P1701009-T-0969</v>
          </cell>
          <cell r="C1501">
            <v>43500</v>
          </cell>
          <cell r="D1501" t="str">
            <v>KHF-00-104265-AA-3341-60108-0000</v>
          </cell>
          <cell r="E1501" t="str">
            <v>CV OF MR.CHERAN SOLLIN SELVAN - HSE ADVISOR</v>
          </cell>
          <cell r="F1501">
            <v>2</v>
          </cell>
          <cell r="G1501" t="str">
            <v>IFA</v>
          </cell>
        </row>
        <row r="1502">
          <cell r="A1502" t="str">
            <v>KHF-00-104265-AA-3341-60114-0000-2</v>
          </cell>
          <cell r="B1502" t="str">
            <v>AIP-PDO-P1701009-T-0969</v>
          </cell>
          <cell r="C1502">
            <v>43500</v>
          </cell>
          <cell r="D1502" t="str">
            <v>KHF-00-104265-AA-3341-60114-0000</v>
          </cell>
          <cell r="E1502" t="str">
            <v>CV OF MR. RONALDO MOSUELA TAYAM - HSE ADVIDOR</v>
          </cell>
          <cell r="F1502">
            <v>2</v>
          </cell>
          <cell r="G1502" t="str">
            <v>IFA</v>
          </cell>
        </row>
        <row r="1503">
          <cell r="A1503" t="str">
            <v>KHF-00-104265-HX-6180-00901-0000-3</v>
          </cell>
          <cell r="B1503" t="str">
            <v>AIP-PDO-P1701009-T-0970</v>
          </cell>
          <cell r="C1503">
            <v>43501</v>
          </cell>
          <cell r="D1503" t="str">
            <v>KHF-00-104265-HX-6180-00901-0000</v>
          </cell>
          <cell r="E1503" t="str">
            <v>Procedure for Radiation Safety</v>
          </cell>
          <cell r="F1503">
            <v>3</v>
          </cell>
          <cell r="G1503" t="str">
            <v>IFA</v>
          </cell>
        </row>
        <row r="1504">
          <cell r="A1504" t="str">
            <v>KHF-00-104265-HX-6180-00902-0000-3</v>
          </cell>
          <cell r="B1504" t="str">
            <v>AIP-PDO-P1701009-T-0970</v>
          </cell>
          <cell r="C1504">
            <v>43501</v>
          </cell>
          <cell r="D1504" t="str">
            <v>KHF-00-104265-HX-6180-00902-0000</v>
          </cell>
          <cell r="E1504" t="str">
            <v>Standard Handling Procedures for the Transport of Radioisotopes</v>
          </cell>
          <cell r="F1504">
            <v>3</v>
          </cell>
          <cell r="G1504" t="str">
            <v>IFA</v>
          </cell>
        </row>
        <row r="1505">
          <cell r="A1505" t="str">
            <v>rejected by PDO</v>
          </cell>
          <cell r="B1505" t="str">
            <v>AIP-PDO-P1701009-T-0971</v>
          </cell>
          <cell r="C1505">
            <v>43501</v>
          </cell>
          <cell r="D1505" t="str">
            <v>KHF-00-104265-QA-5733-01401-0000</v>
          </cell>
          <cell r="E1505" t="str">
            <v>Inspection and Test Plan for the Application of  FBE Coating to the Internal Surface of Individual Bends ,Fittings and Spool Pieces</v>
          </cell>
          <cell r="F1505">
            <v>1</v>
          </cell>
          <cell r="G1505" t="str">
            <v>resubmitted wrongly</v>
          </cell>
        </row>
        <row r="1506">
          <cell r="A1506" t="str">
            <v>KHF-00-104265-QA-5733-01301-0000-1</v>
          </cell>
          <cell r="B1506" t="str">
            <v>AIP-PDO-P1701009-T-0972</v>
          </cell>
          <cell r="C1506">
            <v>43501</v>
          </cell>
          <cell r="D1506" t="str">
            <v>KHF-00-104265-QA-5733-01301-0000</v>
          </cell>
          <cell r="E1506" t="str">
            <v>ITP FOR INSTALLATION OF HRSG SYSTEM (MECHANICAL WORKS)</v>
          </cell>
          <cell r="F1506">
            <v>1</v>
          </cell>
          <cell r="G1506" t="str">
            <v>IFR</v>
          </cell>
        </row>
        <row r="1507">
          <cell r="A1507" t="str">
            <v>KHF-00-104265-BA-6070-01201-0000-2</v>
          </cell>
          <cell r="B1507" t="str">
            <v>AIP-PDO-P1701009-T-0973</v>
          </cell>
          <cell r="C1507">
            <v>43501</v>
          </cell>
          <cell r="D1507" t="str">
            <v>KHF-00-104265-BA-6070-01201-0000</v>
          </cell>
          <cell r="E1507" t="str">
            <v>METHOD OF STATEMENT FOR PRECAST CONCRETE WORKS</v>
          </cell>
          <cell r="F1507">
            <v>2</v>
          </cell>
          <cell r="G1507" t="str">
            <v>IFA</v>
          </cell>
        </row>
        <row r="1508">
          <cell r="A1508" t="str">
            <v>KHF-00-104265-AA-3341-00904-0000-1</v>
          </cell>
          <cell r="B1508" t="str">
            <v>AIP-PDO-P1701009-T-0974</v>
          </cell>
          <cell r="C1508">
            <v>43501</v>
          </cell>
          <cell r="D1508" t="str">
            <v>KHF-00-104265-AA-3341-00904-0000</v>
          </cell>
          <cell r="E1508" t="str">
            <v>CV of Mr. Abhijit Dutta - Radiography Technician</v>
          </cell>
          <cell r="F1508">
            <v>1</v>
          </cell>
          <cell r="G1508" t="str">
            <v>IFR</v>
          </cell>
        </row>
        <row r="1509">
          <cell r="A1509" t="str">
            <v>KHF-00-104265-QA-5733-01302-0000-2</v>
          </cell>
          <cell r="B1509" t="str">
            <v>AIP-PDO-P1701009-T-0975</v>
          </cell>
          <cell r="C1509">
            <v>43502</v>
          </cell>
          <cell r="D1509" t="str">
            <v>KHF-00-104265-QA-5733-01302-0000</v>
          </cell>
          <cell r="E1509" t="str">
            <v>ITP FOR INSTALLATION OF GTG PACKAGE AND ITS AUXILIARIES</v>
          </cell>
          <cell r="F1509">
            <v>2</v>
          </cell>
          <cell r="G1509" t="str">
            <v>IFA</v>
          </cell>
        </row>
        <row r="1510">
          <cell r="A1510" t="str">
            <v>KHF-00-104265-QA-6050-00102-0000-6</v>
          </cell>
          <cell r="B1510" t="str">
            <v>AIP-PDO-P1701009-T-0976</v>
          </cell>
          <cell r="C1510">
            <v>43503</v>
          </cell>
          <cell r="D1510" t="str">
            <v>KHF-00-104265-QA-6050-00102-0000</v>
          </cell>
          <cell r="E1510" t="str">
            <v>Quality Control Plan for Earth works</v>
          </cell>
          <cell r="F1510">
            <v>6</v>
          </cell>
          <cell r="G1510" t="str">
            <v>IFA</v>
          </cell>
        </row>
        <row r="1511">
          <cell r="A1511" t="str">
            <v>KHF-00-104265-RA-8241-51179-0000-1</v>
          </cell>
          <cell r="B1511" t="str">
            <v>AIP-PDO-P1701009-T-0977</v>
          </cell>
          <cell r="C1511">
            <v>43503</v>
          </cell>
          <cell r="D1511" t="str">
            <v>KHF-00-104265-RA-8241-51179-0000</v>
          </cell>
          <cell r="E1511" t="str">
            <v>MATERIAL APPROVAL SHEET FOR TELECOM FOC ROUTE MARKER BOARD</v>
          </cell>
          <cell r="F1511">
            <v>1</v>
          </cell>
          <cell r="G1511" t="str">
            <v>IFA</v>
          </cell>
        </row>
        <row r="1512">
          <cell r="A1512" t="str">
            <v>KHF-00-104265-QA-6050-00118-0000-1</v>
          </cell>
          <cell r="B1512" t="str">
            <v>AIP-PDO-P1701009-T-0978</v>
          </cell>
          <cell r="C1512">
            <v>43503</v>
          </cell>
          <cell r="D1512" t="str">
            <v>KHF-00-104265-QA-6050-00118-0000</v>
          </cell>
          <cell r="E1512" t="str">
            <v>QUALITY CONTROL PLAN FOR PAINTING PCS-06 SYSTEM  (For Pipeline Marker Post External Painting)</v>
          </cell>
          <cell r="F1512">
            <v>1</v>
          </cell>
          <cell r="G1512" t="str">
            <v>IFR</v>
          </cell>
        </row>
        <row r="1513">
          <cell r="A1513" t="str">
            <v>KHF-00-104265-QA-5733-22004-0000-3</v>
          </cell>
          <cell r="B1513" t="str">
            <v>AIP-PDO-P1701009-T-0979</v>
          </cell>
          <cell r="C1513">
            <v>43503</v>
          </cell>
          <cell r="D1513" t="str">
            <v>KHF-00-104265-QA-5733-22004-0000</v>
          </cell>
          <cell r="E1513" t="str">
            <v>INSPECTION AND TEST PLAN FOR FABRICATION, WELDING, ERECTION AND HYDROTESTING OF PIPING FOR CS/LTCS</v>
          </cell>
          <cell r="F1513">
            <v>3</v>
          </cell>
          <cell r="G1513" t="str">
            <v>IFA</v>
          </cell>
        </row>
        <row r="1514">
          <cell r="A1514" t="str">
            <v>KHF-00-104265-BA-6070-42013-0000-2</v>
          </cell>
          <cell r="B1514" t="str">
            <v>AIP-PDO-P1701009-T-0980</v>
          </cell>
          <cell r="C1514">
            <v>43506</v>
          </cell>
          <cell r="D1514" t="str">
            <v>KHF-00-104265-BA-6070-42013-0000</v>
          </cell>
          <cell r="E1514" t="str">
            <v>METHOD STATEMENT FOR INSTALLATION OF MISCELLANEOUS STRUCTURE, SUPPORT, PLATFORM ACCESS LADDER, HANDRAILING AND GRATINGS AT POWER PLANT</v>
          </cell>
          <cell r="F1514">
            <v>2</v>
          </cell>
          <cell r="G1514" t="str">
            <v>IFA</v>
          </cell>
        </row>
        <row r="1515">
          <cell r="A1515" t="str">
            <v>KHF-00-104265-AA-6944-10066-0000-1</v>
          </cell>
          <cell r="B1515" t="str">
            <v>AIP-PDO-P1701009-T-0981</v>
          </cell>
          <cell r="C1515">
            <v>43506</v>
          </cell>
          <cell r="D1515" t="str">
            <v>KHF-00-104265-AA-6944-10066-0000</v>
          </cell>
          <cell r="E1515" t="str">
            <v>WEEKLY PROGRESS REPORT NO.066</v>
          </cell>
          <cell r="F1515">
            <v>1</v>
          </cell>
          <cell r="G1515" t="str">
            <v>IFR</v>
          </cell>
        </row>
        <row r="1516">
          <cell r="A1516" t="str">
            <v>KHF-00-104265-AA-6944-20016-0000-1</v>
          </cell>
          <cell r="B1516" t="str">
            <v>AIP-PDO-P1701009-T-0982</v>
          </cell>
          <cell r="C1516">
            <v>43506</v>
          </cell>
          <cell r="D1516" t="str">
            <v>KHF-00-104265-AA-6944-20016-0000</v>
          </cell>
          <cell r="E1516" t="str">
            <v>MONTHLY PROGRESS REPORT NO.016 (JANUARY 2019)</v>
          </cell>
          <cell r="F1516">
            <v>1</v>
          </cell>
          <cell r="G1516" t="str">
            <v>IFR</v>
          </cell>
        </row>
        <row r="1517">
          <cell r="A1517" t="str">
            <v>KHF-00-104265-QA-6050-00115-0000-3</v>
          </cell>
          <cell r="B1517" t="str">
            <v>AIP-PDO-P1701009-T-0983</v>
          </cell>
          <cell r="C1517">
            <v>43506</v>
          </cell>
          <cell r="D1517" t="str">
            <v>KHF-00-104265-QA-6050-00115-0000</v>
          </cell>
          <cell r="E1517" t="str">
            <v>QUALITY CONTROL PLAN FOR HYDRO TESTING OF CS PIPELINES</v>
          </cell>
          <cell r="F1517">
            <v>3</v>
          </cell>
          <cell r="G1517" t="str">
            <v>IFA</v>
          </cell>
        </row>
        <row r="1518">
          <cell r="A1518" t="str">
            <v>KHF-00-104265-BA-6065-01301-0000-1</v>
          </cell>
          <cell r="B1518" t="str">
            <v>AIP-PDO-P1701009-T-0984</v>
          </cell>
          <cell r="C1518">
            <v>43506</v>
          </cell>
          <cell r="D1518" t="str">
            <v>KHF-00-104265-BA-6065-01301-0000</v>
          </cell>
          <cell r="E1518" t="str">
            <v>WPS AND PQR REGISTER FOR STRUCTURAL WELDING</v>
          </cell>
          <cell r="F1518">
            <v>1</v>
          </cell>
          <cell r="G1518" t="str">
            <v>IFR</v>
          </cell>
        </row>
        <row r="1519">
          <cell r="A1519" t="str">
            <v>KHF-00-104265-BA-6065-01310-0000-1</v>
          </cell>
          <cell r="B1519" t="str">
            <v>AIP-PDO-P1701009-T-0984</v>
          </cell>
          <cell r="C1519">
            <v>43506</v>
          </cell>
          <cell r="D1519" t="str">
            <v>KHF-00-104265-BA-6065-01310-0000</v>
          </cell>
          <cell r="E1519" t="str">
            <v>WPS AND PQR - JWPS-142 &amp; JPQR-142,143 &amp; 144</v>
          </cell>
          <cell r="F1519">
            <v>1</v>
          </cell>
          <cell r="G1519" t="str">
            <v>IFR</v>
          </cell>
        </row>
        <row r="1520">
          <cell r="A1520" t="str">
            <v>KHF-00-104265-RA-8241-51180-0000-1</v>
          </cell>
          <cell r="B1520" t="str">
            <v>AIP-PDO-P1701009-T-0985</v>
          </cell>
          <cell r="C1520">
            <v>43508</v>
          </cell>
          <cell r="D1520" t="str">
            <v>KHF-00-104265-RA-8241-51180-0000</v>
          </cell>
          <cell r="E1520" t="str">
            <v>MATERIAL APPROVAL SHEET FOR FOSROC NITOSEAL PU220 FOR OIL RESISTANT SEALENT</v>
          </cell>
          <cell r="F1520">
            <v>1</v>
          </cell>
          <cell r="G1520" t="str">
            <v>IFA</v>
          </cell>
        </row>
        <row r="1521">
          <cell r="A1521" t="str">
            <v>KHF-00-104265-RA-8241-51181-0000-1</v>
          </cell>
          <cell r="B1521" t="str">
            <v>AIP-PDO-P1701009-T-0985</v>
          </cell>
          <cell r="C1521">
            <v>43508</v>
          </cell>
          <cell r="D1521" t="str">
            <v>KHF-00-104265-RA-8241-51181-0000</v>
          </cell>
          <cell r="E1521" t="str">
            <v>MATERIAL APPROVAL SHEET FOR FOSROC EXPANCELL BACKUP CORD AND NITOSEAL DEBONDING TAPE</v>
          </cell>
          <cell r="F1521">
            <v>1</v>
          </cell>
          <cell r="G1521" t="str">
            <v>IFA</v>
          </cell>
        </row>
        <row r="1522">
          <cell r="A1522" t="str">
            <v>KHF-00-104265-RA-8241-51182-0000-1</v>
          </cell>
          <cell r="B1522" t="str">
            <v>AIP-PDO-P1701009-T-0985</v>
          </cell>
          <cell r="C1522">
            <v>43508</v>
          </cell>
          <cell r="D1522" t="str">
            <v>KHF-00-104265-RA-8241-51182-0000</v>
          </cell>
          <cell r="E1522" t="str">
            <v>MATERIAL APPROVAL SHEET FOR WATER TANK</v>
          </cell>
          <cell r="F1522">
            <v>1</v>
          </cell>
          <cell r="G1522" t="str">
            <v>IFA</v>
          </cell>
        </row>
        <row r="1523">
          <cell r="A1523" t="str">
            <v>KHF-00-104265-BA-6070-42028-0000-1</v>
          </cell>
          <cell r="B1523" t="str">
            <v>AIP-PDO-P1701009-T-0986</v>
          </cell>
          <cell r="C1523">
            <v>43508</v>
          </cell>
          <cell r="D1523" t="str">
            <v>KHF-00-104265-BA-6070-42028-0000</v>
          </cell>
          <cell r="E1523" t="str">
            <v>METHOD STATEMENT FOR ABOVE GROUND SECTIONS HYDROTESTING OF CS PIPELINES</v>
          </cell>
          <cell r="F1523">
            <v>1</v>
          </cell>
          <cell r="G1523" t="str">
            <v>IFR</v>
          </cell>
        </row>
        <row r="1524">
          <cell r="A1524" t="str">
            <v>KHF-00-104265-AA-3341-60137-0000-1</v>
          </cell>
          <cell r="B1524" t="str">
            <v>AIP-PDO-P1701009-T-0987</v>
          </cell>
          <cell r="C1524">
            <v>43508</v>
          </cell>
          <cell r="D1524" t="str">
            <v>KHF-00-104265-AA-3341-60137-0000</v>
          </cell>
          <cell r="E1524" t="str">
            <v>CV OF MR. SIMON JOHN - AIP SITE BASED HSE MANAGER</v>
          </cell>
          <cell r="F1524">
            <v>1</v>
          </cell>
          <cell r="G1524" t="str">
            <v>IFA</v>
          </cell>
        </row>
        <row r="1525">
          <cell r="A1525" t="str">
            <v>KHF-00-104265-AA-3341-00154-0000-1</v>
          </cell>
          <cell r="B1525" t="str">
            <v>AIP-PDO-P1701009-T-0988</v>
          </cell>
          <cell r="C1525">
            <v>43508</v>
          </cell>
          <cell r="D1525" t="str">
            <v>KHF-00-104265-AA-3341-00154-0000</v>
          </cell>
          <cell r="E1525" t="str">
            <v>CV OF MR. ATHUL P BABU_GRE SUPERVISOR (FOR GRE FLOW LINES 80 AND 100 BAR FGS SYSTEM)</v>
          </cell>
          <cell r="F1525">
            <v>1</v>
          </cell>
          <cell r="G1525" t="str">
            <v>IFA</v>
          </cell>
        </row>
        <row r="1526">
          <cell r="A1526" t="str">
            <v>KHF-00-104265-AA-3341-00155-0000-1</v>
          </cell>
          <cell r="B1526" t="str">
            <v>AIP-PDO-P1701009-T-0988</v>
          </cell>
          <cell r="C1526">
            <v>43508</v>
          </cell>
          <cell r="D1526" t="str">
            <v>KHF-00-104265-AA-3341-00155-0000</v>
          </cell>
          <cell r="E1526" t="str">
            <v>CV OF MR. MOHAMED MASOOM_GRE INSPECTOR (FOR GRE FLOW LINES 80 AND 100 BAR FGS SYSTEM)</v>
          </cell>
          <cell r="F1526">
            <v>1</v>
          </cell>
          <cell r="G1526" t="str">
            <v>IFA</v>
          </cell>
        </row>
        <row r="1527">
          <cell r="A1527" t="str">
            <v>KHF-00-104265-LA-5009-00123-0000-2</v>
          </cell>
          <cell r="B1527" t="str">
            <v>AIP-PDO-P1701009-T-0989</v>
          </cell>
          <cell r="C1527">
            <v>43508</v>
          </cell>
          <cell r="D1527" t="str">
            <v>KHF-00-104265-LA-5009-00123-0000</v>
          </cell>
          <cell r="E1527" t="str">
            <v>Material Approval Sheet (MAS) for Pipeline Market Post Installation for all Pipelines</v>
          </cell>
          <cell r="F1527">
            <v>2</v>
          </cell>
          <cell r="G1527" t="str">
            <v>IFA</v>
          </cell>
        </row>
        <row r="1528">
          <cell r="A1528" t="str">
            <v>KHF-00-104265-BA-6070-43010-0000-3</v>
          </cell>
          <cell r="B1528" t="str">
            <v>AIP-PDO-P1701009-T-0990</v>
          </cell>
          <cell r="C1528">
            <v>43509</v>
          </cell>
          <cell r="D1528" t="str">
            <v>KHF-00-104265-BA-6070-43010-0000</v>
          </cell>
          <cell r="E1528" t="str">
            <v>METHOD STATEMENT SKIDDING &amp; JACKING / MECHANICAL PROTECTION OF 50/63 MVA, 11/134.5KV GTG STEP UP TRANSFORMERG-23001-TX</v>
          </cell>
          <cell r="F1528">
            <v>3</v>
          </cell>
          <cell r="G1528" t="str">
            <v>IFR</v>
          </cell>
        </row>
        <row r="1529">
          <cell r="A1529" t="str">
            <v>KHF-00-104265-QA-5733-01309-0000-1</v>
          </cell>
          <cell r="B1529" t="str">
            <v>AIP-PDO-P1701009-T-0991</v>
          </cell>
          <cell r="C1529">
            <v>43510</v>
          </cell>
          <cell r="D1529" t="str">
            <v>KHF-00-104265-QA-5733-01309-0000</v>
          </cell>
          <cell r="E1529" t="str">
            <v>ITP FOR INSTALLATION OF HRSG BOILER PRESSURE PARTS PIPING &amp; BOILER EXTERNAL PIPING</v>
          </cell>
          <cell r="F1529">
            <v>1</v>
          </cell>
          <cell r="G1529" t="str">
            <v>IFR</v>
          </cell>
        </row>
        <row r="1530">
          <cell r="A1530" t="str">
            <v>KHF-00-104265-AA-3341-60106-0000-2</v>
          </cell>
          <cell r="B1530" t="str">
            <v>AIP-PDO-P1701009-T-0992</v>
          </cell>
          <cell r="C1530">
            <v>43510</v>
          </cell>
          <cell r="D1530" t="str">
            <v>KHF-00-104265-AA-3341-60106-0000</v>
          </cell>
          <cell r="E1530" t="str">
            <v>CV OF MR. KUNDAN SINGH - WELDING INSPECTOR - PIPELINE</v>
          </cell>
          <cell r="F1530">
            <v>2</v>
          </cell>
          <cell r="G1530" t="str">
            <v>IFA</v>
          </cell>
        </row>
        <row r="1531">
          <cell r="A1531" t="str">
            <v>KHF-00-104265-BA-6070-00152-0000-1</v>
          </cell>
          <cell r="B1531" t="str">
            <v>AIP-PDO-P1701009-T-0993</v>
          </cell>
          <cell r="C1531">
            <v>43510</v>
          </cell>
          <cell r="D1531" t="str">
            <v>KHF-00-104265-BA-6070-00152-0000</v>
          </cell>
          <cell r="E1531" t="str">
            <v>Method Statement for Maintenance Road Construction</v>
          </cell>
          <cell r="F1531">
            <v>1</v>
          </cell>
          <cell r="G1531" t="str">
            <v>IFR</v>
          </cell>
        </row>
        <row r="1532">
          <cell r="A1532" t="str">
            <v>KHF-00-104265-QA-6050-10065-0000-1</v>
          </cell>
          <cell r="B1532" t="str">
            <v>AIP-PDO-P1701009-T-0994</v>
          </cell>
          <cell r="C1532">
            <v>43510</v>
          </cell>
          <cell r="D1532" t="str">
            <v>KHF-00-104265-QA-6050-10065-0000</v>
          </cell>
          <cell r="E1532" t="str">
            <v>FLAWLESS PROJECT DELIVERY IMPLEMENTATION PLAN</v>
          </cell>
          <cell r="F1532">
            <v>1</v>
          </cell>
          <cell r="G1532" t="str">
            <v>IFR</v>
          </cell>
        </row>
        <row r="1533">
          <cell r="A1533" t="str">
            <v>KHF-00-104265-QA-6050-00106-0000-6</v>
          </cell>
          <cell r="B1533" t="str">
            <v>AIP-PDO-P1701009-T-0995</v>
          </cell>
          <cell r="C1533">
            <v>43510</v>
          </cell>
          <cell r="D1533" t="str">
            <v>KHF-00-104265-QA-6050-00106-0000</v>
          </cell>
          <cell r="E1533" t="str">
            <v>Quality Control Plan for Installation of CS  Pipeline</v>
          </cell>
          <cell r="F1533">
            <v>6</v>
          </cell>
          <cell r="G1533" t="str">
            <v>IFA</v>
          </cell>
        </row>
        <row r="1534">
          <cell r="A1534" t="str">
            <v>rejected by PDO</v>
          </cell>
          <cell r="B1534" t="str">
            <v>AIP-PDO-P1701009-T-0996</v>
          </cell>
          <cell r="C1534">
            <v>43510</v>
          </cell>
          <cell r="D1534" t="str">
            <v>KHF-00-104265-BA-6065-01311-0000</v>
          </cell>
          <cell r="E1534" t="str">
            <v>WPS AND PQR - WPS-513 &amp; PQR-513</v>
          </cell>
          <cell r="F1534">
            <v>1</v>
          </cell>
          <cell r="G1534" t="str">
            <v>Rejected by PDO</v>
          </cell>
        </row>
        <row r="1535">
          <cell r="A1535" t="str">
            <v>KHF-00-104265-BA-6070-43003-0000-4</v>
          </cell>
          <cell r="B1535" t="str">
            <v>AIP-PDO-P1701009-T-0997</v>
          </cell>
          <cell r="C1535">
            <v>43510</v>
          </cell>
          <cell r="D1535" t="str">
            <v>KHF-00-104265-BA-6070-43003-0000</v>
          </cell>
          <cell r="E1535" t="str">
            <v>METHOD STATEMENT FOR ERECTION OF TRANSFORMERS</v>
          </cell>
          <cell r="F1535">
            <v>4</v>
          </cell>
          <cell r="G1535" t="str">
            <v>IFA</v>
          </cell>
        </row>
        <row r="1536">
          <cell r="A1536" t="str">
            <v>KHF-00-104265-AA-3341-60111-0000-2</v>
          </cell>
          <cell r="B1536" t="str">
            <v>AIP-PDO-P1701009-T-0998</v>
          </cell>
          <cell r="C1536">
            <v>43510</v>
          </cell>
          <cell r="D1536" t="str">
            <v>KHF-00-104265-AA-3341-60111-0000</v>
          </cell>
          <cell r="E1536" t="str">
            <v>CV of Mr. Mohammad Ali Khan - QC Inspector - Coating</v>
          </cell>
          <cell r="F1536">
            <v>2</v>
          </cell>
          <cell r="G1536" t="str">
            <v>IFA</v>
          </cell>
        </row>
        <row r="1537">
          <cell r="A1537" t="str">
            <v>KHF-00-104265-AA-3341-60119-0000-2</v>
          </cell>
          <cell r="B1537" t="str">
            <v>AIP-PDO-P1701009-T-0999</v>
          </cell>
          <cell r="C1537">
            <v>43510</v>
          </cell>
          <cell r="D1537" t="str">
            <v>KHF-00-104265-AA-3341-60119-0000</v>
          </cell>
          <cell r="E1537" t="str">
            <v>CV of Mr. Magesh C.R - QC Inspector - Civil</v>
          </cell>
          <cell r="F1537">
            <v>2</v>
          </cell>
          <cell r="G1537" t="str">
            <v>IFA</v>
          </cell>
        </row>
        <row r="1538">
          <cell r="A1538" t="str">
            <v>KHF-00-104265-AA-3341-60116-0000-2</v>
          </cell>
          <cell r="B1538" t="str">
            <v>AIP-PDO-P1701009-T-1000</v>
          </cell>
          <cell r="C1538">
            <v>43510</v>
          </cell>
          <cell r="D1538" t="str">
            <v>KHF-00-104265-AA-3341-60116-0000</v>
          </cell>
          <cell r="E1538" t="str">
            <v>CV of Mr. Sankara Narayanan - Lead QC Engineer</v>
          </cell>
          <cell r="F1538">
            <v>2</v>
          </cell>
          <cell r="G1538" t="str">
            <v>IFA</v>
          </cell>
        </row>
        <row r="1539">
          <cell r="A1539" t="str">
            <v>KHF-00-104265-BA-6070-42029-0000-1</v>
          </cell>
          <cell r="B1539" t="str">
            <v>AIP-PDO-P1701009-T-1001</v>
          </cell>
          <cell r="C1539">
            <v>43510</v>
          </cell>
          <cell r="D1539" t="str">
            <v>KHF-00-104265-BA-6070-42029-0000</v>
          </cell>
          <cell r="E1539" t="str">
            <v>METHOD STATEMENT FOR THE EXAMINATION AND LOAD TESTING OF GIS BUILDING 5TON EOT CRANE</v>
          </cell>
          <cell r="F1539">
            <v>1</v>
          </cell>
          <cell r="G1539" t="str">
            <v>IFR</v>
          </cell>
        </row>
        <row r="1540">
          <cell r="A1540" t="str">
            <v>KHF-00-104265-QA-6050-00118-0000-2</v>
          </cell>
          <cell r="B1540" t="str">
            <v>AIP-PDO-P1701009-T-1002</v>
          </cell>
          <cell r="C1540">
            <v>43513</v>
          </cell>
          <cell r="D1540" t="str">
            <v>KHF-00-104265-QA-6050-00118-0000</v>
          </cell>
          <cell r="E1540" t="str">
            <v>QUALITY CONTROL PLAN FOR PAINTING PCS-06 SYSTEM  (For Pipeline Marker Post External Painting)</v>
          </cell>
          <cell r="F1540">
            <v>2</v>
          </cell>
          <cell r="G1540" t="str">
            <v>IFA</v>
          </cell>
        </row>
        <row r="1541">
          <cell r="A1541" t="str">
            <v>KHF-00-104265-QA-5733-22013-0000-2</v>
          </cell>
          <cell r="B1541" t="str">
            <v>AIP-PDO-P1701009-T-1003</v>
          </cell>
          <cell r="C1541">
            <v>43513</v>
          </cell>
          <cell r="D1541" t="str">
            <v>KHF-00-104265-QA-5733-22013-0000</v>
          </cell>
          <cell r="E1541" t="str">
            <v>INSPECTION AND TEST PLAN FOR 2" to 8"GRE PIPING FIELD FABRICATION, INSTALLATION &amp; HYDRO TESTING FOR RMS &amp; POWER PLANT</v>
          </cell>
          <cell r="F1541">
            <v>2</v>
          </cell>
          <cell r="G1541" t="str">
            <v>IFA</v>
          </cell>
        </row>
        <row r="1542">
          <cell r="A1542" t="str">
            <v>KHF-00-104265-AA-3347-30034-0000-1</v>
          </cell>
          <cell r="B1542" t="str">
            <v>AIP-PDO-P1701009-T-1004</v>
          </cell>
          <cell r="C1542">
            <v>43513</v>
          </cell>
          <cell r="D1542" t="str">
            <v>KHF-00-104265-AA-3347-30034-0000</v>
          </cell>
          <cell r="E1542" t="str">
            <v>MINUTES OF WEEKLY REVIEW MEETING (SITE) NO. 34</v>
          </cell>
          <cell r="F1542">
            <v>1</v>
          </cell>
          <cell r="G1542" t="str">
            <v>IFI</v>
          </cell>
        </row>
        <row r="1543">
          <cell r="A1543" t="str">
            <v>KHF-00-104265-AA-6944-10067-0000-1</v>
          </cell>
          <cell r="B1543" t="str">
            <v>AIP-PDO-P1701009-T-1005</v>
          </cell>
          <cell r="C1543">
            <v>43514</v>
          </cell>
          <cell r="D1543" t="str">
            <v>KHF-00-104265-AA-6944-10067-0000</v>
          </cell>
          <cell r="E1543" t="str">
            <v>WEEKLY PROGRESS REPORT NO.067</v>
          </cell>
          <cell r="F1543">
            <v>1</v>
          </cell>
          <cell r="G1543" t="str">
            <v>IFR</v>
          </cell>
        </row>
        <row r="1544">
          <cell r="A1544" t="str">
            <v>KHF-00-104265-LA-5009-00125-0000-1</v>
          </cell>
          <cell r="B1544" t="str">
            <v>AIP-PDO-P1701009-T-1006</v>
          </cell>
          <cell r="C1544">
            <v>43514</v>
          </cell>
          <cell r="D1544" t="str">
            <v>KHF-00-104265-LA-5009-00125-0000</v>
          </cell>
          <cell r="E1544" t="str">
            <v>Material Approval Sheet (MAS) for Corrosion Inhibitor in Hydro testing water</v>
          </cell>
          <cell r="F1544">
            <v>1</v>
          </cell>
          <cell r="G1544" t="str">
            <v>IFA</v>
          </cell>
        </row>
        <row r="1545">
          <cell r="A1545" t="str">
            <v>KHF-00-104265-QA-5733-01310-0000-1</v>
          </cell>
          <cell r="B1545" t="str">
            <v>AIP-PDO-P1701009-T-1007</v>
          </cell>
          <cell r="C1545">
            <v>43514</v>
          </cell>
          <cell r="D1545" t="str">
            <v>KHF-00-104265-QA-5733-01310-0000</v>
          </cell>
          <cell r="E1545" t="str">
            <v>ITP FOR INSTALLATION OF NON BOILER EXTERNAL AND GENERAL PIPING - CARBON STEEL</v>
          </cell>
          <cell r="F1545">
            <v>1</v>
          </cell>
          <cell r="G1545" t="str">
            <v>IFR</v>
          </cell>
        </row>
        <row r="1546">
          <cell r="A1546" t="str">
            <v>KHF-00-104265-HX-6180-10045-0000-2</v>
          </cell>
          <cell r="B1546" t="str">
            <v>AIP-PDO-P1701009-T-1008</v>
          </cell>
          <cell r="C1546">
            <v>43514</v>
          </cell>
          <cell r="D1546" t="str">
            <v>KHF-00-104265-HX-6180-10045-0000</v>
          </cell>
          <cell r="E1546" t="str">
            <v>METHOD STATEMENT FOR UNDERTAKING NIGHT WORKING FOR CIVIL WORKS OF GTG BUILDING</v>
          </cell>
          <cell r="F1546">
            <v>2</v>
          </cell>
          <cell r="G1546" t="str">
            <v>IFR</v>
          </cell>
        </row>
        <row r="1547">
          <cell r="A1547" t="str">
            <v>KHF-00-104265-AA-3341-60088-0000-2</v>
          </cell>
          <cell r="B1547" t="str">
            <v>AIP-PDO-P1701009-T-1009</v>
          </cell>
          <cell r="C1547">
            <v>43514</v>
          </cell>
          <cell r="D1547" t="str">
            <v>KHF-00-104265-AA-3341-60088-0000</v>
          </cell>
          <cell r="E1547" t="str">
            <v>CV OF MR.KUNDAN SINGH, QC INSPECTOR – STATIC EQUIPMENTS / STRUCTURAL</v>
          </cell>
          <cell r="F1547">
            <v>2</v>
          </cell>
          <cell r="G1547" t="str">
            <v>IFA</v>
          </cell>
        </row>
        <row r="1548">
          <cell r="A1548" t="str">
            <v>KHF-00-104265-BA-6065-00133-0000-2</v>
          </cell>
          <cell r="B1548" t="str">
            <v>AIP-PDO-P1701009-T-1010</v>
          </cell>
          <cell r="C1548">
            <v>43514</v>
          </cell>
          <cell r="D1548" t="str">
            <v>KHF-00-104265-BA-6065-00133-0000</v>
          </cell>
          <cell r="E1548" t="str">
            <v>Welding Procedure Specification Tie-in, 16" PL-5</v>
          </cell>
          <cell r="F1548">
            <v>2</v>
          </cell>
          <cell r="G1548" t="str">
            <v>IFA</v>
          </cell>
        </row>
        <row r="1549">
          <cell r="A1549" t="str">
            <v>KHF-00-104265-RA-8241-51179-0000-2</v>
          </cell>
          <cell r="B1549" t="str">
            <v>AIP-PDO-P1701009-T-1011</v>
          </cell>
          <cell r="C1549">
            <v>43515</v>
          </cell>
          <cell r="D1549" t="str">
            <v>KHF-00-104265-RA-8241-51179-0000</v>
          </cell>
          <cell r="E1549" t="str">
            <v>MATERIAL APPROVAL SHEET FOR TELECOM FOC ROUTE MARKER BOARD</v>
          </cell>
          <cell r="F1549">
            <v>2</v>
          </cell>
          <cell r="G1549" t="str">
            <v>IFA</v>
          </cell>
        </row>
        <row r="1550">
          <cell r="A1550" t="str">
            <v>KHF-00-104265-BA-6070-01401-0000-1</v>
          </cell>
          <cell r="B1550" t="str">
            <v>AIP-PDO-P1701009-T-1012</v>
          </cell>
          <cell r="C1550">
            <v>43515</v>
          </cell>
          <cell r="D1550" t="str">
            <v>KHF-00-104265-BA-6070-01401-0000</v>
          </cell>
          <cell r="E1550" t="str">
            <v xml:space="preserve">PROCEDURE FOR THE APPLICATION OF FUSION  BONDED EPOXY TO THE INTERNAL SURFACE OF INDIVIDUAL BENDS, FITTINGS AND SPOOL PIECES </v>
          </cell>
          <cell r="F1550">
            <v>1</v>
          </cell>
          <cell r="G1550" t="str">
            <v>IFR</v>
          </cell>
        </row>
        <row r="1551">
          <cell r="A1551" t="str">
            <v>KHF-00-104265-AA-3341-60002-0000-2</v>
          </cell>
          <cell r="B1551" t="str">
            <v>AIP-PDO-P1701009-T-1013</v>
          </cell>
          <cell r="C1551">
            <v>43515</v>
          </cell>
          <cell r="D1551" t="str">
            <v>KHF-00-104265-AA-3341-60002-0000</v>
          </cell>
          <cell r="E1551" t="str">
            <v>CV OF MR. AKHOSH KRISHNA - AIP LEAD HSSE ADVISOR</v>
          </cell>
          <cell r="F1551">
            <v>2</v>
          </cell>
          <cell r="G1551" t="str">
            <v>IFA</v>
          </cell>
        </row>
        <row r="1552">
          <cell r="A1552" t="str">
            <v>KHF-00-104265-BA-6070-42018-0000-2</v>
          </cell>
          <cell r="B1552" t="str">
            <v>AIP-PDO-P1701009-T-1014</v>
          </cell>
          <cell r="C1552">
            <v>43515</v>
          </cell>
          <cell r="D1552" t="str">
            <v>KHF-00-104265-BA-6070-42018-0000</v>
          </cell>
          <cell r="E1552" t="str">
            <v>Method Statement for Field Hydrotest of GRE Piping (YKP-Power Plant &amp; RMS)</v>
          </cell>
          <cell r="F1552">
            <v>2</v>
          </cell>
          <cell r="G1552" t="str">
            <v>IFR</v>
          </cell>
        </row>
        <row r="1553">
          <cell r="A1553" t="str">
            <v>rejected by PDO</v>
          </cell>
          <cell r="B1553" t="str">
            <v>AIP-PDO-P1701009-T-1015</v>
          </cell>
          <cell r="C1553">
            <v>43515</v>
          </cell>
          <cell r="D1553" t="str">
            <v>KHF-00-104265-BA-6070-42029-0000</v>
          </cell>
          <cell r="E1553" t="str">
            <v>METHOD STATEMENT FOR EOT CRANE (SWL-5 TON) LOAD TESTING IN 132 KV GIS BUILDING</v>
          </cell>
          <cell r="F1553">
            <v>1</v>
          </cell>
          <cell r="G1553" t="str">
            <v>Rejected by PDO</v>
          </cell>
        </row>
        <row r="1554">
          <cell r="A1554" t="str">
            <v>KHF-00-104265-BA-5736-01302-0000-1</v>
          </cell>
          <cell r="B1554" t="str">
            <v>AIP-PDO-P1701009-T-1016</v>
          </cell>
          <cell r="C1554">
            <v>43517</v>
          </cell>
          <cell r="D1554" t="str">
            <v>KHF-00-104265-BA-5736-01302-0000</v>
          </cell>
          <cell r="E1554" t="str">
            <v>Lifting plan for Mechanical Installation of Gas Turbine, Generator and Load Gear</v>
          </cell>
          <cell r="F1554">
            <v>1</v>
          </cell>
          <cell r="G1554" t="str">
            <v>IFR</v>
          </cell>
        </row>
        <row r="1555">
          <cell r="A1555" t="str">
            <v>KHF-00-104265-BA-5736-01303-0000-1</v>
          </cell>
          <cell r="B1555" t="str">
            <v>AIP-PDO-P1701009-T-1016</v>
          </cell>
          <cell r="C1555">
            <v>43517</v>
          </cell>
          <cell r="D1555" t="str">
            <v>KHF-00-104265-BA-5736-01303-0000</v>
          </cell>
          <cell r="E1555" t="str">
            <v>Lifting plan for Mechanical Installation of HRSG Main Stack Assembly.</v>
          </cell>
          <cell r="F1555">
            <v>1</v>
          </cell>
          <cell r="G1555" t="str">
            <v>IFR</v>
          </cell>
        </row>
        <row r="1556">
          <cell r="A1556" t="str">
            <v>KHF-00-104265-BA-6065-01311-0000-1</v>
          </cell>
          <cell r="B1556" t="str">
            <v>AIP-PDO-P1701009-T-1017</v>
          </cell>
          <cell r="C1556">
            <v>43517</v>
          </cell>
          <cell r="D1556" t="str">
            <v>KHF-00-104265-BA-6065-01311-0000</v>
          </cell>
          <cell r="E1556" t="str">
            <v>WELDING PROCEDURE SPECIFICATION FOR STAINLESS STEEL WELDING WPS-513 &amp; PQR-513</v>
          </cell>
          <cell r="F1556">
            <v>1</v>
          </cell>
          <cell r="G1556" t="str">
            <v>IFR</v>
          </cell>
        </row>
        <row r="1557">
          <cell r="A1557" t="str">
            <v>KHF-00-104265-QA-0880-10067-0000-1</v>
          </cell>
          <cell r="B1557" t="str">
            <v>AIP-PDO-P1701009-T-1018</v>
          </cell>
          <cell r="C1557">
            <v>43517</v>
          </cell>
          <cell r="D1557" t="str">
            <v>KHF-00-104265-QA-0880-10067-0000</v>
          </cell>
          <cell r="E1557" t="str">
            <v>EXTERNAL AUDIT REPORT (MK TRADING LLC - RUSAYL)</v>
          </cell>
          <cell r="F1557">
            <v>1</v>
          </cell>
          <cell r="G1557" t="str">
            <v>IFI</v>
          </cell>
        </row>
        <row r="1558">
          <cell r="A1558" t="str">
            <v>KHF-00-104265-QA-0880-10068-0000-1</v>
          </cell>
          <cell r="B1558" t="str">
            <v>AIP-PDO-P1701009-T-1018</v>
          </cell>
          <cell r="C1558">
            <v>43517</v>
          </cell>
          <cell r="D1558" t="str">
            <v>KHF-00-104265-QA-0880-10068-0000</v>
          </cell>
          <cell r="E1558" t="str">
            <v>INTERNAL AUDIT REPORT -Procurement Control</v>
          </cell>
          <cell r="F1558">
            <v>1</v>
          </cell>
          <cell r="G1558" t="str">
            <v>IFI</v>
          </cell>
        </row>
        <row r="1559">
          <cell r="A1559" t="str">
            <v>KHF-00-104265-QA-0880-10069-0000-1</v>
          </cell>
          <cell r="B1559" t="str">
            <v>AIP-PDO-P1701009-T-1018</v>
          </cell>
          <cell r="C1559">
            <v>43517</v>
          </cell>
          <cell r="D1559" t="str">
            <v>KHF-00-104265-QA-0880-10069-0000</v>
          </cell>
          <cell r="E1559" t="str">
            <v>INTERNAL AUDIT REPORT -Project Management</v>
          </cell>
          <cell r="F1559">
            <v>1</v>
          </cell>
          <cell r="G1559" t="str">
            <v>IFI</v>
          </cell>
        </row>
        <row r="1560">
          <cell r="A1560" t="str">
            <v>KHF-00-104265-RA-8241-51183-0000-1</v>
          </cell>
          <cell r="B1560" t="str">
            <v>AIP-PDO-P1701009-T-1019</v>
          </cell>
          <cell r="C1560">
            <v>43522</v>
          </cell>
          <cell r="D1560" t="str">
            <v>KHF-00-104265-RA-8241-51183-0000</v>
          </cell>
          <cell r="E1560" t="str">
            <v>MATERIAL APPROVAL SHEET FOR MARBLE FLOOR &amp; SKIRTING TIELS AT GTG BUILDING CORRIDOR</v>
          </cell>
          <cell r="F1560">
            <v>1</v>
          </cell>
          <cell r="G1560" t="str">
            <v>IFA</v>
          </cell>
        </row>
        <row r="1561">
          <cell r="A1561" t="str">
            <v>KHF-00-104265-AA-3341-60138-0000-1</v>
          </cell>
          <cell r="B1561" t="str">
            <v>AIP-PDO-P1701009-T-1020</v>
          </cell>
          <cell r="C1561">
            <v>43522</v>
          </cell>
          <cell r="D1561" t="str">
            <v>KHF-00-104265-AA-3341-60138-0000</v>
          </cell>
          <cell r="E1561" t="str">
            <v>CV OF MR. AMIT SINGH- GRE BONDER</v>
          </cell>
          <cell r="F1561">
            <v>1</v>
          </cell>
          <cell r="G1561" t="str">
            <v>IFA</v>
          </cell>
        </row>
        <row r="1562">
          <cell r="A1562" t="str">
            <v>KHF-00-104265-AA-3341-60139-0000-1</v>
          </cell>
          <cell r="B1562" t="str">
            <v>AIP-PDO-P1701009-T-1020</v>
          </cell>
          <cell r="C1562">
            <v>43522</v>
          </cell>
          <cell r="D1562" t="str">
            <v>KHF-00-104265-AA-3341-60139-0000</v>
          </cell>
          <cell r="E1562" t="str">
            <v>CV OF MR. DHARMARAJ CHELLAIYAN- GRE BONDER</v>
          </cell>
          <cell r="F1562">
            <v>1</v>
          </cell>
          <cell r="G1562" t="str">
            <v>IFA</v>
          </cell>
        </row>
        <row r="1563">
          <cell r="A1563" t="str">
            <v>KHF-00-104265-AA-3341-60140-0000-1</v>
          </cell>
          <cell r="B1563" t="str">
            <v>AIP-PDO-P1701009-T-1020</v>
          </cell>
          <cell r="C1563">
            <v>43522</v>
          </cell>
          <cell r="D1563" t="str">
            <v>KHF-00-104265-AA-3341-60140-0000</v>
          </cell>
          <cell r="E1563" t="str">
            <v>CV OF MR. HARIDAS A.K- GRE BONDER</v>
          </cell>
          <cell r="F1563">
            <v>1</v>
          </cell>
          <cell r="G1563" t="str">
            <v>IFA</v>
          </cell>
        </row>
        <row r="1564">
          <cell r="A1564" t="str">
            <v>KHF-00-104265-AA-3341-60141-0000-1</v>
          </cell>
          <cell r="B1564" t="str">
            <v>AIP-PDO-P1701009-T-1020</v>
          </cell>
          <cell r="C1564">
            <v>43522</v>
          </cell>
          <cell r="D1564" t="str">
            <v>KHF-00-104265-AA-3341-60141-0000</v>
          </cell>
          <cell r="E1564" t="str">
            <v>CV OF MR. HARIKRISHNA RAJAN - QC INSPECTOR GRE</v>
          </cell>
          <cell r="F1564">
            <v>1</v>
          </cell>
          <cell r="G1564" t="str">
            <v>IFA</v>
          </cell>
        </row>
        <row r="1565">
          <cell r="A1565" t="str">
            <v>KHF-00-104265-AA-3341-60142-0000-1</v>
          </cell>
          <cell r="B1565" t="str">
            <v>AIP-PDO-P1701009-T-1020</v>
          </cell>
          <cell r="C1565">
            <v>43522</v>
          </cell>
          <cell r="D1565" t="str">
            <v>KHF-00-104265-AA-3341-60142-0000</v>
          </cell>
          <cell r="E1565" t="str">
            <v>CV OF MR. MANOJ KUMAR SAH- GRE BONDER</v>
          </cell>
          <cell r="F1565">
            <v>1</v>
          </cell>
          <cell r="G1565" t="str">
            <v>IFA</v>
          </cell>
        </row>
        <row r="1566">
          <cell r="A1566" t="str">
            <v>KHF-00-104265-AA-3341-60143-0000-1</v>
          </cell>
          <cell r="B1566" t="str">
            <v>AIP-PDO-P1701009-T-1020</v>
          </cell>
          <cell r="C1566">
            <v>43522</v>
          </cell>
          <cell r="D1566" t="str">
            <v>KHF-00-104265-AA-3341-60143-0000</v>
          </cell>
          <cell r="E1566" t="str">
            <v>CV OF MR. RAVI.P- GRE BONDER</v>
          </cell>
          <cell r="F1566">
            <v>1</v>
          </cell>
          <cell r="G1566" t="str">
            <v>IFA</v>
          </cell>
        </row>
        <row r="1567">
          <cell r="A1567" t="str">
            <v>KHF-00-104265-AA-3341-60144-0000-1</v>
          </cell>
          <cell r="B1567" t="str">
            <v>AIP-PDO-P1701009-T-1020</v>
          </cell>
          <cell r="C1567">
            <v>43522</v>
          </cell>
          <cell r="D1567" t="str">
            <v>KHF-00-104265-AA-3341-60144-0000</v>
          </cell>
          <cell r="E1567" t="str">
            <v>CV OF MR. SUDHISH NAIR - GRE SUPERVISOR</v>
          </cell>
          <cell r="F1567">
            <v>1</v>
          </cell>
          <cell r="G1567" t="str">
            <v>IFA</v>
          </cell>
        </row>
        <row r="1568">
          <cell r="A1568" t="str">
            <v>KHF-00-104265-AA-6944-10068-0000-1</v>
          </cell>
          <cell r="B1568" t="str">
            <v>AIP-PDO-P1701009-T-1021</v>
          </cell>
          <cell r="C1568">
            <v>43522</v>
          </cell>
          <cell r="D1568" t="str">
            <v>KHF-00-104265-AA-6944-10068-0000</v>
          </cell>
          <cell r="E1568" t="str">
            <v>WEEKLY PROGRESS REPORT NO.068</v>
          </cell>
          <cell r="F1568">
            <v>1</v>
          </cell>
          <cell r="G1568" t="str">
            <v>IFR</v>
          </cell>
        </row>
        <row r="1569">
          <cell r="A1569" t="str">
            <v>KHF-00-104265-AA-3341-60102-0000-3</v>
          </cell>
          <cell r="B1569" t="str">
            <v>AIP-PDO-P1701009-T-1022</v>
          </cell>
          <cell r="C1569">
            <v>43522</v>
          </cell>
          <cell r="D1569" t="str">
            <v>KHF-00-104265-AA-3341-60102-0000</v>
          </cell>
          <cell r="E1569" t="str">
            <v>CV OF MR. PRASATH. V - UG GRE PIPING INSPECTOR</v>
          </cell>
          <cell r="F1569">
            <v>3</v>
          </cell>
          <cell r="G1569" t="str">
            <v>IFA</v>
          </cell>
        </row>
        <row r="1570">
          <cell r="A1570" t="str">
            <v>KHF-00-104265-QA-0880-10070-0000-1</v>
          </cell>
          <cell r="B1570" t="str">
            <v>AIP-PDO-P1701009-T-1023</v>
          </cell>
          <cell r="C1570">
            <v>43523</v>
          </cell>
          <cell r="D1570" t="str">
            <v>KHF-00-104265-QA-0880-10070-0000</v>
          </cell>
          <cell r="E1570" t="str">
            <v>EXTERNAL AUDIT REPORT (HI TECH INSPECTION SERVICES LLC)</v>
          </cell>
          <cell r="F1570">
            <v>1</v>
          </cell>
          <cell r="G1570" t="str">
            <v>IFI</v>
          </cell>
        </row>
        <row r="1571">
          <cell r="A1571" t="str">
            <v>KHF-00-104265-BA-6070-01302-0000-2</v>
          </cell>
          <cell r="B1571" t="str">
            <v>AIP-PDO-P1701009-T-1024</v>
          </cell>
          <cell r="C1571">
            <v>43523</v>
          </cell>
          <cell r="D1571" t="str">
            <v>KHF-00-104265-BA-6070-01302-0000</v>
          </cell>
          <cell r="E1571" t="str">
            <v>Method Statement for Erection of HRSG Ducting and Main Stack</v>
          </cell>
          <cell r="F1571">
            <v>2</v>
          </cell>
          <cell r="G1571" t="str">
            <v>IFA</v>
          </cell>
        </row>
        <row r="1572">
          <cell r="A1572" t="str">
            <v>KHF-00-104265-BA-6070-42031-0000-1</v>
          </cell>
          <cell r="B1572" t="str">
            <v>AIP-PDO-P1701009-T-1025</v>
          </cell>
          <cell r="C1572">
            <v>43528</v>
          </cell>
          <cell r="D1572" t="str">
            <v>KHF-00-104265-BA-6070-42031-0000</v>
          </cell>
          <cell r="E1572" t="str">
            <v>METHOD STATEMENT FOR INSULATION &amp; INSTALLATION OF REFRIGERANT PIPING IN GIS &amp; GTG BUILDING</v>
          </cell>
          <cell r="F1572">
            <v>1</v>
          </cell>
          <cell r="G1572" t="str">
            <v>IFR</v>
          </cell>
        </row>
        <row r="1573">
          <cell r="A1573" t="str">
            <v>KHF-00-104265-BA-6070-41016-0000-1</v>
          </cell>
          <cell r="B1573" t="str">
            <v>AIP-PDO-P1701009-T-1025</v>
          </cell>
          <cell r="C1573">
            <v>43528</v>
          </cell>
          <cell r="D1573" t="str">
            <v>KHF-00-104265-BA-6070-41016-0000</v>
          </cell>
          <cell r="E1573" t="str">
            <v>METHOD STATEMENT FOR ENVIROLINE 405 HTR COATING WITH CELICOTE 680 PRIMER</v>
          </cell>
          <cell r="F1573">
            <v>1</v>
          </cell>
          <cell r="G1573" t="str">
            <v>IFR</v>
          </cell>
        </row>
        <row r="1574">
          <cell r="A1574" t="str">
            <v>KHF-00-104265-RA-8241-51184-0000-1</v>
          </cell>
          <cell r="B1574" t="str">
            <v>AIP-PDO-P1701009-T-1026</v>
          </cell>
          <cell r="C1574">
            <v>43528</v>
          </cell>
          <cell r="D1574" t="str">
            <v>KHF-00-104265-RA-8241-51184-0000</v>
          </cell>
          <cell r="E1574" t="str">
            <v>MATERIAL APPROVAL SHEET FOR GRC (GLASS REINFORCED CONCRETE) CLADDING</v>
          </cell>
          <cell r="F1574">
            <v>1</v>
          </cell>
          <cell r="G1574" t="str">
            <v>IFA</v>
          </cell>
        </row>
        <row r="1575">
          <cell r="A1575" t="str">
            <v>KHF-00-104265-BA-6070-01301-0000-2</v>
          </cell>
          <cell r="B1575" t="str">
            <v>AIP-PDO-P1701009-T-1027</v>
          </cell>
          <cell r="C1575">
            <v>43528</v>
          </cell>
          <cell r="D1575" t="str">
            <v>KHF-00-104265-BA-6070-01301-0000</v>
          </cell>
          <cell r="E1575" t="str">
            <v>Method Of Statement For Installation HRSG Module</v>
          </cell>
          <cell r="F1575">
            <v>2</v>
          </cell>
          <cell r="G1575" t="str">
            <v>IFA</v>
          </cell>
        </row>
        <row r="1576">
          <cell r="A1576" t="str">
            <v>KHF-00-104265-RA-8241-51185-0000-1</v>
          </cell>
          <cell r="B1576" t="str">
            <v>AIP-PDO-P1701009-T-1028</v>
          </cell>
          <cell r="C1576">
            <v>43528</v>
          </cell>
          <cell r="D1576" t="str">
            <v>KHF-00-104265-RA-8241-51185-0000</v>
          </cell>
          <cell r="E1576" t="str">
            <v>MATERIAL APPROVAL SHEET FOR SANITARY FIXTURES</v>
          </cell>
          <cell r="F1576">
            <v>1</v>
          </cell>
          <cell r="G1576" t="str">
            <v>IFA</v>
          </cell>
        </row>
        <row r="1577">
          <cell r="A1577" t="str">
            <v>rejected by PDO</v>
          </cell>
          <cell r="B1577" t="str">
            <v>AIP-PDO-P1701009-T-1029</v>
          </cell>
          <cell r="C1577">
            <v>43528</v>
          </cell>
          <cell r="D1577" t="str">
            <v>KHF-00-104265-RA-8241-51095-0000</v>
          </cell>
          <cell r="E1577" t="str">
            <v>MATERIAL APPROVAL SHEET FOR WOODEN DOOR / WOODEN ARCHITRAVE</v>
          </cell>
          <cell r="F1577">
            <v>2</v>
          </cell>
          <cell r="G1577" t="str">
            <v>IFA</v>
          </cell>
        </row>
        <row r="1578">
          <cell r="A1578" t="str">
            <v>KHF-00-104265-BA-6070-44007-0000-1</v>
          </cell>
          <cell r="B1578" t="str">
            <v>AIP-PDO-P1701009-T-1030</v>
          </cell>
          <cell r="C1578">
            <v>43528</v>
          </cell>
          <cell r="D1578" t="str">
            <v>KHF-00-104265-BA-6070-44007-0000</v>
          </cell>
          <cell r="E1578" t="str">
            <v>METHOD STATEMENT FOR LOOP CHECKING AND FUNCTION CHECKING INSTRUMENTS</v>
          </cell>
          <cell r="F1578">
            <v>1</v>
          </cell>
          <cell r="G1578" t="str">
            <v>IFR</v>
          </cell>
        </row>
        <row r="1579">
          <cell r="A1579" t="str">
            <v>KHF-00-104265-AA-3341-60145-0000-1</v>
          </cell>
          <cell r="B1579" t="str">
            <v>AIP-PDO-P1701009-T-1031</v>
          </cell>
          <cell r="C1579">
            <v>43528</v>
          </cell>
          <cell r="D1579" t="str">
            <v>KHF-00-104265-AA-3341-60145-0000</v>
          </cell>
          <cell r="E1579" t="str">
            <v>CV OF MR. K.SUBBA RAO- AIP SITE BASED SENIOR HSE ADVISOR</v>
          </cell>
          <cell r="F1579">
            <v>1</v>
          </cell>
          <cell r="G1579" t="str">
            <v>IFA</v>
          </cell>
        </row>
        <row r="1580">
          <cell r="A1580" t="str">
            <v>KHF-00-104265-AA-6944-10069-0000-1</v>
          </cell>
          <cell r="B1580" t="str">
            <v>AIP-PDO-P1701009-T-1032</v>
          </cell>
          <cell r="C1580">
            <v>43528</v>
          </cell>
          <cell r="D1580" t="str">
            <v>KHF-00-104265-AA-6944-10069-0000</v>
          </cell>
          <cell r="E1580" t="str">
            <v>WEEKLY PROGRESS REPORT NO.069</v>
          </cell>
          <cell r="F1580">
            <v>1</v>
          </cell>
          <cell r="G1580" t="str">
            <v>IFR</v>
          </cell>
        </row>
        <row r="1581">
          <cell r="A1581" t="str">
            <v>KHF-00-104265-RA-8241-51095-0000-2</v>
          </cell>
          <cell r="B1581" t="str">
            <v>AIP-PDO-P1701009-T-1033</v>
          </cell>
          <cell r="C1581">
            <v>43528</v>
          </cell>
          <cell r="D1581" t="str">
            <v>KHF-00-104265-RA-8241-51095-0000</v>
          </cell>
          <cell r="E1581" t="str">
            <v>MATERIAL APPROVAL SHEET FOR WOODEN DOOR / WOODEN ARCHITRAVE</v>
          </cell>
          <cell r="F1581">
            <v>2</v>
          </cell>
          <cell r="G1581" t="str">
            <v>IFA</v>
          </cell>
        </row>
        <row r="1582">
          <cell r="A1582" t="str">
            <v>KHF-00-104265-BA-6070-43010-0000-4</v>
          </cell>
          <cell r="B1582" t="str">
            <v>AIP-PDO-P1701009-T-1034</v>
          </cell>
          <cell r="C1582">
            <v>43528</v>
          </cell>
          <cell r="D1582" t="str">
            <v>KHF-00-104265-BA-6070-43010-0000</v>
          </cell>
          <cell r="E1582" t="str">
            <v>METHOD STATEMENT SKIDDING &amp; JACKING / MECHANICAL PROTECTION OF 50/63 MVA, 11/134.5KV GTG STEP UP TRANSFORMERG-23001-TX</v>
          </cell>
          <cell r="F1582">
            <v>4</v>
          </cell>
          <cell r="G1582" t="str">
            <v>IFA</v>
          </cell>
        </row>
        <row r="1583">
          <cell r="A1583" t="str">
            <v>KHF-00-104265-QA-5733-01309-0000-2</v>
          </cell>
          <cell r="B1583" t="str">
            <v>AIP-PDO-P1701009-T-1035</v>
          </cell>
          <cell r="C1583">
            <v>43528</v>
          </cell>
          <cell r="D1583" t="str">
            <v>KHF-00-104265-QA-5733-01309-0000</v>
          </cell>
          <cell r="E1583" t="str">
            <v>ITP FOR INSTALLATION OF HRSG BOILER PRESSURE PARTS PIPING &amp; BOILER EXTERNAL PIPING</v>
          </cell>
          <cell r="F1583">
            <v>2</v>
          </cell>
          <cell r="G1583" t="str">
            <v>IFA</v>
          </cell>
        </row>
        <row r="1584">
          <cell r="A1584" t="str">
            <v>KHF-00-104265-QA-5733-01310-0000-2</v>
          </cell>
          <cell r="B1584" t="str">
            <v>AIP-PDO-P1701009-T-1036</v>
          </cell>
          <cell r="C1584">
            <v>43528</v>
          </cell>
          <cell r="D1584" t="str">
            <v>KHF-00-104265-QA-5733-01310-0000</v>
          </cell>
          <cell r="E1584" t="str">
            <v>ITP FOR INSTALLATION OF NON BOILER EXTERNAL AND GENERAL PIPING - CARBON STEEL</v>
          </cell>
          <cell r="F1584">
            <v>2</v>
          </cell>
          <cell r="G1584" t="str">
            <v>IFA</v>
          </cell>
        </row>
        <row r="1585">
          <cell r="A1585" t="str">
            <v>KHF-00-104265-QA-5733-01301-0000-2</v>
          </cell>
          <cell r="B1585" t="str">
            <v>AIP-PDO-P1701009-T-1036</v>
          </cell>
          <cell r="C1585">
            <v>43528</v>
          </cell>
          <cell r="D1585" t="str">
            <v>KHF-00-104265-QA-5733-01301-0000</v>
          </cell>
          <cell r="E1585" t="str">
            <v>ITP FOR INSTALLATION OF HRSG SYSTEM (MECHANICAL WORKS)</v>
          </cell>
          <cell r="F1585">
            <v>2</v>
          </cell>
          <cell r="G1585" t="str">
            <v>IFA</v>
          </cell>
        </row>
        <row r="1586">
          <cell r="A1586" t="str">
            <v>KHF-00-104265-RA-6038-01301-0000-1</v>
          </cell>
          <cell r="B1586" t="str">
            <v>AIP-PDO-P1701009-T-1037</v>
          </cell>
          <cell r="C1586">
            <v>43528</v>
          </cell>
          <cell r="D1586" t="str">
            <v>KHF-00-104265-RA-6038-01301-0000</v>
          </cell>
          <cell r="E1586" t="str">
            <v>Procedure for  Radiographic Examination for Piping Work</v>
          </cell>
          <cell r="F1586">
            <v>1</v>
          </cell>
          <cell r="G1586" t="str">
            <v>IFR</v>
          </cell>
        </row>
        <row r="1587">
          <cell r="A1587" t="str">
            <v>KHF-00-104265-RA-6038-01302-0000-1</v>
          </cell>
          <cell r="B1587" t="str">
            <v>AIP-PDO-P1701009-T-1037</v>
          </cell>
          <cell r="C1587">
            <v>43528</v>
          </cell>
          <cell r="D1587" t="str">
            <v>KHF-00-104265-RA-6038-01302-0000</v>
          </cell>
          <cell r="E1587" t="str">
            <v xml:space="preserve">Procedure  for Magnetic Particle Examination for Piping </v>
          </cell>
          <cell r="F1587">
            <v>1</v>
          </cell>
          <cell r="G1587" t="str">
            <v>IFR</v>
          </cell>
        </row>
        <row r="1588">
          <cell r="A1588" t="str">
            <v>KHF-00-104265-RA-6038-01303-0000-1</v>
          </cell>
          <cell r="B1588" t="str">
            <v>AIP-PDO-P1701009-T-1037</v>
          </cell>
          <cell r="C1588">
            <v>43528</v>
          </cell>
          <cell r="D1588" t="str">
            <v>KHF-00-104265-RA-6038-01303-0000</v>
          </cell>
          <cell r="E1588" t="str">
            <v>Procedure  for Liquid Penetrant Examination for Piping</v>
          </cell>
          <cell r="F1588">
            <v>1</v>
          </cell>
          <cell r="G1588" t="str">
            <v>IFR</v>
          </cell>
        </row>
        <row r="1589">
          <cell r="A1589" t="str">
            <v>KHF-00-104265-RA-6038-01304-0000-1</v>
          </cell>
          <cell r="B1589" t="str">
            <v>AIP-PDO-P1701009-T-1037</v>
          </cell>
          <cell r="C1589">
            <v>43528</v>
          </cell>
          <cell r="D1589" t="str">
            <v>KHF-00-104265-RA-6038-01304-0000</v>
          </cell>
          <cell r="E1589" t="str">
            <v xml:space="preserve">Procedure  for Ultrasonic Examination for Lamination Check and Thickness measurement for Piping </v>
          </cell>
          <cell r="F1589">
            <v>1</v>
          </cell>
          <cell r="G1589" t="str">
            <v>IFR</v>
          </cell>
        </row>
        <row r="1590">
          <cell r="A1590" t="str">
            <v>KHF-00-104265-RA-6038-01305-0000-1</v>
          </cell>
          <cell r="B1590" t="str">
            <v>AIP-PDO-P1701009-T-1037</v>
          </cell>
          <cell r="C1590">
            <v>43528</v>
          </cell>
          <cell r="D1590" t="str">
            <v>KHF-00-104265-RA-6038-01305-0000</v>
          </cell>
          <cell r="E1590" t="str">
            <v>Procedure for Hardness Testing</v>
          </cell>
          <cell r="F1590">
            <v>1</v>
          </cell>
          <cell r="G1590" t="str">
            <v>IFR</v>
          </cell>
        </row>
        <row r="1591">
          <cell r="A1591" t="str">
            <v>KHF-00-104265-RA-6038-01306-0000-1</v>
          </cell>
          <cell r="B1591" t="str">
            <v>AIP-PDO-P1701009-T-1037</v>
          </cell>
          <cell r="C1591">
            <v>43528</v>
          </cell>
          <cell r="D1591" t="str">
            <v>KHF-00-104265-RA-6038-01306-0000</v>
          </cell>
          <cell r="E1591" t="str">
            <v xml:space="preserve">Procedure for Post Weld Heat Treatment for Piping </v>
          </cell>
          <cell r="F1591">
            <v>1</v>
          </cell>
          <cell r="G1591" t="str">
            <v>IFR</v>
          </cell>
        </row>
        <row r="1592">
          <cell r="A1592" t="str">
            <v>KHF-00-104265-RA-6038-01307-0000-1</v>
          </cell>
          <cell r="B1592" t="str">
            <v>AIP-PDO-P1701009-T-1037</v>
          </cell>
          <cell r="C1592">
            <v>43528</v>
          </cell>
          <cell r="D1592" t="str">
            <v>KHF-00-104265-RA-6038-01307-0000</v>
          </cell>
          <cell r="E1592" t="str">
            <v>Procedure for Radiographic Examination for Structure Work</v>
          </cell>
          <cell r="F1592">
            <v>1</v>
          </cell>
          <cell r="G1592" t="str">
            <v>IFR</v>
          </cell>
        </row>
        <row r="1593">
          <cell r="A1593" t="str">
            <v>KHF-00-104265-RA-6038-01308-0000-1</v>
          </cell>
          <cell r="B1593" t="str">
            <v>AIP-PDO-P1701009-T-1037</v>
          </cell>
          <cell r="C1593">
            <v>43528</v>
          </cell>
          <cell r="D1593" t="str">
            <v>KHF-00-104265-RA-6038-01308-0000</v>
          </cell>
          <cell r="E1593" t="str">
            <v>Procedure for Magnetic Particle Examination for Structure Work</v>
          </cell>
          <cell r="F1593">
            <v>1</v>
          </cell>
          <cell r="G1593" t="str">
            <v>IFR</v>
          </cell>
        </row>
        <row r="1594">
          <cell r="A1594" t="str">
            <v>KHF-00-104265-RA-6038-01309-0000-1</v>
          </cell>
          <cell r="B1594" t="str">
            <v>AIP-PDO-P1701009-T-1037</v>
          </cell>
          <cell r="C1594">
            <v>43528</v>
          </cell>
          <cell r="D1594" t="str">
            <v>KHF-00-104265-RA-6038-01309-0000</v>
          </cell>
          <cell r="E1594" t="str">
            <v>Procedure for Liquid Penetrant Examination for Structure Work</v>
          </cell>
          <cell r="F1594">
            <v>1</v>
          </cell>
          <cell r="G1594" t="str">
            <v>IFR</v>
          </cell>
        </row>
        <row r="1595">
          <cell r="A1595" t="str">
            <v>KHF-00-104265-RA-6038-01310-0000-1</v>
          </cell>
          <cell r="B1595" t="str">
            <v>AIP-PDO-P1701009-T-1037</v>
          </cell>
          <cell r="C1595">
            <v>43528</v>
          </cell>
          <cell r="D1595" t="str">
            <v>KHF-00-104265-RA-6038-01310-0000</v>
          </cell>
          <cell r="E1595" t="str">
            <v>Pre-Heating Procedure for Piping</v>
          </cell>
          <cell r="F1595">
            <v>1</v>
          </cell>
          <cell r="G1595" t="str">
            <v>IFR</v>
          </cell>
        </row>
        <row r="1596">
          <cell r="A1596" t="str">
            <v>KHF-00-104265-AA-3341-60146-0000-1</v>
          </cell>
          <cell r="B1596" t="str">
            <v>AIP-PDO-P1701009-T-1038</v>
          </cell>
          <cell r="C1596">
            <v>43528</v>
          </cell>
          <cell r="D1596" t="str">
            <v>KHF-00-104265-AA-3341-60146-0000</v>
          </cell>
          <cell r="E1596" t="str">
            <v>CV OF MR. S.A. ZAKIR HUSSAIN- AIP LEAD QA / QC ENGINEER</v>
          </cell>
          <cell r="F1596">
            <v>1</v>
          </cell>
          <cell r="G1596" t="str">
            <v>IFA</v>
          </cell>
        </row>
        <row r="1597">
          <cell r="A1597" t="str">
            <v>KHF-00-104265-LA-5009-00126-0000-1</v>
          </cell>
          <cell r="B1597" t="str">
            <v>AIP-PDO-P1701009-T-1039</v>
          </cell>
          <cell r="C1597">
            <v>43529</v>
          </cell>
          <cell r="D1597" t="str">
            <v>KHF-00-104265-LA-5009-00126-0000</v>
          </cell>
          <cell r="E1597" t="str">
            <v>Material Approval Sheet (MAS) for Type B Granular fill materials.</v>
          </cell>
          <cell r="F1597">
            <v>1</v>
          </cell>
          <cell r="G1597" t="str">
            <v>IFR</v>
          </cell>
        </row>
        <row r="1598">
          <cell r="A1598" t="str">
            <v>KHF-00-104265-RA-8241-51186-0000-1</v>
          </cell>
          <cell r="B1598" t="str">
            <v>AIP-PDO-P1701009-T-1040</v>
          </cell>
          <cell r="C1598">
            <v>43529</v>
          </cell>
          <cell r="D1598" t="str">
            <v>KHF-00-104265-RA-8241-51186-0000</v>
          </cell>
          <cell r="E1598" t="str">
            <v>MATERIAL APPROVAL SHEET FOR EXPANSION JOINT FLASING AT GTG SUBSTATION BUILDING</v>
          </cell>
          <cell r="F1598">
            <v>1</v>
          </cell>
          <cell r="G1598" t="str">
            <v>IFA</v>
          </cell>
        </row>
        <row r="1599">
          <cell r="A1599" t="str">
            <v>KHF-00-104265-BA-6070-42030-0000-1</v>
          </cell>
          <cell r="B1599" t="str">
            <v>AIP-PDO-P1701009-T-1041</v>
          </cell>
          <cell r="C1599">
            <v>43529</v>
          </cell>
          <cell r="D1599" t="str">
            <v>KHF-00-104265-BA-6070-42030-0000</v>
          </cell>
          <cell r="E1599" t="str">
            <v>METHOD STATEMENT FOR LIFTING AND PLACEMENT OF TRANSFORMERS (G23002-TX, G23003)</v>
          </cell>
          <cell r="F1599">
            <v>1</v>
          </cell>
          <cell r="G1599" t="str">
            <v>IFR</v>
          </cell>
        </row>
        <row r="1600">
          <cell r="A1600" t="str">
            <v>KHF-00-104265-BA-6070-42029-0000-2</v>
          </cell>
          <cell r="B1600" t="str">
            <v>AIP-PDO-P1701009-T-1042</v>
          </cell>
          <cell r="C1600">
            <v>43530</v>
          </cell>
          <cell r="D1600" t="str">
            <v>KHF-00-104265-BA-6070-42029-0000</v>
          </cell>
          <cell r="E1600" t="str">
            <v>METHOD STATEMENT FOR EOT CRANE (SWL-5 TON) LOAD TESTING IN 132 KV GIS BUILDING</v>
          </cell>
          <cell r="F1600">
            <v>2</v>
          </cell>
          <cell r="G1600" t="str">
            <v>IFA</v>
          </cell>
        </row>
        <row r="1601">
          <cell r="A1601" t="str">
            <v>KHF-00-104265-AA-3341-60147-0000-1</v>
          </cell>
          <cell r="B1601" t="str">
            <v>AIP-PDO-P1701009-T-1043</v>
          </cell>
          <cell r="C1601">
            <v>43531</v>
          </cell>
          <cell r="D1601" t="str">
            <v>KHF-00-104265-AA-3341-60147-0000</v>
          </cell>
          <cell r="E1601" t="str">
            <v>CV OF MR. KATHAPERUMAL NAGARAJAN - LEAD PIPING ENGINEER</v>
          </cell>
          <cell r="F1601">
            <v>1</v>
          </cell>
          <cell r="G1601" t="str">
            <v>IFA</v>
          </cell>
        </row>
        <row r="1602">
          <cell r="A1602" t="str">
            <v>KHF-00-104265-CX-4180-10071-0001-1</v>
          </cell>
          <cell r="B1602" t="str">
            <v>AIP-PDO-P1701009-T-1044</v>
          </cell>
          <cell r="C1602">
            <v>43531</v>
          </cell>
          <cell r="D1602" t="str">
            <v>KHF-00-104265-CX-4180-10071-0001</v>
          </cell>
          <cell r="E1602" t="str">
            <v>GTG BUILDING PANEL LAYOUT - RAISED FLOORING FOR TURBINE/GAR ROOM</v>
          </cell>
          <cell r="F1602">
            <v>1</v>
          </cell>
          <cell r="G1602" t="str">
            <v>IFI</v>
          </cell>
        </row>
        <row r="1603">
          <cell r="A1603" t="str">
            <v>KHF-00-104265-CX-4180-10071-0002-1</v>
          </cell>
          <cell r="B1603" t="str">
            <v>AIP-PDO-P1701009-T-1044</v>
          </cell>
          <cell r="C1603">
            <v>43531</v>
          </cell>
          <cell r="D1603" t="str">
            <v>KHF-00-104265-CX-4180-10071-0002</v>
          </cell>
          <cell r="E1603" t="str">
            <v>GTG BUILDING PANEL LAYOUT - RAISED FLOORING FOR CONTROL ROOM</v>
          </cell>
          <cell r="F1603">
            <v>1</v>
          </cell>
          <cell r="G1603" t="str">
            <v>IFI</v>
          </cell>
        </row>
        <row r="1604">
          <cell r="A1604" t="str">
            <v>KHF-00-104265-RA-8241-51187-0000-1</v>
          </cell>
          <cell r="B1604" t="str">
            <v>AIP-PDO-P1701009-T-1045</v>
          </cell>
          <cell r="C1604">
            <v>43531</v>
          </cell>
          <cell r="D1604" t="str">
            <v>KHF-00-104265-RA-8241-51187-0000</v>
          </cell>
          <cell r="E1604" t="str">
            <v>Material Approval Sheet 25 L Capacity Geyser for GTG Building</v>
          </cell>
          <cell r="F1604">
            <v>1</v>
          </cell>
          <cell r="G1604" t="str">
            <v>IFA</v>
          </cell>
        </row>
        <row r="1605">
          <cell r="A1605" t="str">
            <v>KHF-00-104265-RA-8241-51188-0000-1</v>
          </cell>
          <cell r="B1605" t="str">
            <v>AIP-PDO-P1701009-T-1045</v>
          </cell>
          <cell r="C1605">
            <v>43531</v>
          </cell>
          <cell r="D1605" t="str">
            <v>KHF-00-104265-RA-8241-51188-0000</v>
          </cell>
          <cell r="E1605" t="str">
            <v>Material Approval Sheet Repair Materials (Polycrete MC &amp; Polypoxy NF)</v>
          </cell>
          <cell r="F1605">
            <v>1</v>
          </cell>
          <cell r="G1605" t="str">
            <v>IFA</v>
          </cell>
        </row>
        <row r="1606">
          <cell r="A1606" t="str">
            <v>KHF-00-104265-QA-5733-01601-0000-1</v>
          </cell>
          <cell r="B1606" t="str">
            <v>AIP-PDO-P1701009-T-1046</v>
          </cell>
          <cell r="C1606">
            <v>43534</v>
          </cell>
          <cell r="D1606" t="str">
            <v>KHF-00-104265-QA-5733-01601-0000</v>
          </cell>
          <cell r="E1606" t="str">
            <v>Inspection and Test Plan for Surface Preparation and Painting of Steel Structure (PCS – 1)</v>
          </cell>
          <cell r="F1606">
            <v>1</v>
          </cell>
          <cell r="G1606" t="str">
            <v>IFR</v>
          </cell>
        </row>
        <row r="1607">
          <cell r="A1607" t="str">
            <v>KHF-00-104265-BA-6070-01601-0000-1</v>
          </cell>
          <cell r="B1607" t="str">
            <v>AIP-PDO-P1701009-T-1047</v>
          </cell>
          <cell r="C1607">
            <v>43534</v>
          </cell>
          <cell r="D1607" t="str">
            <v>KHF-00-104265-BA-6070-01601-0000</v>
          </cell>
          <cell r="E1607" t="str">
            <v>Method Statement for Surface Preparation and painting of steel structure (PCS-01)</v>
          </cell>
          <cell r="F1607">
            <v>1</v>
          </cell>
          <cell r="G1607" t="str">
            <v>IFR</v>
          </cell>
        </row>
        <row r="1608">
          <cell r="A1608" t="str">
            <v>KHF-00-104265-QA-5733-22004-0000-4</v>
          </cell>
          <cell r="B1608" t="str">
            <v>AIP-PDO-P1701009-T-1048</v>
          </cell>
          <cell r="C1608">
            <v>43534</v>
          </cell>
          <cell r="D1608" t="str">
            <v>KHF-00-104265-QA-5733-22004-0000</v>
          </cell>
          <cell r="E1608" t="str">
            <v>Inspection and Test Plan for Fabrication , Welding, Erection and Hydrotesting of Piping for CS/LTCS</v>
          </cell>
          <cell r="F1608">
            <v>4</v>
          </cell>
          <cell r="G1608" t="str">
            <v>IFA</v>
          </cell>
        </row>
        <row r="1609">
          <cell r="A1609" t="str">
            <v>KHF-00-104265-BA-6065-50005-0000-3</v>
          </cell>
          <cell r="B1609" t="str">
            <v>AIP-PDO-P1701009-T-1049</v>
          </cell>
          <cell r="C1609">
            <v>43534</v>
          </cell>
          <cell r="D1609" t="str">
            <v>KHF-00-104265-BA-6065-50005-0000</v>
          </cell>
          <cell r="E1609" t="str">
            <v>WPS - Pipe to Weldolet - Pipeline PL-7,PL-8, PL-9 &amp; PL-9A (AIP-WPS-PL-004)</v>
          </cell>
          <cell r="F1609">
            <v>3</v>
          </cell>
          <cell r="G1609" t="str">
            <v>IFA</v>
          </cell>
        </row>
        <row r="1610">
          <cell r="A1610" t="str">
            <v>rejected by PDO</v>
          </cell>
          <cell r="B1610" t="str">
            <v>AIP-PDO-P1701009-T-1050</v>
          </cell>
          <cell r="C1610">
            <v>43534</v>
          </cell>
          <cell r="D1610" t="str">
            <v>KHF-00-104265-BA-6065-00148-0000</v>
          </cell>
          <cell r="E1610" t="str">
            <v>Welding Procedure Specification</v>
          </cell>
          <cell r="F1610">
            <v>1</v>
          </cell>
          <cell r="G1610" t="str">
            <v>IFR</v>
          </cell>
        </row>
        <row r="1611">
          <cell r="A1611" t="str">
            <v>KHF-00-104265-AA-6944-20017-0000-1</v>
          </cell>
          <cell r="B1611" t="str">
            <v>AIP-PDO-P1701009-T-1051</v>
          </cell>
          <cell r="C1611">
            <v>43534</v>
          </cell>
          <cell r="D1611" t="str">
            <v>KHF-00-104265-AA-6944-20017-0000</v>
          </cell>
          <cell r="E1611" t="str">
            <v>MONTHLY PROGRESS REPORT NO.017 (FEBRUARY 2019)</v>
          </cell>
          <cell r="F1611">
            <v>1</v>
          </cell>
          <cell r="G1611" t="str">
            <v>IFR</v>
          </cell>
        </row>
        <row r="1612">
          <cell r="A1612" t="str">
            <v>KHF-00-104265-QA-5733-22006-0000-3</v>
          </cell>
          <cell r="B1612" t="str">
            <v>AIP-PDO-P1701009-T-1052</v>
          </cell>
          <cell r="C1612">
            <v>43535</v>
          </cell>
          <cell r="D1612" t="str">
            <v>KHF-00-104265-QA-5733-22006-0000</v>
          </cell>
          <cell r="E1612" t="str">
            <v>Inspection Test Plan for Fabrication, Welding, Erection and Hydrotesting of Piping for SS &amp; Alloy – 825</v>
          </cell>
          <cell r="F1612">
            <v>3</v>
          </cell>
          <cell r="G1612" t="str">
            <v>IFA</v>
          </cell>
        </row>
        <row r="1613">
          <cell r="A1613" t="str">
            <v>KHF-00-104265-AA-3341-60148-0000-1</v>
          </cell>
          <cell r="B1613" t="str">
            <v>AIP-PDO-P1701009-T-1053</v>
          </cell>
          <cell r="C1613">
            <v>43535</v>
          </cell>
          <cell r="D1613" t="str">
            <v>KHF-00-104265-AA-3341-60148-0000</v>
          </cell>
          <cell r="E1613" t="str">
            <v>CV OF MR. MD. FAYAZUR REHAMAN - LEAD QC ENGINEER</v>
          </cell>
          <cell r="F1613">
            <v>1</v>
          </cell>
          <cell r="G1613" t="str">
            <v>IFA</v>
          </cell>
        </row>
        <row r="1614">
          <cell r="A1614" t="str">
            <v>KHF-00-104265-AA-3341-60149-0000-1</v>
          </cell>
          <cell r="B1614" t="str">
            <v>AIP-PDO-P1701009-T-1054</v>
          </cell>
          <cell r="C1614">
            <v>43535</v>
          </cell>
          <cell r="D1614" t="str">
            <v>KHF-00-104265-AA-3341-60149-0000</v>
          </cell>
          <cell r="E1614" t="str">
            <v>CV OF MR. VISHAL VERMA -  LEAD QC ENGINEER</v>
          </cell>
          <cell r="F1614">
            <v>1</v>
          </cell>
          <cell r="G1614" t="str">
            <v>IFA</v>
          </cell>
        </row>
        <row r="1615">
          <cell r="A1615" t="str">
            <v>KHF-00-104265-AA-3341-60150-0000-1</v>
          </cell>
          <cell r="B1615" t="str">
            <v>AIP-PDO-P1701009-T-1055</v>
          </cell>
          <cell r="C1615">
            <v>43535</v>
          </cell>
          <cell r="D1615" t="str">
            <v>KHF-00-104265-AA-3341-60150-0000</v>
          </cell>
          <cell r="E1615" t="str">
            <v>CV OF MR. RATHEESH KUMAR.S - HSE ADVISOR</v>
          </cell>
          <cell r="F1615">
            <v>1</v>
          </cell>
          <cell r="G1615" t="str">
            <v>IFA</v>
          </cell>
        </row>
        <row r="1616">
          <cell r="A1616" t="str">
            <v>KHF-00-104265-AA-6944-10070-0000-1</v>
          </cell>
          <cell r="B1616" t="str">
            <v>AIP-PDO-P1701009-T-1056</v>
          </cell>
          <cell r="C1616">
            <v>43535</v>
          </cell>
          <cell r="D1616" t="str">
            <v>KHF-00-104265-AA-6944-10070-0000</v>
          </cell>
          <cell r="E1616" t="str">
            <v>WEEKLY PROGRESS REPORT NO.070</v>
          </cell>
          <cell r="F1616">
            <v>1</v>
          </cell>
          <cell r="G1616" t="str">
            <v>IFR</v>
          </cell>
        </row>
        <row r="1617">
          <cell r="A1617" t="str">
            <v>KHF-00-104265-BA-6065-00148-0000-1</v>
          </cell>
          <cell r="B1617" t="str">
            <v>AIP-PDO-P1701009-T-1057</v>
          </cell>
          <cell r="C1617">
            <v>43535</v>
          </cell>
          <cell r="D1617" t="str">
            <v>KHF-00-104265-BA-6065-00148-0000</v>
          </cell>
          <cell r="E1617" t="str">
            <v>WELDING PROCEDURE SPECIFICATION - (Tie-in, 16" PL-5) - Pipe to Isolation Joint</v>
          </cell>
          <cell r="F1617">
            <v>1</v>
          </cell>
          <cell r="G1617" t="str">
            <v>IFR</v>
          </cell>
        </row>
        <row r="1618">
          <cell r="A1618" t="str">
            <v>KHF-00-104265-QA-6050-32006-0000-1</v>
          </cell>
          <cell r="B1618" t="str">
            <v>AIP-PDO-P1701009-T-1058</v>
          </cell>
          <cell r="C1618">
            <v>43536</v>
          </cell>
          <cell r="D1618" t="str">
            <v>KHF-00-104265-QA-6050-32006-0000</v>
          </cell>
          <cell r="E1618" t="str">
            <v>Procedure for Pipeline Golden Joint (Tie-in) Welding</v>
          </cell>
          <cell r="F1618">
            <v>1</v>
          </cell>
          <cell r="G1618" t="str">
            <v>IFR</v>
          </cell>
        </row>
        <row r="1619">
          <cell r="A1619" t="str">
            <v>KHF-00-104265-FA-5765-10040-0000-6</v>
          </cell>
          <cell r="B1619" t="str">
            <v>AIP-PDO-P1701009-T-1059</v>
          </cell>
          <cell r="C1619">
            <v>43536</v>
          </cell>
          <cell r="D1619" t="str">
            <v>KHF-00-104265-FA-5765-10040-0000</v>
          </cell>
          <cell r="E1619" t="str">
            <v>PROJECT SCHEDULE - LEVEL 04</v>
          </cell>
          <cell r="F1619">
            <v>6</v>
          </cell>
          <cell r="G1619" t="str">
            <v>IFA</v>
          </cell>
        </row>
        <row r="1620">
          <cell r="A1620" t="str">
            <v>rejected by PDO</v>
          </cell>
          <cell r="B1620" t="str">
            <v>AIP-PDO-P1701009-T-1060</v>
          </cell>
          <cell r="C1620">
            <v>43536</v>
          </cell>
          <cell r="D1620" t="str">
            <v>KHF-00-104265-RA-6038-00918-0000</v>
          </cell>
          <cell r="E1620" t="str">
            <v>Procedure for Visual Inspection using Boroscope</v>
          </cell>
          <cell r="F1620">
            <v>1</v>
          </cell>
          <cell r="G1620" t="str">
            <v>IFR</v>
          </cell>
        </row>
        <row r="1621">
          <cell r="A1621" t="str">
            <v>KHF-00-104265-QA-0880-10073-0000-1</v>
          </cell>
          <cell r="B1621" t="str">
            <v>AIP-PDO-P1701009-T-1061</v>
          </cell>
          <cell r="C1621">
            <v>43536</v>
          </cell>
          <cell r="D1621" t="str">
            <v>KHF-00-104265-QA-0880-10073-0000</v>
          </cell>
          <cell r="E1621" t="str">
            <v>EXTERNAL AUDIT REPORT (MUNA NOOR MANUFACTURING &amp; TRADING L.L.C - SOHAR)</v>
          </cell>
          <cell r="F1621">
            <v>1</v>
          </cell>
          <cell r="G1621" t="str">
            <v>IFI</v>
          </cell>
        </row>
        <row r="1622">
          <cell r="A1622" t="str">
            <v>KHF-00-104265-RA-8241-51189-0000-1</v>
          </cell>
          <cell r="B1622" t="str">
            <v>AIP-PDO-P1701009-T-1062</v>
          </cell>
          <cell r="C1622">
            <v>43536</v>
          </cell>
          <cell r="D1622" t="str">
            <v>KHF-00-104265-RA-8241-51189-0000</v>
          </cell>
          <cell r="E1622" t="str">
            <v>MATERIAL APPROVAL SHEET FOR UPVC SKIRTING TILES &amp; ADHESIVE FOR GTG BUILDING</v>
          </cell>
          <cell r="F1622">
            <v>1</v>
          </cell>
          <cell r="G1622" t="str">
            <v>IFA</v>
          </cell>
        </row>
        <row r="1623">
          <cell r="A1623" t="str">
            <v>KHF-00-104265-AA-3341-60074-0000-3</v>
          </cell>
          <cell r="B1623" t="str">
            <v>AIP-PDO-P1701009-T-1063</v>
          </cell>
          <cell r="C1623">
            <v>43537</v>
          </cell>
          <cell r="D1623" t="str">
            <v>KHF-00-104265-AA-3341-60074-0000</v>
          </cell>
          <cell r="E1623" t="str">
            <v>CV of Mr. Sunil Kumar Nayak, Welding Inspector - Pipelines / Piping</v>
          </cell>
          <cell r="F1623">
            <v>3</v>
          </cell>
          <cell r="G1623" t="str">
            <v>IFA</v>
          </cell>
        </row>
        <row r="1624">
          <cell r="A1624" t="str">
            <v>KHF-00-104265-AA-3341-60077-0000-3</v>
          </cell>
          <cell r="B1624" t="str">
            <v>AIP-PDO-P1701009-T-1064</v>
          </cell>
          <cell r="C1624">
            <v>43537</v>
          </cell>
          <cell r="D1624" t="str">
            <v>KHF-00-104265-AA-3341-60077-0000</v>
          </cell>
          <cell r="E1624" t="str">
            <v>CV of Mr. Dixon. P. Davis, Welding Inspector - Pipelines / Piping</v>
          </cell>
          <cell r="F1624">
            <v>3</v>
          </cell>
          <cell r="G1624" t="str">
            <v>IFA</v>
          </cell>
        </row>
        <row r="1625">
          <cell r="A1625" t="str">
            <v>KHF-00-104265-RA-8241-51192-0000-1</v>
          </cell>
          <cell r="B1625" t="str">
            <v>AIP-PDO-P1701009-T-1065</v>
          </cell>
          <cell r="C1625">
            <v>43537</v>
          </cell>
          <cell r="D1625" t="str">
            <v>KHF-00-104265-RA-8241-51192-0000</v>
          </cell>
          <cell r="E1625" t="str">
            <v>Material Approval Sheet for Access Barrier Pipe - PL-6 (Produced Water Line)</v>
          </cell>
          <cell r="F1625">
            <v>1</v>
          </cell>
          <cell r="G1625" t="str">
            <v>IFA</v>
          </cell>
        </row>
        <row r="1626">
          <cell r="A1626" t="str">
            <v>KHF-00-104265-RA-6038-00918-0000-1</v>
          </cell>
          <cell r="B1626" t="str">
            <v>AIP-PDO-P1701009-T-1066</v>
          </cell>
          <cell r="C1626">
            <v>43537</v>
          </cell>
          <cell r="D1626" t="str">
            <v>KHF-00-104265-RA-6038-00918-0000</v>
          </cell>
          <cell r="E1626" t="str">
            <v>Visual Examination procedure for piping using Boroscope</v>
          </cell>
          <cell r="F1626">
            <v>1</v>
          </cell>
          <cell r="G1626" t="str">
            <v>IFR</v>
          </cell>
        </row>
        <row r="1627">
          <cell r="A1627" t="str">
            <v>KHF-00-104265-RA-8241-51190-0000-1</v>
          </cell>
          <cell r="B1627" t="str">
            <v>AIP-PDO-P1701009-T-1067</v>
          </cell>
          <cell r="C1627">
            <v>43538</v>
          </cell>
          <cell r="D1627" t="str">
            <v>KHF-00-104265-RA-8241-51190-0000</v>
          </cell>
          <cell r="E1627" t="str">
            <v>Material Approval Sheet for Cable Cleat Clamps for Single Core 132 KV Cable</v>
          </cell>
          <cell r="F1627">
            <v>1</v>
          </cell>
          <cell r="G1627" t="str">
            <v>IFA</v>
          </cell>
        </row>
        <row r="1628">
          <cell r="A1628" t="str">
            <v>KHF-00-104265-RA-8241-51191-0000-1</v>
          </cell>
          <cell r="B1628" t="str">
            <v>AIP-PDO-P1701009-T-1067</v>
          </cell>
          <cell r="C1628">
            <v>43538</v>
          </cell>
          <cell r="D1628" t="str">
            <v>KHF-00-104265-RA-8241-51191-0000</v>
          </cell>
          <cell r="E1628" t="str">
            <v>Material Approval Sheet for ERW Steel Pipes (for Deep Well Earth PIT &amp; Bollards)</v>
          </cell>
          <cell r="F1628">
            <v>1</v>
          </cell>
          <cell r="G1628" t="str">
            <v>IFA</v>
          </cell>
        </row>
        <row r="1629">
          <cell r="A1629" t="str">
            <v>KHF-00-104265-QA-5733-24007-0000-2</v>
          </cell>
          <cell r="B1629" t="str">
            <v>AIP-PDO-P1701009-T-1068</v>
          </cell>
          <cell r="C1629">
            <v>43538</v>
          </cell>
          <cell r="D1629" t="str">
            <v>KHF-00-104265-QA-5733-24007-0000</v>
          </cell>
          <cell r="E1629" t="str">
            <v>Inspection and Test Plan for Calibration of Valves (Control Valves, On-Off Valves &amp; MOVs</v>
          </cell>
          <cell r="F1629">
            <v>2</v>
          </cell>
          <cell r="G1629" t="str">
            <v>IFA</v>
          </cell>
        </row>
        <row r="1630">
          <cell r="A1630" t="str">
            <v>KHF-00-104265-RA-8241-51181-0000-2</v>
          </cell>
          <cell r="B1630" t="str">
            <v>AIP-PDO-P1701009-T-1069</v>
          </cell>
          <cell r="C1630">
            <v>43538</v>
          </cell>
          <cell r="D1630" t="str">
            <v>KHF-00-104265-RA-8241-51181-0000</v>
          </cell>
          <cell r="E1630" t="str">
            <v>Material Approval Sheet for Fosroc Expancell Backup Cord</v>
          </cell>
          <cell r="F1630">
            <v>2</v>
          </cell>
          <cell r="G1630" t="str">
            <v>IFA</v>
          </cell>
        </row>
        <row r="1631">
          <cell r="A1631" t="str">
            <v>KHF-00-104265-AA-3341-60151-0000-1</v>
          </cell>
          <cell r="B1631" t="str">
            <v>AIP-PDO-P1701009-T-1070</v>
          </cell>
          <cell r="C1631">
            <v>43538</v>
          </cell>
          <cell r="D1631" t="str">
            <v>KHF-00-104265-AA-3341-60151-0000</v>
          </cell>
          <cell r="E1631" t="str">
            <v>CV OF MR. K. NAGANATHAN - QC INSPECTOR - PAINTING - COATING</v>
          </cell>
          <cell r="F1631">
            <v>1</v>
          </cell>
          <cell r="G1631" t="str">
            <v>IFA</v>
          </cell>
        </row>
        <row r="1632">
          <cell r="A1632" t="str">
            <v>KHF-00-104265-AA-3347-20016-0000-1</v>
          </cell>
          <cell r="B1632" t="str">
            <v>AIP-PDO-P1701009-T-1071</v>
          </cell>
          <cell r="C1632">
            <v>43538</v>
          </cell>
          <cell r="D1632" t="str">
            <v>KHF-00-104265-AA-3347-20016-0000</v>
          </cell>
          <cell r="E1632" t="str">
            <v>Minutes of Monthly Review Meeting  No.16</v>
          </cell>
          <cell r="F1632">
            <v>1</v>
          </cell>
          <cell r="G1632" t="str">
            <v>IFI</v>
          </cell>
        </row>
        <row r="1633">
          <cell r="A1633" t="str">
            <v>KHF-00-104265-QA-0880-10074-0000-1</v>
          </cell>
          <cell r="B1633" t="str">
            <v>AIP-PDO-P1701009-T-1072</v>
          </cell>
          <cell r="C1633">
            <v>43538</v>
          </cell>
          <cell r="D1633" t="str">
            <v>KHF-00-104265-QA-0880-10074-0000</v>
          </cell>
          <cell r="E1633" t="str">
            <v>EXTERNAL AUDIT REPORT (DHOFAR STRUCTURES AND IRON INDUSTRIES -SHALALA)</v>
          </cell>
          <cell r="F1633">
            <v>1</v>
          </cell>
          <cell r="G1633" t="str">
            <v>IFI</v>
          </cell>
        </row>
        <row r="1634">
          <cell r="A1634" t="str">
            <v>KHF-00-104265-BA-5736-01304-0000-1</v>
          </cell>
          <cell r="B1634" t="str">
            <v>AIP-PDO-P1701009-T-1073</v>
          </cell>
          <cell r="C1634">
            <v>43541</v>
          </cell>
          <cell r="D1634" t="str">
            <v>KHF-00-104265-BA-5736-01304-0000</v>
          </cell>
          <cell r="E1634" t="str">
            <v>Lifting Plan for Mechanical Installation of Bypass Stack Diverter Damper Assembly</v>
          </cell>
          <cell r="F1634">
            <v>1</v>
          </cell>
          <cell r="G1634" t="str">
            <v>IFR</v>
          </cell>
        </row>
        <row r="1635">
          <cell r="A1635" t="str">
            <v>KHF-00-104265-BA-6070-42033-0000-1</v>
          </cell>
          <cell r="B1635" t="str">
            <v>AIP-PDO-P1701009-T-1074</v>
          </cell>
          <cell r="C1635">
            <v>43541</v>
          </cell>
          <cell r="D1635" t="str">
            <v>KHF-00-104265-BA-6070-42033-0000</v>
          </cell>
          <cell r="E1635" t="str">
            <v>Method Statement for Lifting &amp; Erection of Equipment’s, Vessels, Tanks, Electrical Panels (Below 11 Ton)</v>
          </cell>
          <cell r="F1635">
            <v>1</v>
          </cell>
          <cell r="G1635" t="str">
            <v>IFA</v>
          </cell>
        </row>
        <row r="1636">
          <cell r="A1636" t="str">
            <v>KHF-00-104265-AA-6944-10071-0000-1</v>
          </cell>
          <cell r="B1636" t="str">
            <v>AIP-PDO-P1701009-T-1075</v>
          </cell>
          <cell r="C1636">
            <v>43541</v>
          </cell>
          <cell r="D1636" t="str">
            <v>KHF-00-104265-AA-6944-10071-0000</v>
          </cell>
          <cell r="E1636" t="str">
            <v>WEEKLY PROGRESS REPORT NO.071</v>
          </cell>
          <cell r="F1636">
            <v>1</v>
          </cell>
          <cell r="G1636" t="str">
            <v>IFR</v>
          </cell>
        </row>
        <row r="1637">
          <cell r="A1637" t="str">
            <v>KHF-00-104265-AA-3341-60152-0000-1</v>
          </cell>
          <cell r="B1637" t="str">
            <v>AIP-PDO-P1701009-T-1076</v>
          </cell>
          <cell r="C1637">
            <v>43541</v>
          </cell>
          <cell r="D1637" t="str">
            <v>KHF-00-104265-AA-3341-60152-0000</v>
          </cell>
          <cell r="E1637" t="str">
            <v>CV OF MR. R. RAMJI - SITE BASED HSE ADVISOR</v>
          </cell>
          <cell r="F1637">
            <v>1</v>
          </cell>
          <cell r="G1637" t="str">
            <v>IFA</v>
          </cell>
        </row>
        <row r="1638">
          <cell r="A1638" t="str">
            <v>KHF-00-104265-AA-3341-60153-0000-1</v>
          </cell>
          <cell r="B1638" t="str">
            <v>AIP-PDO-P1701009-T-1077</v>
          </cell>
          <cell r="C1638">
            <v>43541</v>
          </cell>
          <cell r="D1638" t="str">
            <v>KHF-00-104265-AA-3341-60153-0000</v>
          </cell>
          <cell r="E1638" t="str">
            <v>CV OF MR. MOHAMMAD KHALID ALAM - PTW COORDINATOR</v>
          </cell>
          <cell r="F1638">
            <v>1</v>
          </cell>
          <cell r="G1638" t="str">
            <v>IFA</v>
          </cell>
        </row>
        <row r="1639">
          <cell r="A1639" t="str">
            <v>KHF-00-104265-QA-6050-00115-0000-4</v>
          </cell>
          <cell r="B1639" t="str">
            <v>AIP-PDO-P1701009-T-1078</v>
          </cell>
          <cell r="C1639">
            <v>43542</v>
          </cell>
          <cell r="D1639" t="str">
            <v>KHF-00-104265-QA-6050-00115-0000</v>
          </cell>
          <cell r="E1639" t="str">
            <v>Quality Control Plan for Cleaning, Gauging, Hydrotesting, Dewatering, Drying and Preservation</v>
          </cell>
          <cell r="F1639">
            <v>4</v>
          </cell>
          <cell r="G1639" t="str">
            <v>IFA</v>
          </cell>
        </row>
        <row r="1640">
          <cell r="A1640" t="str">
            <v>KHF-00-104265-BA-6070-01303-0000-1</v>
          </cell>
          <cell r="B1640" t="str">
            <v>AIP-PDO-P1701009-T-1079</v>
          </cell>
          <cell r="C1640">
            <v>43542</v>
          </cell>
          <cell r="D1640" t="str">
            <v>KHF-00-104265-BA-6070-01303-0000</v>
          </cell>
          <cell r="E1640" t="str">
            <v>Method Statement for Mechanical Installation of HRSG pressure parts, piping, steam drum and HRSG auxiliaries</v>
          </cell>
          <cell r="F1640">
            <v>1</v>
          </cell>
          <cell r="G1640" t="str">
            <v>IFR</v>
          </cell>
        </row>
        <row r="1641">
          <cell r="A1641" t="str">
            <v>KHF-00-104265-BA-6070-01304-0000-1</v>
          </cell>
          <cell r="B1641" t="str">
            <v>AIP-PDO-P1701009-T-1079</v>
          </cell>
          <cell r="C1641">
            <v>43542</v>
          </cell>
          <cell r="D1641" t="str">
            <v>KHF-00-104265-BA-6070-01304-0000</v>
          </cell>
          <cell r="E1641" t="str">
            <v>Method Statement for Mechanical installation of GTG and HRSG Steel Structure Installation Works</v>
          </cell>
          <cell r="F1641">
            <v>1</v>
          </cell>
          <cell r="G1641" t="str">
            <v>IFR</v>
          </cell>
        </row>
        <row r="1642">
          <cell r="A1642" t="str">
            <v>KHF-00-104265-BA-6070-44008-0000-1</v>
          </cell>
          <cell r="B1642" t="str">
            <v>AIP-PDO-P1701009-T-1080</v>
          </cell>
          <cell r="C1642">
            <v>43542</v>
          </cell>
          <cell r="D1642" t="str">
            <v>KHF-00-104265-BA-6070-44008-0000</v>
          </cell>
          <cell r="E1642" t="str">
            <v>Method Statement for Night Shift - Instrument Works at Power Plant</v>
          </cell>
          <cell r="F1642">
            <v>1</v>
          </cell>
          <cell r="G1642" t="str">
            <v>IFR</v>
          </cell>
        </row>
        <row r="1643">
          <cell r="A1643" t="str">
            <v>KHF-00-104265-BA-6065-50057-0000-1</v>
          </cell>
          <cell r="B1643" t="str">
            <v>AIP-PDO-P1701009-T-1081</v>
          </cell>
          <cell r="C1643">
            <v>43542</v>
          </cell>
          <cell r="D1643" t="str">
            <v>KHF-00-104265-BA-6065-50057-0000</v>
          </cell>
          <cell r="E1643" t="str">
            <v>Brazing Procedure Specification - HVAC, BPS No - BPS-01</v>
          </cell>
          <cell r="F1643">
            <v>1</v>
          </cell>
          <cell r="G1643" t="str">
            <v>IFR</v>
          </cell>
        </row>
        <row r="1644">
          <cell r="A1644" t="str">
            <v>KHF-00-104265-BA-6065-50058-0000-1</v>
          </cell>
          <cell r="B1644" t="str">
            <v>AIP-PDO-P1701009-T-1081</v>
          </cell>
          <cell r="C1644">
            <v>43542</v>
          </cell>
          <cell r="D1644" t="str">
            <v>KHF-00-104265-BA-6065-50058-0000</v>
          </cell>
          <cell r="E1644" t="str">
            <v>Brazing Procedure Specification - HVAC, BPS No - BPS-02</v>
          </cell>
          <cell r="F1644">
            <v>1</v>
          </cell>
          <cell r="G1644" t="str">
            <v>IFR</v>
          </cell>
        </row>
        <row r="1645">
          <cell r="A1645" t="str">
            <v>KHF-00-104265-BA-6070-42028-0000-2</v>
          </cell>
          <cell r="B1645" t="str">
            <v>AIP-PDO-P1701009-T-1082</v>
          </cell>
          <cell r="C1645">
            <v>43543</v>
          </cell>
          <cell r="D1645" t="str">
            <v>KHF-00-104265-BA-6070-42028-0000</v>
          </cell>
          <cell r="E1645" t="str">
            <v>Method Statement for Aboveground Sections Hydrotesting of CS Pipelines</v>
          </cell>
          <cell r="F1645">
            <v>2</v>
          </cell>
          <cell r="G1645" t="str">
            <v>IFA</v>
          </cell>
        </row>
        <row r="1646">
          <cell r="A1646" t="str">
            <v>KHF-00-104265-BA-6070-41017-0000-1</v>
          </cell>
          <cell r="B1646" t="str">
            <v>AIP-PDO-P1701009-T-1083</v>
          </cell>
          <cell r="C1646">
            <v>43543</v>
          </cell>
          <cell r="D1646" t="str">
            <v>KHF-00-104265-BA-6070-41017-0000</v>
          </cell>
          <cell r="E1646" t="str">
            <v>Method Statement for Concrete Core Cutting Work @ Existing GGP Building Auxiliary Room Area - Offplot</v>
          </cell>
          <cell r="F1646">
            <v>1</v>
          </cell>
          <cell r="G1646" t="str">
            <v>IFR</v>
          </cell>
        </row>
        <row r="1647">
          <cell r="A1647" t="str">
            <v>KHF-00-104265-QA-5733-24008-0000-2</v>
          </cell>
          <cell r="B1647" t="str">
            <v>AIP-PDO-P1701009-T-1084</v>
          </cell>
          <cell r="C1647">
            <v>43543</v>
          </cell>
          <cell r="D1647" t="str">
            <v>KHF-00-104265-QA-5733-24008-0000</v>
          </cell>
          <cell r="E1647" t="str">
            <v>Inspection Test Plan for Fiber Optic Cable (FOC) Installation and Testing</v>
          </cell>
          <cell r="F1647">
            <v>2</v>
          </cell>
          <cell r="G1647" t="str">
            <v>IFA</v>
          </cell>
        </row>
        <row r="1648">
          <cell r="A1648" t="str">
            <v>KHF-00-104265-AA-3341-60154-0000-1</v>
          </cell>
          <cell r="B1648" t="str">
            <v>AIP-PDO-P1701009-T-1085</v>
          </cell>
          <cell r="C1648">
            <v>43543</v>
          </cell>
          <cell r="D1648" t="str">
            <v>KHF-00-104265-AA-3341-60154-0000</v>
          </cell>
          <cell r="E1648" t="str">
            <v>CV OF MR. TAPAN BHATTACHARYA - LEAD QC ENGINEER</v>
          </cell>
          <cell r="F1648">
            <v>1</v>
          </cell>
          <cell r="G1648" t="str">
            <v>IFA</v>
          </cell>
        </row>
        <row r="1649">
          <cell r="A1649" t="str">
            <v>KHF-00-104265-QA-6050-00106-0000-7</v>
          </cell>
          <cell r="B1649" t="str">
            <v>AIP-PDO-P1701009-T-1086</v>
          </cell>
          <cell r="C1649">
            <v>43544</v>
          </cell>
          <cell r="D1649" t="str">
            <v>KHF-00-104265-QA-6050-00106-0000</v>
          </cell>
          <cell r="E1649" t="str">
            <v>Quality Control Plan for Installation of CS Pipelines</v>
          </cell>
          <cell r="F1649">
            <v>7</v>
          </cell>
          <cell r="G1649" t="str">
            <v>IFA</v>
          </cell>
        </row>
        <row r="1650">
          <cell r="A1650" t="str">
            <v>KHF-00-104265-RA-6038-00917-0000-1</v>
          </cell>
          <cell r="B1650" t="str">
            <v>AIP-PDO-P1701009-T-1087</v>
          </cell>
          <cell r="C1650">
            <v>43544</v>
          </cell>
          <cell r="D1650" t="str">
            <v>KHF-00-104265-RA-6038-00917-0000</v>
          </cell>
          <cell r="E1650" t="str">
            <v>Procedure for Digitization of Radiographs</v>
          </cell>
          <cell r="F1650">
            <v>1</v>
          </cell>
          <cell r="G1650" t="str">
            <v>IFR</v>
          </cell>
        </row>
        <row r="1651">
          <cell r="A1651" t="str">
            <v>rejected by PDO</v>
          </cell>
          <cell r="B1651" t="str">
            <v>AIP-PDO-P1701009-T-1088</v>
          </cell>
          <cell r="C1651">
            <v>43544</v>
          </cell>
          <cell r="D1651" t="str">
            <v>KHF-00-104265-BA-6065-50009-0000</v>
          </cell>
          <cell r="E1651" t="str">
            <v>WPS - Pipe Shoe Support to Wear Pad - Pipelines, PL-5 (AIR-WPS-PL-008)</v>
          </cell>
          <cell r="F1651">
            <v>1</v>
          </cell>
          <cell r="G1651" t="str">
            <v>IFR</v>
          </cell>
        </row>
        <row r="1652">
          <cell r="A1652" t="str">
            <v>rejected by PDO</v>
          </cell>
          <cell r="B1652" t="str">
            <v>AIP-PDO-P1701009-T-1088</v>
          </cell>
          <cell r="C1652">
            <v>43544</v>
          </cell>
          <cell r="D1652" t="str">
            <v>KHF-00-104265-BA-6065-50010-0000</v>
          </cell>
          <cell r="E1652" t="str">
            <v>WPS - Pipe Shoe Support to Wear Pad - Pipelines, PL-7, PL-8 &amp; PL-9 (AIR-WPS-PL-009)</v>
          </cell>
          <cell r="F1652">
            <v>1</v>
          </cell>
          <cell r="G1652" t="str">
            <v>IFR</v>
          </cell>
        </row>
        <row r="1653">
          <cell r="A1653" t="str">
            <v>KHF-00-104265-AA-3341-60155-0000-1</v>
          </cell>
          <cell r="B1653" t="str">
            <v>AIP-PDO-P1701009-T-1089</v>
          </cell>
          <cell r="C1653">
            <v>43544</v>
          </cell>
          <cell r="D1653" t="str">
            <v>KHF-00-104265-AA-3341-60155-0000</v>
          </cell>
          <cell r="E1653" t="str">
            <v>CV OF MR. HARIKRISHNAN KOCHEILATHU - WELDING ENGINEER</v>
          </cell>
          <cell r="F1653">
            <v>1</v>
          </cell>
          <cell r="G1653" t="str">
            <v>IFA</v>
          </cell>
        </row>
        <row r="1654">
          <cell r="A1654" t="str">
            <v>rejected by PDO</v>
          </cell>
          <cell r="B1654" t="str">
            <v>AIP-PDO-P1701009-T-1090</v>
          </cell>
          <cell r="C1654">
            <v>43544</v>
          </cell>
          <cell r="D1654" t="str">
            <v>KHF-00-104265-BA-6065-50066-0000</v>
          </cell>
          <cell r="E1654" t="str">
            <v>PCAP Control ID - Note to File</v>
          </cell>
          <cell r="F1654">
            <v>1</v>
          </cell>
          <cell r="G1654" t="str">
            <v>IFR</v>
          </cell>
        </row>
        <row r="1655">
          <cell r="A1655" t="str">
            <v>KHF-00-104265-BA-6065-50010-0000-1</v>
          </cell>
          <cell r="B1655" t="str">
            <v>AIP-PDO-P1701009-T-1091</v>
          </cell>
          <cell r="C1655">
            <v>43544</v>
          </cell>
          <cell r="D1655" t="str">
            <v>KHF-00-104265-BA-6065-50010-0000</v>
          </cell>
          <cell r="E1655" t="str">
            <v>WPS - Pipe Shoe Support to Wear Pad - Pipelines, PL-7, PL-8 &amp; PL-9 (AIR-WPS-PL-009)</v>
          </cell>
          <cell r="F1655">
            <v>1</v>
          </cell>
          <cell r="G1655" t="str">
            <v>IFR</v>
          </cell>
        </row>
        <row r="1656">
          <cell r="A1656" t="str">
            <v>KHF-00-104265-BA-6065-50011-0000-1</v>
          </cell>
          <cell r="B1656" t="str">
            <v>AIP-PDO-P1701009-T-1091</v>
          </cell>
          <cell r="C1656">
            <v>43544</v>
          </cell>
          <cell r="D1656" t="str">
            <v>KHF-00-104265-BA-6065-50011-0000</v>
          </cell>
          <cell r="E1656" t="str">
            <v>WPS - Pipe Shoe Support to Wear Pad - Pipelines, PL-5 (AIR-WPS-PL-008)</v>
          </cell>
          <cell r="F1656">
            <v>1</v>
          </cell>
          <cell r="G1656" t="str">
            <v>IFR</v>
          </cell>
        </row>
        <row r="1657">
          <cell r="A1657" t="str">
            <v>KHF-00-104265-QA-5733-22003-0000-2</v>
          </cell>
          <cell r="B1657" t="str">
            <v>AIP-PDO-P1701009-T-1092</v>
          </cell>
          <cell r="C1657">
            <v>43544</v>
          </cell>
          <cell r="D1657" t="str">
            <v>KHF-00-104265-QA-5733-22003-0000</v>
          </cell>
          <cell r="E1657" t="str">
            <v>Inspection and Test Plan for Steel Structural Fabrication, Welding and Erection</v>
          </cell>
          <cell r="F1657">
            <v>2</v>
          </cell>
          <cell r="G1657" t="str">
            <v>IFA</v>
          </cell>
        </row>
        <row r="1658">
          <cell r="A1658" t="str">
            <v>KHF-00-104265-BA-6070-01309-0000-2</v>
          </cell>
          <cell r="B1658" t="str">
            <v>AIP-PDO-P1701009-T-1093</v>
          </cell>
          <cell r="C1658">
            <v>43545</v>
          </cell>
          <cell r="D1658" t="str">
            <v>KHF-00-104265-BA-6070-01309-0000</v>
          </cell>
          <cell r="E1658" t="str">
            <v>Method of Statement for mechanical installation of Gas Turbine Exhaust Bypass System</v>
          </cell>
          <cell r="F1658">
            <v>2</v>
          </cell>
          <cell r="G1658" t="str">
            <v>IFA</v>
          </cell>
        </row>
        <row r="1659">
          <cell r="A1659" t="str">
            <v>KHF-00-104265-RA-8241-51193-0000-1</v>
          </cell>
          <cell r="B1659" t="str">
            <v>AIP-PDO-P1701009-T-1094</v>
          </cell>
          <cell r="C1659">
            <v>43545</v>
          </cell>
          <cell r="D1659" t="str">
            <v>KHF-00-104265-RA-8241-51193-0000</v>
          </cell>
          <cell r="E1659" t="str">
            <v>Material Approval Sheet for Neoprene Rubber</v>
          </cell>
          <cell r="F1659">
            <v>1</v>
          </cell>
          <cell r="G1659" t="str">
            <v>IFA</v>
          </cell>
        </row>
        <row r="1660">
          <cell r="A1660" t="str">
            <v>KHF-00-104265-RA-8241-51194-0000-1</v>
          </cell>
          <cell r="B1660" t="str">
            <v>AIP-PDO-P1701009-T-1094</v>
          </cell>
          <cell r="C1660">
            <v>43545</v>
          </cell>
          <cell r="D1660" t="str">
            <v>KHF-00-104265-RA-8241-51194-0000</v>
          </cell>
          <cell r="E1660" t="str">
            <v>Material Approval Sheet for Gratings</v>
          </cell>
          <cell r="F1660">
            <v>1</v>
          </cell>
          <cell r="G1660" t="str">
            <v>IFA</v>
          </cell>
        </row>
        <row r="1661">
          <cell r="A1661" t="str">
            <v>KHF-00-104265-AA-3341-60156-0000-1</v>
          </cell>
          <cell r="B1661" t="str">
            <v>AIP-PDO-P1701009-T-1095</v>
          </cell>
          <cell r="C1661">
            <v>43548</v>
          </cell>
          <cell r="D1661" t="str">
            <v>KHF-00-104265-AA-3341-60156-0000</v>
          </cell>
          <cell r="E1661" t="str">
            <v>CV of Mr. Rahul Y. Karkera - GRE Inspector</v>
          </cell>
          <cell r="F1661">
            <v>1</v>
          </cell>
          <cell r="G1661" t="str">
            <v>IFA</v>
          </cell>
        </row>
        <row r="1662">
          <cell r="A1662" t="str">
            <v>KHF-00-104265-CX-4180-10072-0001-1</v>
          </cell>
          <cell r="B1662" t="str">
            <v>AIP-PDO-P1701009-T-1096</v>
          </cell>
          <cell r="C1662">
            <v>43548</v>
          </cell>
          <cell r="D1662" t="str">
            <v>KHF-00-104265-CX-4180-10072-0001</v>
          </cell>
          <cell r="E1662" t="str">
            <v>Fabrication Drawing, Door Type D7 &amp; D8 Elevation, Section &amp; Details</v>
          </cell>
          <cell r="F1662">
            <v>1</v>
          </cell>
          <cell r="G1662" t="str">
            <v>IFI</v>
          </cell>
        </row>
        <row r="1663">
          <cell r="A1663" t="str">
            <v>KHF-00-104265-BA-6065-50003-0000-4</v>
          </cell>
          <cell r="B1663" t="str">
            <v>AIP-PDO-P1701009-T-1097</v>
          </cell>
          <cell r="C1663">
            <v>43548</v>
          </cell>
          <cell r="D1663" t="str">
            <v>KHF-00-104265-BA-6065-50003-0000</v>
          </cell>
          <cell r="E1663" t="str">
            <v>WPS - Pipe to Barred Tee / Flange - Pipeline PL-7, PL-8 &amp; PL-9 (AIP-WPS-PL-002) - Qualified thickness range - 5.30mm to 10.6mm</v>
          </cell>
          <cell r="F1663">
            <v>4</v>
          </cell>
          <cell r="G1663" t="str">
            <v>IFA</v>
          </cell>
        </row>
        <row r="1664">
          <cell r="A1664" t="str">
            <v>KHF-00-104265-BA-6065-50002-0000-4</v>
          </cell>
          <cell r="B1664" t="str">
            <v>AIP-PDO-P1701009-T-1098</v>
          </cell>
          <cell r="C1664">
            <v>43548</v>
          </cell>
          <cell r="D1664" t="str">
            <v>KHF-00-104265-BA-6065-50002-0000</v>
          </cell>
          <cell r="E1664" t="str">
            <v>WPS - Pipe to Barred Tee / Reduced Tee / Flange / Valve Pup Piece - Applicable for Pipeline PL1, PL2, PL3 &amp; PL4 - Qualified Thickness Range - 7.5mm to 15.0mm</v>
          </cell>
          <cell r="F1664">
            <v>4</v>
          </cell>
          <cell r="G1664" t="str">
            <v>IFA</v>
          </cell>
        </row>
        <row r="1665">
          <cell r="A1665" t="str">
            <v>KHF-00-104265-QA-6050-32006-0000-2</v>
          </cell>
          <cell r="B1665" t="str">
            <v>AIP-PDO-P1701009-T-1099</v>
          </cell>
          <cell r="C1665">
            <v>43548</v>
          </cell>
          <cell r="D1665" t="str">
            <v>KHF-00-104265-QA-6050-32006-0000</v>
          </cell>
          <cell r="E1665" t="str">
            <v>Procedure for Pipeline Golden Joint (Tie-in) Welding</v>
          </cell>
          <cell r="F1665">
            <v>2</v>
          </cell>
          <cell r="G1665" t="str">
            <v>IFA</v>
          </cell>
        </row>
        <row r="1666">
          <cell r="A1666" t="str">
            <v>KHF-00-104265-QA-5733-22007-0000-1</v>
          </cell>
          <cell r="B1666" t="str">
            <v>AIP-PDO-P1701009-T-1100</v>
          </cell>
          <cell r="C1666">
            <v>43548</v>
          </cell>
          <cell r="D1666" t="str">
            <v>KHF-00-104265-QA-5733-22007-0000</v>
          </cell>
          <cell r="E1666" t="str">
            <v>Inspection Test Plan for Pipeline Golden Joint Welding (Tie-In)</v>
          </cell>
          <cell r="F1666">
            <v>1</v>
          </cell>
          <cell r="G1666" t="str">
            <v>IFR</v>
          </cell>
        </row>
        <row r="1667">
          <cell r="A1667" t="str">
            <v>KHF-00-104265-AA-6944-10072-0000-1</v>
          </cell>
          <cell r="B1667" t="str">
            <v>AIP-PDO-P1701009-T-1101</v>
          </cell>
          <cell r="C1667">
            <v>43548</v>
          </cell>
          <cell r="D1667" t="str">
            <v>KHF-00-104265-AA-6944-10072-0000</v>
          </cell>
          <cell r="E1667" t="str">
            <v>WEEKLY PROGRESS REPORT NO.072</v>
          </cell>
          <cell r="F1667">
            <v>1</v>
          </cell>
          <cell r="G1667" t="str">
            <v>IFR</v>
          </cell>
        </row>
        <row r="1668">
          <cell r="A1668" t="str">
            <v>KHF-00-104265-BA-6065-50004-0000-4</v>
          </cell>
          <cell r="B1668" t="str">
            <v>AIP-PDO-P1701009-T-1102</v>
          </cell>
          <cell r="C1668">
            <v>43549</v>
          </cell>
          <cell r="D1668" t="str">
            <v>KHF-00-104265-BA-6065-50004-0000</v>
          </cell>
          <cell r="E1668" t="str">
            <v>WPS - Pipe to Barred Tee / Flange - Pipeline PL-5 (AIP-WPS-PL-003)</v>
          </cell>
          <cell r="F1668">
            <v>4</v>
          </cell>
          <cell r="G1668" t="str">
            <v>IFA</v>
          </cell>
        </row>
        <row r="1669">
          <cell r="A1669" t="str">
            <v>KHF-00-104265-BA-6070-42031-0000-2</v>
          </cell>
          <cell r="B1669" t="str">
            <v>AIP-PDO-P1701009-T-1103</v>
          </cell>
          <cell r="C1669">
            <v>43549</v>
          </cell>
          <cell r="D1669" t="str">
            <v>KHF-00-104265-BA-6070-42031-0000</v>
          </cell>
          <cell r="E1669" t="str">
            <v>Method Statement for Insulation &amp; Installation of Refrigerant Piping in GIS &amp; GTG Building</v>
          </cell>
          <cell r="F1669">
            <v>2</v>
          </cell>
          <cell r="G1669" t="str">
            <v>IFR</v>
          </cell>
        </row>
        <row r="1670">
          <cell r="A1670" t="str">
            <v>KHF-00-104265-BA-6065-50066-0000-1</v>
          </cell>
          <cell r="B1670" t="str">
            <v>AIP-PDO-P1701009-T-1104</v>
          </cell>
          <cell r="C1670">
            <v>43550</v>
          </cell>
          <cell r="D1670" t="str">
            <v>KHF-00-104265-BA-6065-50066-0000</v>
          </cell>
          <cell r="E1670" t="str">
            <v>Welding, NDT &amp; GRE PCAP Control ID Index (Control IDs  - 170, 176 &amp; 488)</v>
          </cell>
          <cell r="F1670">
            <v>1</v>
          </cell>
          <cell r="G1670" t="str">
            <v>IFR</v>
          </cell>
        </row>
        <row r="1671">
          <cell r="A1671" t="str">
            <v>KHF-00-104265-BA-6065-50007-0000-3</v>
          </cell>
          <cell r="B1671" t="str">
            <v>AIP-PDO-P1701009-T-1105</v>
          </cell>
          <cell r="C1671">
            <v>43550</v>
          </cell>
          <cell r="D1671" t="str">
            <v>KHF-00-104265-BA-6065-50007-0000</v>
          </cell>
          <cell r="E1671" t="str">
            <v>WBS - Weldolet to Flange Welding Applicable for Butt Welding for Pipeline PL1, PL2, PL3, PL4, PL5, PL7, PL8, PL9 &amp;PL9A</v>
          </cell>
          <cell r="F1671">
            <v>3</v>
          </cell>
          <cell r="G1671" t="str">
            <v>IFA</v>
          </cell>
        </row>
        <row r="1672">
          <cell r="A1672" t="str">
            <v>KHF-00-104265-BA-6065-50008-0000-3</v>
          </cell>
          <cell r="B1672" t="str">
            <v>AIP-PDO-P1701009-T-1105</v>
          </cell>
          <cell r="C1672">
            <v>43550</v>
          </cell>
          <cell r="D1672" t="str">
            <v>KHF-00-104265-BA-6065-50008-0000</v>
          </cell>
          <cell r="E1672" t="str">
            <v>WPS - Reduced Tee to Flange - Pipeline PL-1, PL-2, PL-3 &amp; PL-4 (AIP-WPS-PL007)</v>
          </cell>
          <cell r="F1672">
            <v>3</v>
          </cell>
          <cell r="G1672" t="str">
            <v>IFA</v>
          </cell>
        </row>
        <row r="1673">
          <cell r="A1673" t="str">
            <v>KHF-00-104265-AA-3341-60157-0000-1</v>
          </cell>
          <cell r="B1673" t="str">
            <v>AIP-PDO-P1701009-T-1106</v>
          </cell>
          <cell r="C1673">
            <v>43550</v>
          </cell>
          <cell r="D1673" t="str">
            <v>KHF-00-104265-AA-3341-60157-0000</v>
          </cell>
          <cell r="E1673" t="str">
            <v>CV OF MR. SULEIMAN ALIFRESH AL-SHUKAIRI - SITE BASED HSE ADVISOR</v>
          </cell>
          <cell r="F1673">
            <v>1</v>
          </cell>
          <cell r="G1673" t="str">
            <v>IFA</v>
          </cell>
        </row>
        <row r="1674">
          <cell r="A1674" t="str">
            <v>KHF-00-104265-BA-6065-00699-0000-4</v>
          </cell>
          <cell r="B1674" t="str">
            <v>AIP-PDO-P1701009-T-1107</v>
          </cell>
          <cell r="C1674">
            <v>43551</v>
          </cell>
          <cell r="D1674" t="str">
            <v>KHF-00-104265-BA-6065-00699-0000</v>
          </cell>
          <cell r="E1674" t="str">
            <v>WPS Register</v>
          </cell>
          <cell r="F1674">
            <v>4</v>
          </cell>
          <cell r="G1674" t="str">
            <v>IFA</v>
          </cell>
        </row>
        <row r="1675">
          <cell r="A1675" t="str">
            <v>rejected by PDO</v>
          </cell>
          <cell r="B1675" t="str">
            <v>AIP-PDO-P1701009-T-1108</v>
          </cell>
          <cell r="C1675">
            <v>43551</v>
          </cell>
          <cell r="D1675" t="str">
            <v>KHF-00-104265-AA-3341-60157-0000</v>
          </cell>
          <cell r="E1675" t="str">
            <v>CV of Dr. Mohsin Sabir Khan - Medical Officer</v>
          </cell>
          <cell r="F1675">
            <v>1</v>
          </cell>
          <cell r="G1675" t="str">
            <v>IFA</v>
          </cell>
        </row>
        <row r="1676">
          <cell r="A1676" t="str">
            <v>KHF-00-104265-AA-3341-60158-0000-1</v>
          </cell>
          <cell r="B1676" t="str">
            <v>AIP-PDO-P1701009-T-1109</v>
          </cell>
          <cell r="C1676">
            <v>43551</v>
          </cell>
          <cell r="D1676" t="str">
            <v>KHF-00-104265-AA-3341-60158-0000</v>
          </cell>
          <cell r="E1676" t="str">
            <v>CV of Mr. Vijaykumar S. Karikai - Lead Pre-Commissioning Engineer</v>
          </cell>
          <cell r="F1676">
            <v>1</v>
          </cell>
          <cell r="G1676" t="str">
            <v>IFA</v>
          </cell>
        </row>
        <row r="1677">
          <cell r="A1677" t="str">
            <v>KHF-00-104265-AA-3341-60159-0000-1</v>
          </cell>
          <cell r="B1677" t="str">
            <v>AIP-PDO-P1701009-T-1110</v>
          </cell>
          <cell r="C1677">
            <v>43551</v>
          </cell>
          <cell r="D1677" t="str">
            <v>KHF-00-104265-AA-3341-60159-0000</v>
          </cell>
          <cell r="E1677" t="str">
            <v>CV of Dr. Mohsin Sabir Khan - Medical Officer</v>
          </cell>
          <cell r="F1677">
            <v>1</v>
          </cell>
          <cell r="G1677" t="str">
            <v>IFA</v>
          </cell>
        </row>
        <row r="1678">
          <cell r="A1678" t="str">
            <v>KHF-00-104265-BA-6070-42028-0000-3</v>
          </cell>
          <cell r="B1678" t="str">
            <v>AIP-PDO-P1701009-T-1111</v>
          </cell>
          <cell r="C1678">
            <v>43551</v>
          </cell>
          <cell r="D1678" t="str">
            <v>KHF-00-104265-BA-6070-42028-0000</v>
          </cell>
          <cell r="E1678" t="str">
            <v>Method Statement for Aboveground Sections Hydrotesting of CS Pipelines</v>
          </cell>
          <cell r="F1678">
            <v>3</v>
          </cell>
          <cell r="G1678" t="str">
            <v>IFA</v>
          </cell>
        </row>
        <row r="1679">
          <cell r="A1679" t="str">
            <v>KHF-00-104265-QA-5733-01302-0000-3</v>
          </cell>
          <cell r="B1679" t="str">
            <v>AIP-PDO-P1701009-T-1112</v>
          </cell>
          <cell r="C1679">
            <v>43552</v>
          </cell>
          <cell r="D1679" t="str">
            <v>KHF-00-104265-QA-5733-01302-0000</v>
          </cell>
          <cell r="E1679" t="str">
            <v>ITP for Installation of GTG Package and its Auxiliaries (Mechanical Works)</v>
          </cell>
          <cell r="F1679">
            <v>3</v>
          </cell>
          <cell r="G1679" t="str">
            <v>IFA</v>
          </cell>
        </row>
        <row r="1680">
          <cell r="A1680" t="str">
            <v>KHF-00-104265-QA-5733-01310-0000-3</v>
          </cell>
          <cell r="B1680" t="str">
            <v>AIP-PDO-P1701009-T-1113</v>
          </cell>
          <cell r="C1680">
            <v>43552</v>
          </cell>
          <cell r="D1680" t="str">
            <v>KHF-00-104265-QA-5733-01310-0000</v>
          </cell>
          <cell r="E1680" t="str">
            <v>ITP for Installation of Non Boiler External and General Piping - Carbon Steel</v>
          </cell>
          <cell r="F1680">
            <v>3</v>
          </cell>
          <cell r="G1680" t="str">
            <v>IFA</v>
          </cell>
        </row>
        <row r="1681">
          <cell r="A1681" t="str">
            <v>KHF-00-104265-RA-8241-51196-0000-1</v>
          </cell>
          <cell r="B1681" t="str">
            <v>AIP-PDO-P1701009-T-1114</v>
          </cell>
          <cell r="C1681">
            <v>43552</v>
          </cell>
          <cell r="D1681" t="str">
            <v>KHF-00-104265-RA-8241-51196-0000</v>
          </cell>
          <cell r="E1681" t="str">
            <v>Material Approval Sheet for Masterseal PG470 and GG470 &amp; Masterseal P101 Sealer Primer</v>
          </cell>
          <cell r="F1681">
            <v>1</v>
          </cell>
          <cell r="G1681" t="str">
            <v>IFA</v>
          </cell>
        </row>
        <row r="1682">
          <cell r="A1682" t="str">
            <v>KHF-00-104265-RA-8241-51197-0000-1</v>
          </cell>
          <cell r="B1682" t="str">
            <v>AIP-PDO-P1701009-T-1114</v>
          </cell>
          <cell r="C1682">
            <v>43552</v>
          </cell>
          <cell r="D1682" t="str">
            <v>KHF-00-104265-RA-8241-51197-0000</v>
          </cell>
          <cell r="E1682" t="str">
            <v>Material Approval Sheet for Masterprotect (Epoxy Resin Coating)</v>
          </cell>
          <cell r="F1682">
            <v>1</v>
          </cell>
          <cell r="G1682" t="str">
            <v>IFA</v>
          </cell>
        </row>
        <row r="1683">
          <cell r="A1683" t="str">
            <v>KHF-00-104265-BA-6065-50003-0000-5</v>
          </cell>
          <cell r="B1683" t="str">
            <v>AIP-PDO-P1701009-T-1115</v>
          </cell>
          <cell r="C1683">
            <v>43555</v>
          </cell>
          <cell r="D1683" t="str">
            <v>KHF-00-104265-BA-6065-50003-0000</v>
          </cell>
          <cell r="E1683" t="str">
            <v>WPS - Pipe to Barred Tee / Flange - Pipeline PL-7, PL-8 &amp; PL-9 (AIP-WPS-PL-002) - Qualified thickness range - 5.30mm to 10.6mm</v>
          </cell>
          <cell r="F1683">
            <v>5</v>
          </cell>
          <cell r="G1683" t="str">
            <v>IFA</v>
          </cell>
        </row>
        <row r="1684">
          <cell r="A1684" t="str">
            <v>KHF-00-104265-BA-6065-01307-0000-1</v>
          </cell>
          <cell r="B1684" t="str">
            <v>AIP-PDO-P1701009-T-1116</v>
          </cell>
          <cell r="C1684">
            <v>43555</v>
          </cell>
          <cell r="D1684" t="str">
            <v>KHF-00-104265-BA-6065-01307-0000</v>
          </cell>
          <cell r="E1684" t="str">
            <v>Welding Procedure Specification - Carbon Steel WPS No. JWPS-95 (Non-Sour Service)</v>
          </cell>
          <cell r="F1684">
            <v>1</v>
          </cell>
          <cell r="G1684" t="str">
            <v>IFR</v>
          </cell>
        </row>
        <row r="1685">
          <cell r="A1685" t="str">
            <v>KHF-00-104265-BA-6065-01308-0000-1</v>
          </cell>
          <cell r="B1685" t="str">
            <v>AIP-PDO-P1701009-T-1116</v>
          </cell>
          <cell r="C1685">
            <v>43555</v>
          </cell>
          <cell r="D1685" t="str">
            <v>KHF-00-104265-BA-6065-01308-0000</v>
          </cell>
          <cell r="E1685" t="str">
            <v>Welding Procedure Specification - Carbon Steel WPS No. JWPS-96 (Non-Sour Service)</v>
          </cell>
          <cell r="F1685">
            <v>1</v>
          </cell>
          <cell r="G1685" t="str">
            <v>IFR</v>
          </cell>
        </row>
        <row r="1686">
          <cell r="A1686" t="str">
            <v>KHF-00-104265-BA-6065-50002-0000-5</v>
          </cell>
          <cell r="B1686" t="str">
            <v>AIP-PDO-P1701009-T-1117</v>
          </cell>
          <cell r="C1686">
            <v>43555</v>
          </cell>
          <cell r="D1686" t="str">
            <v>KHF-00-104265-BA-6065-50002-0000</v>
          </cell>
          <cell r="E1686" t="str">
            <v>WPS - Pipe to Barred Tee / Reduced Tee / Flange / Valve Pup Piece - Applicable for Pipeline PL1, PL2, PL3 &amp; PL4 - Qualified Thickness Range - 7.5mm to 15.0mm</v>
          </cell>
          <cell r="F1686">
            <v>5</v>
          </cell>
          <cell r="G1686" t="str">
            <v>IFA</v>
          </cell>
        </row>
        <row r="1687">
          <cell r="A1687" t="str">
            <v>KHF-00-104265-HX-6180-00902-0000-4</v>
          </cell>
          <cell r="B1687" t="str">
            <v>AIP-PDO-P1701009-T-1118</v>
          </cell>
          <cell r="C1687">
            <v>43555</v>
          </cell>
          <cell r="D1687" t="str">
            <v>KHF-00-104265-HX-6180-00902-0000</v>
          </cell>
          <cell r="E1687" t="str">
            <v>Standard Handling Procedures for the Transport of Radioisotopes</v>
          </cell>
          <cell r="F1687">
            <v>4</v>
          </cell>
          <cell r="G1687" t="str">
            <v>IFA</v>
          </cell>
        </row>
        <row r="1688">
          <cell r="A1688" t="str">
            <v>KHF-00-104265-BA-6065-50012-0000-1</v>
          </cell>
          <cell r="B1688" t="str">
            <v>AIP-PDO-P1701009-T-1119</v>
          </cell>
          <cell r="C1688">
            <v>43556</v>
          </cell>
          <cell r="D1688" t="str">
            <v>KHF-00-104265-BA-6065-50012-0000</v>
          </cell>
          <cell r="E1688" t="str">
            <v>WPS - Pipe to Weldolet - Pipeline PL-1, PL-2, PL-3 &amp; PL-4 (AIP-WPS-PL-010)</v>
          </cell>
          <cell r="F1688">
            <v>1</v>
          </cell>
          <cell r="G1688" t="str">
            <v>IFR</v>
          </cell>
        </row>
        <row r="1689">
          <cell r="A1689" t="str">
            <v>KHF-00-104265-AA-6944-10073-0000-1</v>
          </cell>
          <cell r="B1689" t="str">
            <v>AIP-PDO-P1701009-T-1120</v>
          </cell>
          <cell r="C1689">
            <v>43556</v>
          </cell>
          <cell r="D1689" t="str">
            <v>KHF-00-104265-AA-6944-10073-0000</v>
          </cell>
          <cell r="E1689" t="str">
            <v>Weekly Progress Report No. 073</v>
          </cell>
          <cell r="F1689">
            <v>1</v>
          </cell>
          <cell r="G1689" t="str">
            <v>IFR</v>
          </cell>
        </row>
        <row r="1690">
          <cell r="A1690" t="str">
            <v>KHF-00-104265-BA-6070-42034-0000-1</v>
          </cell>
          <cell r="B1690" t="str">
            <v>AIP-PDO-P1701009-T-1121</v>
          </cell>
          <cell r="C1690">
            <v>43556</v>
          </cell>
          <cell r="D1690" t="str">
            <v>KHF-00-104265-BA-6070-42034-0000</v>
          </cell>
          <cell r="E1690" t="str">
            <v>Method Statement for Extended Hour Working - HRSG Main Stack Section-02 and Section-03 Installation Works</v>
          </cell>
          <cell r="F1690">
            <v>1</v>
          </cell>
          <cell r="G1690" t="str">
            <v>IFR</v>
          </cell>
        </row>
        <row r="1691">
          <cell r="A1691" t="str">
            <v>KHF-00-104265-BA-6070-42035-0000-1</v>
          </cell>
          <cell r="B1691" t="str">
            <v>AIP-PDO-P1701009-T-1121</v>
          </cell>
          <cell r="C1691">
            <v>43556</v>
          </cell>
          <cell r="D1691" t="str">
            <v>KHF-00-104265-BA-6070-42035-0000</v>
          </cell>
          <cell r="E1691" t="str">
            <v>Method Statement for Extended Hour Working - U/G GRE Piping Works at Power Plant Area - 100</v>
          </cell>
          <cell r="F1691">
            <v>1</v>
          </cell>
          <cell r="G1691" t="str">
            <v>IFR</v>
          </cell>
        </row>
        <row r="1692">
          <cell r="A1692" t="str">
            <v>rejected by PDO</v>
          </cell>
          <cell r="B1692" t="str">
            <v>AIP-PDO-P1701009-T-1122</v>
          </cell>
          <cell r="C1692">
            <v>43556</v>
          </cell>
          <cell r="D1692" t="str">
            <v>KHF-00-104265-RA-8241-51195-0000</v>
          </cell>
          <cell r="E1692" t="str">
            <v>Material Approval Sheet for 20mm Coarse Aggregate for Transformer Area</v>
          </cell>
          <cell r="F1692">
            <v>1</v>
          </cell>
          <cell r="G1692" t="str">
            <v>Cancelled</v>
          </cell>
        </row>
        <row r="1693">
          <cell r="A1693" t="str">
            <v>KHF-00-104265-RA-8241-51195-0000-1</v>
          </cell>
          <cell r="B1693" t="str">
            <v>AIP-PDO-P1701009-T-1123</v>
          </cell>
          <cell r="C1693">
            <v>43557</v>
          </cell>
          <cell r="D1693" t="str">
            <v>KHF-00-104265-RA-8241-51195-0000</v>
          </cell>
          <cell r="E1693" t="str">
            <v>Material Approval Sheet for 20mm Coarse Aggregate for Transformer Area</v>
          </cell>
          <cell r="F1693">
            <v>1</v>
          </cell>
          <cell r="G1693" t="str">
            <v>IFA</v>
          </cell>
        </row>
        <row r="1694">
          <cell r="A1694" t="str">
            <v>KHF-00-104265-RA-8241-51198-0000-1</v>
          </cell>
          <cell r="B1694" t="str">
            <v>AIP-PDO-P1701009-T-1124</v>
          </cell>
          <cell r="C1694">
            <v>43557</v>
          </cell>
          <cell r="D1694" t="str">
            <v>KHF-00-104265-RA-8241-51198-0000</v>
          </cell>
          <cell r="E1694" t="str">
            <v>Material Approval Sheet for DI Manhole Cover (Inter AX  BC-46) for Sewage System</v>
          </cell>
          <cell r="F1694">
            <v>1</v>
          </cell>
          <cell r="G1694" t="str">
            <v>IFA</v>
          </cell>
        </row>
        <row r="1695">
          <cell r="A1695" t="str">
            <v>KHF-00-104265-RA-8241-51172-0000-2</v>
          </cell>
          <cell r="B1695" t="str">
            <v>AIP-PDO-P1701009-T-1125</v>
          </cell>
          <cell r="C1695">
            <v>43557</v>
          </cell>
          <cell r="D1695" t="str">
            <v>KHF-00-104265-RA-8241-51172-0000</v>
          </cell>
          <cell r="E1695" t="str">
            <v>Material Approval Sheet for Water Heater</v>
          </cell>
          <cell r="F1695">
            <v>2</v>
          </cell>
          <cell r="G1695" t="str">
            <v>IFA</v>
          </cell>
        </row>
        <row r="1696">
          <cell r="A1696" t="str">
            <v>KHF-00-104265-RA-6038-00918-0000-2</v>
          </cell>
          <cell r="B1696" t="str">
            <v>AIP-PDO-P1701009-T-1126</v>
          </cell>
          <cell r="C1696">
            <v>43562</v>
          </cell>
          <cell r="D1696" t="str">
            <v>KHF-00-104265-RA-6038-00918-0000</v>
          </cell>
          <cell r="E1696" t="str">
            <v>Procedure for Visual Inspection  for piping using Boroscope</v>
          </cell>
          <cell r="F1696">
            <v>2</v>
          </cell>
          <cell r="G1696" t="str">
            <v>IFA</v>
          </cell>
        </row>
        <row r="1697">
          <cell r="A1697" t="str">
            <v>KHF-00-104265-BA-6070-43014-0000-1</v>
          </cell>
          <cell r="B1697" t="str">
            <v>AIP-PDO-P1701009-T-1127</v>
          </cell>
          <cell r="C1697">
            <v>43562</v>
          </cell>
          <cell r="D1697" t="str">
            <v>KHF-00-104265-BA-6070-43014-0000</v>
          </cell>
          <cell r="E1697" t="str">
            <v>METHOD STATEMENT FOR 33KV SINGLE ELM OHL CONSTRUCTION (CONCRETE POLE)</v>
          </cell>
          <cell r="F1697">
            <v>1</v>
          </cell>
          <cell r="G1697" t="str">
            <v>IFR</v>
          </cell>
        </row>
        <row r="1698">
          <cell r="A1698" t="str">
            <v>KHF-00-104265-BA-5736-01305-0000-1</v>
          </cell>
          <cell r="B1698" t="str">
            <v>AIP-PDO-P1701009-T-1128</v>
          </cell>
          <cell r="C1698">
            <v>43562</v>
          </cell>
          <cell r="D1698" t="str">
            <v>KHF-00-104265-BA-5736-01305-0000</v>
          </cell>
          <cell r="E1698" t="str">
            <v>LIFTING PLAN FOR MECHANICAL INSTALLATION OF HRSG, GTEBS AND GTG AUXILIARIES EQUIPMENT BELOW 20TON WEIGHT</v>
          </cell>
          <cell r="F1698">
            <v>1</v>
          </cell>
          <cell r="G1698" t="str">
            <v>IFR</v>
          </cell>
        </row>
        <row r="1699">
          <cell r="A1699" t="str">
            <v>KHF-00-104265-AA-3341-60160-0000-1</v>
          </cell>
          <cell r="B1699" t="str">
            <v>AIP-PDO-P1701009-T-1129</v>
          </cell>
          <cell r="C1699">
            <v>43562</v>
          </cell>
          <cell r="D1699" t="str">
            <v>KHF-00-104265-AA-3341-60160-0000</v>
          </cell>
          <cell r="E1699" t="str">
            <v>CV OF MR. MANJUNATHAN. A - LEAD QC ENGINEER</v>
          </cell>
          <cell r="F1699">
            <v>1</v>
          </cell>
          <cell r="G1699" t="str">
            <v>IFA</v>
          </cell>
        </row>
        <row r="1700">
          <cell r="A1700" t="str">
            <v>KHF-00-104265-RA-8241-51199-0000-1</v>
          </cell>
          <cell r="B1700" t="str">
            <v>AIP-PDO-P1701009-T-1130</v>
          </cell>
          <cell r="C1700">
            <v>43562</v>
          </cell>
          <cell r="D1700" t="str">
            <v>KHF-00-104265-RA-8241-51199-0000</v>
          </cell>
          <cell r="E1700" t="str">
            <v>Material Approval Sheet for Sanitary Ware &amp; CP Fittings (Ideal Standard Products) for GTG Building Toilet &amp; Pantry - Part 1</v>
          </cell>
          <cell r="F1700">
            <v>1</v>
          </cell>
          <cell r="G1700" t="str">
            <v>IFA</v>
          </cell>
        </row>
        <row r="1701">
          <cell r="A1701" t="str">
            <v>KHF-00-104265-AA-6944-20018-0000-1</v>
          </cell>
          <cell r="B1701" t="str">
            <v>AIP-PDO-P1701009-T-1131</v>
          </cell>
          <cell r="C1701">
            <v>43562</v>
          </cell>
          <cell r="D1701" t="str">
            <v>KHF-00-104265-AA-6944-20018-0000</v>
          </cell>
          <cell r="E1701" t="str">
            <v>MONTHLY PROGRESS REPORT NO.018 (MARCH 2019)</v>
          </cell>
          <cell r="F1701">
            <v>1</v>
          </cell>
          <cell r="G1701" t="str">
            <v>IFR</v>
          </cell>
        </row>
        <row r="1702">
          <cell r="A1702" t="str">
            <v>KHF-00-104265-QA-0880-10075-0000-1</v>
          </cell>
          <cell r="B1702" t="str">
            <v>AIP-PDO-P1701009-T-1132</v>
          </cell>
          <cell r="C1702">
            <v>43563</v>
          </cell>
          <cell r="D1702" t="str">
            <v>KHF-00-104265-QA-0880-10075-0000</v>
          </cell>
          <cell r="E1702" t="str">
            <v>EXTERNAL AUDIT REPORT (ARABIAN INDUSTRIES MANUFACTURING LLC)</v>
          </cell>
          <cell r="F1702">
            <v>1</v>
          </cell>
          <cell r="G1702" t="str">
            <v>IFI</v>
          </cell>
        </row>
        <row r="1703">
          <cell r="A1703" t="str">
            <v>rejected by PDO</v>
          </cell>
          <cell r="B1703" t="str">
            <v>AIP-PDO-P1701009-T-1133</v>
          </cell>
          <cell r="C1703">
            <v>43563</v>
          </cell>
          <cell r="D1703" t="str">
            <v>KHF-00-104265-RA-8241-51200-0000</v>
          </cell>
          <cell r="E1703" t="str">
            <v>Material Approval Sheet for Sanitary Ware and CP Fittings (Bobrick, Blanco &amp; RAK) for GTG Building Toilet &amp; Pantry - Part 2</v>
          </cell>
          <cell r="F1703">
            <v>1</v>
          </cell>
          <cell r="G1703" t="str">
            <v>IFA</v>
          </cell>
        </row>
        <row r="1704">
          <cell r="A1704" t="str">
            <v>KHF-00-104265-AA-6944-10074-0000-1</v>
          </cell>
          <cell r="B1704" t="str">
            <v>AIP-PDO-P1701009-T-1134</v>
          </cell>
          <cell r="C1704">
            <v>43563</v>
          </cell>
          <cell r="D1704" t="str">
            <v>KHF-00-104265-AA-6944-10074-0000</v>
          </cell>
          <cell r="E1704" t="str">
            <v>Weekly Progress Report No. 074</v>
          </cell>
          <cell r="F1704">
            <v>1</v>
          </cell>
          <cell r="G1704" t="str">
            <v>IFR</v>
          </cell>
        </row>
        <row r="1705">
          <cell r="A1705" t="str">
            <v>rejected by PDO</v>
          </cell>
          <cell r="B1705" t="str">
            <v>AIP-PDO-P1701009-T-1135</v>
          </cell>
          <cell r="C1705">
            <v>43563</v>
          </cell>
          <cell r="D1705" t="str">
            <v>KHF-00-104265-BA-6070-01306-0000</v>
          </cell>
          <cell r="E1705" t="str">
            <v>Radiation Safety Procedure</v>
          </cell>
          <cell r="F1705">
            <v>1</v>
          </cell>
          <cell r="G1705" t="str">
            <v>IFR</v>
          </cell>
        </row>
        <row r="1706">
          <cell r="A1706" t="str">
            <v>KHF-00-104265-BA-6070-42015-0000-2</v>
          </cell>
          <cell r="B1706" t="str">
            <v>AIP-PDO-P1701009-T-1136</v>
          </cell>
          <cell r="C1706">
            <v>43563</v>
          </cell>
          <cell r="D1706" t="str">
            <v>KHF-00-104265-BA-6070-42015-0000</v>
          </cell>
          <cell r="E1706" t="str">
            <v xml:space="preserve">Method Statement for Installation &amp; Alignment of Static Equipment’s (Area - 200) </v>
          </cell>
          <cell r="F1706">
            <v>2</v>
          </cell>
          <cell r="G1706" t="str">
            <v>IFA</v>
          </cell>
        </row>
        <row r="1707">
          <cell r="A1707" t="str">
            <v>KHF-00-104265-QA-5733-01601-0000-2</v>
          </cell>
          <cell r="B1707" t="str">
            <v>AIP-PDO-P1701009-T-1137</v>
          </cell>
          <cell r="C1707">
            <v>43563</v>
          </cell>
          <cell r="D1707" t="str">
            <v>KHF-00-104265-QA-5733-01601-0000</v>
          </cell>
          <cell r="E1707" t="str">
            <v>Inspection and Test Plan for Surface Preparation and Painting of Steel Structure (PCS - 1)</v>
          </cell>
          <cell r="F1707">
            <v>2</v>
          </cell>
          <cell r="G1707" t="str">
            <v>IFA</v>
          </cell>
        </row>
        <row r="1708">
          <cell r="A1708" t="str">
            <v>KHF-00-104265-AA-3341-60161-0000-1</v>
          </cell>
          <cell r="B1708" t="str">
            <v>AIP-PDO-P1701009-T-1138</v>
          </cell>
          <cell r="C1708">
            <v>43564</v>
          </cell>
          <cell r="D1708" t="str">
            <v>KHF-00-104265-AA-3341-60161-0000</v>
          </cell>
          <cell r="E1708" t="str">
            <v>CV OF MR. OMPRAKASH MIDDI - GRE INSPECTOR - HIGH PRESSURE PIPELINE</v>
          </cell>
          <cell r="F1708">
            <v>1</v>
          </cell>
          <cell r="G1708" t="str">
            <v>IFA</v>
          </cell>
        </row>
        <row r="1709">
          <cell r="A1709" t="str">
            <v>KHF-00-104265-AA-3341-60162-0000-1</v>
          </cell>
          <cell r="B1709" t="str">
            <v>AIP-PDO-P1701009-T-1139</v>
          </cell>
          <cell r="C1709">
            <v>43564</v>
          </cell>
          <cell r="D1709" t="str">
            <v>KHF-00-104265-AA-3341-60162-0000</v>
          </cell>
          <cell r="E1709" t="str">
            <v>CV OF MR. SUNIL VYAS RAMANLAL - QC INSPECTOR - PIPING</v>
          </cell>
          <cell r="F1709">
            <v>1</v>
          </cell>
          <cell r="G1709" t="str">
            <v>IFA</v>
          </cell>
        </row>
        <row r="1710">
          <cell r="A1710" t="str">
            <v>KHF-00-104265-AA-3341-00156-0000-1</v>
          </cell>
          <cell r="B1710" t="str">
            <v>AIP-PDO-P1701009-T-1140</v>
          </cell>
          <cell r="C1710">
            <v>43564</v>
          </cell>
          <cell r="D1710" t="str">
            <v>KHF-00-104265-AA-3341-00156-0000</v>
          </cell>
          <cell r="E1710" t="str">
            <v>CV OF MR. SARAVANABHAVAN - SR. HSE ADVISOR</v>
          </cell>
          <cell r="F1710">
            <v>1</v>
          </cell>
          <cell r="G1710" t="str">
            <v>IFA</v>
          </cell>
        </row>
        <row r="1711">
          <cell r="A1711" t="str">
            <v>rejected by PDO</v>
          </cell>
          <cell r="B1711" t="str">
            <v>AIP-PDO-P1701009-T-1141</v>
          </cell>
          <cell r="C1711">
            <v>43564</v>
          </cell>
          <cell r="D1711" t="str">
            <v>KHF-00-104265-BA-6070-01306-0000</v>
          </cell>
          <cell r="E1711" t="str">
            <v>Radiation Safety Procedure by HITECH</v>
          </cell>
          <cell r="F1711">
            <v>1</v>
          </cell>
          <cell r="G1711" t="str">
            <v>IFR</v>
          </cell>
        </row>
        <row r="1712">
          <cell r="A1712" t="str">
            <v>KHF-00-104265-AA-3347-30039-0000-1</v>
          </cell>
          <cell r="B1712" t="str">
            <v>AIP-PDO-P1701009-T-1142</v>
          </cell>
          <cell r="C1712">
            <v>43564</v>
          </cell>
          <cell r="D1712" t="str">
            <v>KHF-00-104265-AA-3347-30039-0000</v>
          </cell>
          <cell r="E1712" t="str">
            <v>MINUTES OF WEEKLY REVIEW MEETING (SITE) NO. 39</v>
          </cell>
          <cell r="F1712">
            <v>1</v>
          </cell>
          <cell r="G1712" t="str">
            <v>IFI</v>
          </cell>
        </row>
        <row r="1713">
          <cell r="A1713" t="str">
            <v>KHF-00-104265-BA-6070-00153-0000-1</v>
          </cell>
          <cell r="B1713" t="str">
            <v>AIP-PDO-P1701009-T-1143</v>
          </cell>
          <cell r="C1713">
            <v>43564</v>
          </cell>
          <cell r="D1713" t="str">
            <v>KHF-00-104265-BA-6070-00153-0000</v>
          </cell>
          <cell r="E1713" t="str">
            <v>Method Statement for Dewatering, Swabbing, Drying &amp; Preservation of CS Pipelines</v>
          </cell>
          <cell r="F1713">
            <v>1</v>
          </cell>
          <cell r="G1713" t="str">
            <v>IFR</v>
          </cell>
        </row>
        <row r="1714">
          <cell r="A1714" t="str">
            <v>KHF-00-104265-AA-3341-60124-0000-2</v>
          </cell>
          <cell r="B1714" t="str">
            <v>AIP-PDO-P1701009-T-1144</v>
          </cell>
          <cell r="C1714">
            <v>43565</v>
          </cell>
          <cell r="D1714" t="str">
            <v>KHF-00-104265-AA-3341-60124-0000</v>
          </cell>
          <cell r="E1714" t="str">
            <v>CV OF MR. THIRUMURUGAN SUBRAMANI - QC INSPECTOR WELDING (PIPING)</v>
          </cell>
          <cell r="F1714">
            <v>2</v>
          </cell>
          <cell r="G1714" t="str">
            <v>IFA</v>
          </cell>
        </row>
        <row r="1715">
          <cell r="A1715" t="str">
            <v>KHF-00-104265-RA-8241-51200-0000-1</v>
          </cell>
          <cell r="B1715" t="str">
            <v>AIP-PDO-P1701009-T-1145</v>
          </cell>
          <cell r="C1715">
            <v>43565</v>
          </cell>
          <cell r="D1715" t="str">
            <v>KHF-00-104265-RA-8241-51200-0000</v>
          </cell>
          <cell r="E1715" t="str">
            <v>Material Approval Sheet for Bobrick, Blanco &amp; RAK Products for Toilet &amp; Pantry</v>
          </cell>
          <cell r="F1715">
            <v>1</v>
          </cell>
          <cell r="G1715" t="str">
            <v>IFA</v>
          </cell>
        </row>
        <row r="1716">
          <cell r="A1716" t="str">
            <v>KHF-00-104265-HX-6180-01301-0000-1</v>
          </cell>
          <cell r="B1716" t="str">
            <v>AIP-PDO-P1701009-T-1146</v>
          </cell>
          <cell r="C1716">
            <v>43565</v>
          </cell>
          <cell r="D1716" t="str">
            <v>KHF-00-104265-HX-6180-01301-0000</v>
          </cell>
          <cell r="E1716" t="str">
            <v>Radiation Safety Procedure by HITECH</v>
          </cell>
          <cell r="F1716">
            <v>1</v>
          </cell>
          <cell r="G1716" t="str">
            <v>IFR</v>
          </cell>
        </row>
        <row r="1717">
          <cell r="A1717" t="str">
            <v>KHF-00-104265-BA-6070-41012-0000-2</v>
          </cell>
          <cell r="B1717" t="str">
            <v>AIP-PDO-P1701009-T-1147</v>
          </cell>
          <cell r="C1717">
            <v>43565</v>
          </cell>
          <cell r="D1717" t="str">
            <v>KHF-00-104265-BA-6070-41012-0000</v>
          </cell>
          <cell r="E1717" t="str">
            <v>Method Statement for Extended Hour Working - Civil Works of GIS, GTG Building and GTG Equipment Area, GIS Surrounding &amp; Transformer Area, GTG Surrounding &amp; Transformer Area</v>
          </cell>
          <cell r="F1717">
            <v>2</v>
          </cell>
          <cell r="G1717" t="str">
            <v>IFA</v>
          </cell>
        </row>
        <row r="1718">
          <cell r="A1718" t="str">
            <v>KHF-00-104265-BA-6065-01311-0000-2</v>
          </cell>
          <cell r="B1718" t="str">
            <v>AIP-PDO-P1701009-T-1148</v>
          </cell>
          <cell r="C1718">
            <v>43565</v>
          </cell>
          <cell r="D1718" t="str">
            <v>KHF-00-104265-BA-6065-01311-0000</v>
          </cell>
          <cell r="E1718" t="str">
            <v>Welding Procedure Specification for Stainless Steel Welding WPS No : WPS 513 (Non-Sour Service)</v>
          </cell>
          <cell r="F1718">
            <v>2</v>
          </cell>
          <cell r="G1718" t="str">
            <v>IFA</v>
          </cell>
        </row>
        <row r="1719">
          <cell r="A1719" t="str">
            <v>KHF-00-104265-BA-6065-01313-0000-1</v>
          </cell>
          <cell r="B1719" t="str">
            <v>AIP-PDO-P1701009-T-1149</v>
          </cell>
          <cell r="C1719">
            <v>43565</v>
          </cell>
          <cell r="D1719" t="str">
            <v>KHF-00-104265-BA-6065-01313-0000</v>
          </cell>
          <cell r="E1719" t="str">
            <v>WPS &amp; PQR Register - Non Boiler External and General Piping (Non Sour Service)</v>
          </cell>
          <cell r="F1719">
            <v>1</v>
          </cell>
          <cell r="G1719" t="str">
            <v>IFR</v>
          </cell>
        </row>
        <row r="1720">
          <cell r="A1720" t="str">
            <v>KHF-00-104265-QA-5733-22006-0000-4</v>
          </cell>
          <cell r="B1720" t="str">
            <v>AIP-PDO-P1701009-T-1150</v>
          </cell>
          <cell r="C1720">
            <v>43565</v>
          </cell>
          <cell r="D1720" t="str">
            <v>KHF-00-104265-QA-5733-22006-0000</v>
          </cell>
          <cell r="E1720" t="str">
            <v>Inspection and Test Plan for Site Fabrication, Welding, Erection and Hydrotesting of Piping for SS &amp; Alloy-825</v>
          </cell>
          <cell r="F1720">
            <v>4</v>
          </cell>
          <cell r="G1720" t="str">
            <v>IFA</v>
          </cell>
        </row>
        <row r="1721">
          <cell r="A1721" t="str">
            <v>KHF-00-104265-RA-8241-51194-0000-2</v>
          </cell>
          <cell r="B1721" t="str">
            <v>AIP-PDO-P1701009-T-1151</v>
          </cell>
          <cell r="C1721">
            <v>43566</v>
          </cell>
          <cell r="D1721" t="str">
            <v>KHF-00-104265-RA-8241-51194-0000</v>
          </cell>
          <cell r="E1721" t="str">
            <v>Material Approval Sheet for Gratings</v>
          </cell>
          <cell r="F1721">
            <v>2</v>
          </cell>
          <cell r="G1721" t="str">
            <v>IFA</v>
          </cell>
        </row>
        <row r="1722">
          <cell r="A1722" t="str">
            <v>rejected by PDO</v>
          </cell>
          <cell r="B1722" t="str">
            <v>AIP-PDO-P1701009-T-1152</v>
          </cell>
          <cell r="C1722">
            <v>43566</v>
          </cell>
          <cell r="D1722" t="str">
            <v>KHF-00-104265-QA-6050-01301-0000</v>
          </cell>
          <cell r="E1722" t="str">
            <v>Welding Consumable Control Procedure</v>
          </cell>
          <cell r="F1722">
            <v>1</v>
          </cell>
          <cell r="G1722" t="str">
            <v>IFR</v>
          </cell>
        </row>
        <row r="1723">
          <cell r="A1723" t="str">
            <v>KHF-00-104265-QA-6050-01301-0000-1</v>
          </cell>
          <cell r="B1723" t="str">
            <v>AIP-PDO-P1701009-T-1153</v>
          </cell>
          <cell r="C1723">
            <v>43566</v>
          </cell>
          <cell r="D1723" t="str">
            <v>KHF-00-104265-QA-6050-01301-0000</v>
          </cell>
          <cell r="E1723" t="str">
            <v>WELDING CONSUMABLE CONTROL PROCEDURE - JEL - HRSG &amp; GTG SCOPE</v>
          </cell>
          <cell r="F1723">
            <v>1</v>
          </cell>
          <cell r="G1723" t="str">
            <v>IFR</v>
          </cell>
        </row>
        <row r="1724">
          <cell r="A1724" t="str">
            <v>KHF-00-104265-AA-3341-00157-0000-1</v>
          </cell>
          <cell r="B1724" t="str">
            <v>AIP-PDO-P1701009-T-1154</v>
          </cell>
          <cell r="C1724">
            <v>43566</v>
          </cell>
          <cell r="D1724" t="str">
            <v>KHF-00-104265-AA-3341-00157-0000</v>
          </cell>
          <cell r="E1724" t="str">
            <v>CV OF MR. SHAILESH VASAVA - CATHODIC PROTECTION ENGINEER</v>
          </cell>
          <cell r="F1724">
            <v>1</v>
          </cell>
          <cell r="G1724" t="str">
            <v>IFA</v>
          </cell>
        </row>
        <row r="1725">
          <cell r="A1725" t="str">
            <v>KHF-00-104265-AA-3341-60131-0000-2</v>
          </cell>
          <cell r="B1725" t="str">
            <v>AIP-PDO-P1701009-T-1155</v>
          </cell>
          <cell r="C1725">
            <v>43569</v>
          </cell>
          <cell r="D1725" t="str">
            <v>KHF-00-104265-AA-3341-60131-0000</v>
          </cell>
          <cell r="E1725" t="str">
            <v>CV OF MR. SHAIKH TANVEER - QC INSPECTOR - HVAC</v>
          </cell>
          <cell r="F1725">
            <v>2</v>
          </cell>
          <cell r="G1725" t="str">
            <v>IFA</v>
          </cell>
        </row>
        <row r="1726">
          <cell r="A1726" t="str">
            <v>KHF-00-104265-BA-6070-01310-0000-2</v>
          </cell>
          <cell r="B1726" t="str">
            <v>AIP-PDO-P1701009-T-1156</v>
          </cell>
          <cell r="C1726">
            <v>43569</v>
          </cell>
          <cell r="D1726" t="str">
            <v>KHF-00-104265-BA-6070-01310-0000</v>
          </cell>
          <cell r="E1726" t="str">
            <v>Method Statement for Mechanical Installation of Gas Turbine, Generator, Load Gear and its Auxiliaries</v>
          </cell>
          <cell r="F1726">
            <v>2</v>
          </cell>
          <cell r="G1726" t="str">
            <v>IFA</v>
          </cell>
        </row>
        <row r="1727">
          <cell r="A1727" t="str">
            <v>KHF-00-104265-CX-4180-10005-0001-11</v>
          </cell>
          <cell r="B1727" t="str">
            <v>AIP-PDO-P1701009-T-1157</v>
          </cell>
          <cell r="C1727">
            <v>43569</v>
          </cell>
          <cell r="D1727" t="str">
            <v>KHF-00-104265-CX-4180-10005-0001</v>
          </cell>
          <cell r="E1727" t="str">
            <v>Site Camp Layout</v>
          </cell>
          <cell r="F1727">
            <v>11</v>
          </cell>
          <cell r="G1727" t="str">
            <v>IFA</v>
          </cell>
        </row>
        <row r="1728">
          <cell r="A1728" t="str">
            <v>KHF-00-104265-BA-6065-00653-0000-1</v>
          </cell>
          <cell r="B1728" t="str">
            <v>AIP-PDO-P1701009-T-1158</v>
          </cell>
          <cell r="C1728">
            <v>43569</v>
          </cell>
          <cell r="D1728" t="str">
            <v>KHF-00-104265-BA-6065-00653-0000</v>
          </cell>
          <cell r="E1728" t="str">
            <v>Welding Procedure Specification (WPS) / PQR-053 (AI-WPS-M-739FW) (G18PM1008)</v>
          </cell>
          <cell r="F1728">
            <v>1</v>
          </cell>
          <cell r="G1728" t="str">
            <v>IFR</v>
          </cell>
        </row>
        <row r="1729">
          <cell r="A1729" t="str">
            <v>KHF-00-104265-BA-6065-00660-0000-1</v>
          </cell>
          <cell r="B1729" t="str">
            <v>AIP-PDO-P1701009-T-1158</v>
          </cell>
          <cell r="C1729">
            <v>43569</v>
          </cell>
          <cell r="D1729" t="str">
            <v>KHF-00-104265-BA-6065-00660-0000</v>
          </cell>
          <cell r="E1729" t="str">
            <v>Welding Procedure Specification (WPS) / PQR-060 (AI-WPS-M-738FW) (G18PM1008)</v>
          </cell>
          <cell r="F1729">
            <v>1</v>
          </cell>
          <cell r="G1729" t="str">
            <v>IFR</v>
          </cell>
        </row>
        <row r="1730">
          <cell r="A1730" t="str">
            <v>KHF-00-104265-AA-6944-10075-0000-1</v>
          </cell>
          <cell r="B1730" t="str">
            <v>AIP-PDO-P1701009-T-1159</v>
          </cell>
          <cell r="C1730">
            <v>43569</v>
          </cell>
          <cell r="D1730" t="str">
            <v>KHF-00-104265-AA-6944-10075-0000</v>
          </cell>
          <cell r="E1730" t="str">
            <v>Weekly Progress Report No. 075</v>
          </cell>
          <cell r="F1730">
            <v>1</v>
          </cell>
          <cell r="G1730" t="str">
            <v>IFR</v>
          </cell>
        </row>
        <row r="1731">
          <cell r="A1731" t="str">
            <v>KHF-00-104265-BA-6065-00658-0000-1</v>
          </cell>
          <cell r="B1731" t="str">
            <v>AIP-PDO-P1701009-T-1160</v>
          </cell>
          <cell r="C1731">
            <v>43569</v>
          </cell>
          <cell r="D1731" t="str">
            <v>KHF-00-104265-BA-6065-00658-0000</v>
          </cell>
          <cell r="E1731" t="str">
            <v>WPS Register - Piping Support WPS, AIM-WPSR-PS-00100</v>
          </cell>
          <cell r="F1731">
            <v>1</v>
          </cell>
          <cell r="G1731" t="str">
            <v>IFR</v>
          </cell>
        </row>
        <row r="1732">
          <cell r="A1732" t="str">
            <v>KHF-00-104265-BA-6065-00654-0000-1</v>
          </cell>
          <cell r="B1732" t="str">
            <v>AIP-PDO-P1701009-T-1161</v>
          </cell>
          <cell r="C1732">
            <v>43570</v>
          </cell>
          <cell r="D1732" t="str">
            <v>KHF-00-104265-BA-6065-00654-0000</v>
          </cell>
          <cell r="E1732" t="str">
            <v>Welding Procedure Specification (WPS) PQR-054 (AI-WPS-T-742FW) (G17PM1008)</v>
          </cell>
          <cell r="F1732">
            <v>1</v>
          </cell>
          <cell r="G1732" t="str">
            <v>IFR</v>
          </cell>
        </row>
        <row r="1733">
          <cell r="A1733" t="str">
            <v>KHF-00-104265-BA-6065-00662-0000-1</v>
          </cell>
          <cell r="B1733" t="str">
            <v>AIP-PDO-P1701009-T-1161</v>
          </cell>
          <cell r="C1733">
            <v>43570</v>
          </cell>
          <cell r="D1733" t="str">
            <v>KHF-00-104265-BA-6065-00662-0000</v>
          </cell>
          <cell r="E1733" t="str">
            <v>Welding Procedure Specification (WPS) PQR-062 (AI-WPS-M-740FW) (G18PM1008)</v>
          </cell>
          <cell r="F1733">
            <v>1</v>
          </cell>
          <cell r="G1733" t="str">
            <v>IFR</v>
          </cell>
        </row>
        <row r="1734">
          <cell r="A1734" t="str">
            <v>KHF-00-104265-AA-3347-30040-0000-1</v>
          </cell>
          <cell r="B1734" t="str">
            <v>AIP-PDO-P1701009-T-1162</v>
          </cell>
          <cell r="C1734">
            <v>43570</v>
          </cell>
          <cell r="D1734" t="str">
            <v>KHF-00-104265-AA-3347-30040-0000</v>
          </cell>
          <cell r="E1734" t="str">
            <v>MINUTES OF WEEKLY REVIEW MEETING (SITE) NO. 40</v>
          </cell>
          <cell r="F1734">
            <v>1</v>
          </cell>
          <cell r="G1734" t="str">
            <v>IFI</v>
          </cell>
        </row>
        <row r="1735">
          <cell r="A1735" t="str">
            <v>KHF-00-104265-AA-3341-60163-0000-1</v>
          </cell>
          <cell r="B1735" t="str">
            <v>AIP-PDO-P1701009-T-1163</v>
          </cell>
          <cell r="C1735">
            <v>43570</v>
          </cell>
          <cell r="D1735" t="str">
            <v>KHF-00-104265-AA-3341-60163-0000</v>
          </cell>
          <cell r="E1735" t="str">
            <v>CV OF MR. PANIADIMAI REPHEAL - QC INSPECTOR - CIVIL</v>
          </cell>
          <cell r="F1735">
            <v>1</v>
          </cell>
          <cell r="G1735" t="str">
            <v>IFA</v>
          </cell>
        </row>
        <row r="1736">
          <cell r="A1736" t="str">
            <v>KHF-00-104265-BA-6065-00652-0000-1</v>
          </cell>
          <cell r="B1736" t="str">
            <v>AIP-PDO-P1701009-T-1164</v>
          </cell>
          <cell r="C1736">
            <v>43571</v>
          </cell>
          <cell r="D1736" t="str">
            <v>KHF-00-104265-BA-6065-00652-0000</v>
          </cell>
          <cell r="E1736" t="str">
            <v>Welding Procedure Specification (WPS) PQR-052 (AI-WPS-T-739FW) (G8PM1008)</v>
          </cell>
          <cell r="F1736">
            <v>1</v>
          </cell>
          <cell r="G1736" t="str">
            <v>IFR</v>
          </cell>
        </row>
        <row r="1737">
          <cell r="A1737" t="str">
            <v>KHF-00-104265-BA-6065-00659-0000-1</v>
          </cell>
          <cell r="B1737" t="str">
            <v>AIP-PDO-P1701009-T-1164</v>
          </cell>
          <cell r="C1737">
            <v>43571</v>
          </cell>
          <cell r="D1737" t="str">
            <v>KHF-00-104265-BA-6065-00659-0000</v>
          </cell>
          <cell r="E1737" t="str">
            <v>Welding Procedure Specification (WPS) PQR-059 (AI-WPS-T-738FW) (G8PM1008)</v>
          </cell>
          <cell r="F1737">
            <v>1</v>
          </cell>
          <cell r="G1737" t="str">
            <v>IFR</v>
          </cell>
        </row>
        <row r="1738">
          <cell r="A1738" t="str">
            <v>KHF-00-104265-BA-6065-50013-0000-1</v>
          </cell>
          <cell r="B1738" t="str">
            <v>AIP-PDO-P1701009-T-1165</v>
          </cell>
          <cell r="C1738">
            <v>43571</v>
          </cell>
          <cell r="D1738" t="str">
            <v>KHF-00-104265-BA-6065-50013-0000</v>
          </cell>
          <cell r="E1738" t="str">
            <v>WPS - Pipe Shoe Support to Wear Pad - Pipeline PL-1, PL-2, PL-3 &amp; PL-4 (AIP-WPS-PL-012)</v>
          </cell>
          <cell r="F1738">
            <v>1</v>
          </cell>
          <cell r="G1738" t="str">
            <v>IFR</v>
          </cell>
        </row>
        <row r="1739">
          <cell r="A1739" t="str">
            <v>KHF-00-104265-BA-6065-50014-0000-1</v>
          </cell>
          <cell r="B1739" t="str">
            <v>AIP-PDO-P1701009-T-1165</v>
          </cell>
          <cell r="C1739">
            <v>43571</v>
          </cell>
          <cell r="D1739" t="str">
            <v>KHF-00-104265-BA-6065-50014-0000</v>
          </cell>
          <cell r="E1739" t="str">
            <v>WPS - Wear Pad to Pipe - Pipeline PL-1, PL-2, PL-3 &amp; PL-4 (AIP-WPS-PL-013)</v>
          </cell>
          <cell r="F1739">
            <v>1</v>
          </cell>
          <cell r="G1739" t="str">
            <v>IFR</v>
          </cell>
        </row>
        <row r="1740">
          <cell r="A1740" t="str">
            <v>KHF-00-104265-BA-6065-00655-0000-1</v>
          </cell>
          <cell r="B1740" t="str">
            <v>AIP-PDO-P1701009-T-1166</v>
          </cell>
          <cell r="C1740">
            <v>43572</v>
          </cell>
          <cell r="D1740" t="str">
            <v>KHF-00-104265-BA-6065-00655-0000</v>
          </cell>
          <cell r="E1740" t="str">
            <v>Welding Procedure Specification (WPS) PQR-055 (AI-WPS-M-742FW) (G18PM1008)</v>
          </cell>
          <cell r="F1740">
            <v>1</v>
          </cell>
          <cell r="G1740" t="str">
            <v>IFR</v>
          </cell>
        </row>
        <row r="1741">
          <cell r="A1741" t="str">
            <v>KHF-00-104265-BA-6065-00661-0000-1</v>
          </cell>
          <cell r="B1741" t="str">
            <v>AIP-PDO-P1701009-T-1166</v>
          </cell>
          <cell r="C1741">
            <v>43572</v>
          </cell>
          <cell r="D1741" t="str">
            <v>KHF-00-104265-BA-6065-00661-0000</v>
          </cell>
          <cell r="E1741" t="str">
            <v>Welding Procedure Specification (WPS) PQR-061 (AI-WPS-T-740FW) (G8PM1008)</v>
          </cell>
          <cell r="F1741">
            <v>1</v>
          </cell>
          <cell r="G1741" t="str">
            <v>IFR</v>
          </cell>
        </row>
        <row r="1742">
          <cell r="A1742" t="str">
            <v>KHF-00-104265-AA-3341-60164-0000-1</v>
          </cell>
          <cell r="B1742" t="str">
            <v>AIP-PDO-P1701009-T-1167</v>
          </cell>
          <cell r="C1742">
            <v>43572</v>
          </cell>
          <cell r="D1742" t="str">
            <v>KHF-00-104265-AA-3341-60164-0000</v>
          </cell>
          <cell r="E1742" t="str">
            <v>CV OF MR. THIRAVIAM  RAYAPANDI (JUSTIN) - WELDING ENGINEER</v>
          </cell>
          <cell r="F1742">
            <v>1</v>
          </cell>
          <cell r="G1742" t="str">
            <v>IFA</v>
          </cell>
        </row>
        <row r="1743">
          <cell r="A1743" t="str">
            <v>KHF-00-104265-BA-6065-00656-0000-1</v>
          </cell>
          <cell r="B1743" t="str">
            <v>AIP-PDO-P1701009-T-1168</v>
          </cell>
          <cell r="C1743">
            <v>43573</v>
          </cell>
          <cell r="D1743" t="str">
            <v>KHF-00-104265-BA-6065-00656-0000</v>
          </cell>
          <cell r="E1743" t="str">
            <v>Welding Procedure Specification (WPS) PQR-056 (AI-WPS-T-744FW) (G18PM1008)</v>
          </cell>
          <cell r="F1743">
            <v>1</v>
          </cell>
          <cell r="G1743" t="str">
            <v>IFR</v>
          </cell>
        </row>
        <row r="1744">
          <cell r="A1744" t="str">
            <v>KHF-00-104265-BA-6065-00657-0000-1</v>
          </cell>
          <cell r="B1744" t="str">
            <v>AIP-PDO-P1701009-T-1168</v>
          </cell>
          <cell r="C1744">
            <v>43573</v>
          </cell>
          <cell r="D1744" t="str">
            <v>KHF-00-104265-BA-6065-00657-0000</v>
          </cell>
          <cell r="E1744" t="str">
            <v>Welding Procedure Specification (WPS) PQR-057 (AI-WPS-M-744FW) (G18PM1008)</v>
          </cell>
          <cell r="F1744">
            <v>1</v>
          </cell>
          <cell r="G1744" t="str">
            <v>IFR</v>
          </cell>
        </row>
        <row r="1745">
          <cell r="A1745" t="str">
            <v>KHF-00-104265-QA-0880-10064-0000-1</v>
          </cell>
          <cell r="B1745" t="str">
            <v>AIP-PDO-P1701009-T-1169</v>
          </cell>
          <cell r="C1745">
            <v>43573</v>
          </cell>
          <cell r="D1745" t="str">
            <v>KHF-00-104265-QA-0880-10064-0000</v>
          </cell>
          <cell r="E1745" t="str">
            <v>EXTERNAL AUDIT REPORT (GULF PETROCHEMICAL SERVICES LLC)</v>
          </cell>
          <cell r="F1745">
            <v>1</v>
          </cell>
          <cell r="G1745" t="str">
            <v>IFI</v>
          </cell>
        </row>
        <row r="1746">
          <cell r="A1746" t="str">
            <v>KHF-00-104265-AA-3347-30041-0000-1</v>
          </cell>
          <cell r="B1746" t="str">
            <v>AIP-PDO-P1701009-T-1170</v>
          </cell>
          <cell r="C1746">
            <v>43573</v>
          </cell>
          <cell r="D1746" t="str">
            <v>KHF-00-104265-AA-3347-30041-0000</v>
          </cell>
          <cell r="E1746" t="str">
            <v>MINUTES OF WEEKLY REVIEW MEETING (SITE) NO. 41</v>
          </cell>
          <cell r="F1746">
            <v>1</v>
          </cell>
          <cell r="G1746" t="str">
            <v>IFI</v>
          </cell>
        </row>
        <row r="1747">
          <cell r="A1747" t="str">
            <v>KHF-00-104265-AA-3341-01301-0000-1</v>
          </cell>
          <cell r="B1747" t="str">
            <v>AIP-PDO-P1701009-T-1171</v>
          </cell>
          <cell r="C1747">
            <v>43573</v>
          </cell>
          <cell r="D1747" t="str">
            <v>KHF-00-104265-AA-3341-01301-0000</v>
          </cell>
          <cell r="E1747" t="str">
            <v>CV OF MR. KESAVAN - HSE ADVISOR</v>
          </cell>
          <cell r="F1747">
            <v>1</v>
          </cell>
          <cell r="G1747" t="str">
            <v>IFA</v>
          </cell>
        </row>
        <row r="1748">
          <cell r="A1748" t="str">
            <v>KHF-00-104265-AA-3341-00156-0000-2</v>
          </cell>
          <cell r="B1748" t="str">
            <v>AIP-PDO-P1701009-T-1172</v>
          </cell>
          <cell r="C1748">
            <v>43573</v>
          </cell>
          <cell r="D1748" t="str">
            <v>KHF-00-104265-AA-3341-00156-0000</v>
          </cell>
          <cell r="E1748" t="str">
            <v>CV OF MR. SARAVANABHAVAN - SR. HSE ADVISOR</v>
          </cell>
          <cell r="F1748">
            <v>2</v>
          </cell>
          <cell r="G1748" t="str">
            <v>IFA</v>
          </cell>
        </row>
        <row r="1749">
          <cell r="A1749" t="str">
            <v>KHF-00-104265-BA-6070-44009-0000-1</v>
          </cell>
          <cell r="B1749" t="str">
            <v>AIP-PDO-P1701009-T-1173</v>
          </cell>
          <cell r="C1749">
            <v>43576</v>
          </cell>
          <cell r="D1749" t="str">
            <v>KHF-00-104265-BA-6070-44009-0000</v>
          </cell>
          <cell r="E1749" t="str">
            <v>Method Statement for Installation and Testing of Impulse and Airline Tubing</v>
          </cell>
          <cell r="F1749">
            <v>1</v>
          </cell>
          <cell r="G1749" t="str">
            <v>IFR</v>
          </cell>
        </row>
        <row r="1750">
          <cell r="A1750" t="str">
            <v>KHF-00-104265-QA-5733-01311-0000-1</v>
          </cell>
          <cell r="B1750" t="str">
            <v>AIP-PDO-P1701009-T-1174</v>
          </cell>
          <cell r="C1750">
            <v>43576</v>
          </cell>
          <cell r="D1750" t="str">
            <v>KHF-00-104265-QA-5733-01311-0000</v>
          </cell>
          <cell r="E1750" t="str">
            <v>ITP for Installation of Non Boiler External and General Piping - Stainless Steel</v>
          </cell>
          <cell r="F1750">
            <v>1</v>
          </cell>
          <cell r="G1750" t="str">
            <v>IFR</v>
          </cell>
        </row>
        <row r="1751">
          <cell r="A1751" t="str">
            <v>KHF-00-104265-FA-5765-10040-0000-7</v>
          </cell>
          <cell r="B1751" t="str">
            <v>AIP-PDO-P1701009-T-1175</v>
          </cell>
          <cell r="C1751">
            <v>43576</v>
          </cell>
          <cell r="D1751" t="str">
            <v>KHF-00-104265-FA-5765-10040-0000</v>
          </cell>
          <cell r="E1751" t="str">
            <v>PROJECT SCHEDULE - LEVEL 04</v>
          </cell>
          <cell r="F1751">
            <v>7</v>
          </cell>
          <cell r="G1751" t="str">
            <v>IFA</v>
          </cell>
        </row>
        <row r="1752">
          <cell r="A1752" t="str">
            <v>KHF-00-104265-QA-6050-00106-0000-8</v>
          </cell>
          <cell r="B1752" t="str">
            <v>AIP-PDO-P1701009-T-1176</v>
          </cell>
          <cell r="C1752">
            <v>43576</v>
          </cell>
          <cell r="D1752" t="str">
            <v>KHF-00-104265-QA-6050-00106-0000</v>
          </cell>
          <cell r="E1752" t="str">
            <v>Quality Control Plan for Installation of CS Pipelines</v>
          </cell>
          <cell r="F1752">
            <v>8</v>
          </cell>
          <cell r="G1752" t="str">
            <v>IFA</v>
          </cell>
        </row>
        <row r="1753">
          <cell r="A1753" t="str">
            <v>KHF-00-104265-HX-5880-10014-0000-5</v>
          </cell>
          <cell r="B1753" t="str">
            <v>AIP-PDO-P1701009-T-1177</v>
          </cell>
          <cell r="C1753">
            <v>43576</v>
          </cell>
          <cell r="D1753" t="str">
            <v>KHF-00-104265-HX-5880-10014-0000</v>
          </cell>
          <cell r="E1753" t="str">
            <v>HSE Monitoring Plan</v>
          </cell>
          <cell r="F1753">
            <v>5</v>
          </cell>
          <cell r="G1753" t="str">
            <v>IFA</v>
          </cell>
        </row>
        <row r="1754">
          <cell r="A1754" t="str">
            <v>KHF-00-104265-RA-8241-51201-0000-1</v>
          </cell>
          <cell r="B1754" t="str">
            <v>AIP-PDO-P1701009-T-1178</v>
          </cell>
          <cell r="C1754">
            <v>43577</v>
          </cell>
          <cell r="D1754" t="str">
            <v>KHF-00-104265-RA-8241-51201-0000</v>
          </cell>
          <cell r="E1754" t="str">
            <v>Material Approval Sheet for Electrical Safety Sign Boards</v>
          </cell>
          <cell r="F1754">
            <v>1</v>
          </cell>
          <cell r="G1754" t="str">
            <v>IFA</v>
          </cell>
        </row>
        <row r="1755">
          <cell r="A1755" t="str">
            <v>KHF-00-104265-RA-6038-01311-0000-1</v>
          </cell>
          <cell r="B1755" t="str">
            <v>AIP-PDO-P1701009-T-1179</v>
          </cell>
          <cell r="C1755">
            <v>43578</v>
          </cell>
          <cell r="D1755" t="str">
            <v>KHF-00-104265-RA-6038-01311-0000</v>
          </cell>
          <cell r="E1755" t="str">
            <v>Waste Management Procedure by HITECH</v>
          </cell>
          <cell r="F1755">
            <v>1</v>
          </cell>
          <cell r="G1755" t="str">
            <v>IFR</v>
          </cell>
        </row>
        <row r="1756">
          <cell r="A1756" t="str">
            <v>KHF-00-104265-AA-6944-10076-0000-1</v>
          </cell>
          <cell r="B1756" t="str">
            <v>AIP-PDO-P1701009-T-1180</v>
          </cell>
          <cell r="C1756">
            <v>43578</v>
          </cell>
          <cell r="D1756" t="str">
            <v>KHF-00-104265-AA-6944-10076-0000</v>
          </cell>
          <cell r="E1756" t="str">
            <v>Weekly Progress Report No. 076</v>
          </cell>
          <cell r="F1756">
            <v>1</v>
          </cell>
          <cell r="G1756" t="str">
            <v>IFR</v>
          </cell>
        </row>
        <row r="1757">
          <cell r="A1757" t="str">
            <v>KHF-00-104265-AA-3341-60165-0000-1</v>
          </cell>
          <cell r="B1757" t="str">
            <v>AIP-PDO-P1701009-T-1181</v>
          </cell>
          <cell r="C1757">
            <v>43579</v>
          </cell>
          <cell r="D1757" t="str">
            <v>KHF-00-104265-AA-3341-60165-0000</v>
          </cell>
          <cell r="E1757" t="str">
            <v>CV OF MR. MANIAR PAVAN ASHOKKUMAR - WELDING ENGINEER</v>
          </cell>
          <cell r="F1757">
            <v>1</v>
          </cell>
          <cell r="G1757" t="str">
            <v>IFA</v>
          </cell>
        </row>
        <row r="1758">
          <cell r="A1758" t="str">
            <v>KHF-00-104265-AA-3341-60166-0000-1</v>
          </cell>
          <cell r="B1758" t="str">
            <v>AIP-PDO-P1701009-T-1181</v>
          </cell>
          <cell r="C1758">
            <v>43579</v>
          </cell>
          <cell r="D1758" t="str">
            <v>KHF-00-104265-AA-3341-60166-0000</v>
          </cell>
          <cell r="E1758" t="str">
            <v>CV OF MR. SUNIL SHINGE - WELDING ENGINEER</v>
          </cell>
          <cell r="F1758">
            <v>1</v>
          </cell>
          <cell r="G1758" t="str">
            <v>IFA</v>
          </cell>
        </row>
        <row r="1759">
          <cell r="A1759" t="str">
            <v>KHF-00-104265-AA-3341-60167-0000-1</v>
          </cell>
          <cell r="B1759" t="str">
            <v>AIP-PDO-P1701009-T-1181</v>
          </cell>
          <cell r="C1759">
            <v>43579</v>
          </cell>
          <cell r="D1759" t="str">
            <v>KHF-00-104265-AA-3341-60167-0000</v>
          </cell>
          <cell r="E1759" t="str">
            <v>CV OF MR. AKASH SHASHIKANT DANGE - WELDING ENGINEER</v>
          </cell>
          <cell r="F1759">
            <v>1</v>
          </cell>
          <cell r="G1759" t="str">
            <v>IFA</v>
          </cell>
        </row>
        <row r="1760">
          <cell r="A1760" t="str">
            <v>KHF-00-104265-RA-6038-01305-0000-2</v>
          </cell>
          <cell r="B1760" t="str">
            <v>AIP-PDO-P1701009-T-1182</v>
          </cell>
          <cell r="C1760">
            <v>43580</v>
          </cell>
          <cell r="D1760" t="str">
            <v>KHF-00-104265-RA-6038-01305-0000</v>
          </cell>
          <cell r="E1760" t="str">
            <v>Procedure for Hardness Testing</v>
          </cell>
          <cell r="F1760">
            <v>2</v>
          </cell>
          <cell r="G1760" t="str">
            <v>IFA</v>
          </cell>
        </row>
        <row r="1761">
          <cell r="A1761" t="str">
            <v>KHF-00-104265-RA-6038-01310-0000-2</v>
          </cell>
          <cell r="B1761" t="str">
            <v>AIP-PDO-P1701009-T-1182</v>
          </cell>
          <cell r="C1761">
            <v>43580</v>
          </cell>
          <cell r="D1761" t="str">
            <v>KHF-00-104265-RA-6038-01310-0000</v>
          </cell>
          <cell r="E1761" t="str">
            <v>Pre-Heating Procedure for Piping</v>
          </cell>
          <cell r="F1761">
            <v>2</v>
          </cell>
          <cell r="G1761" t="str">
            <v>IFA</v>
          </cell>
        </row>
        <row r="1762">
          <cell r="A1762" t="str">
            <v>KHF-00-104265-AA-3341-01302-0000-1</v>
          </cell>
          <cell r="B1762" t="str">
            <v>AIP-PDO-P1701009-T-1183</v>
          </cell>
          <cell r="C1762">
            <v>43580</v>
          </cell>
          <cell r="D1762" t="str">
            <v>KHF-00-104265-AA-3341-01302-0000</v>
          </cell>
          <cell r="E1762" t="str">
            <v>CV of Mr. Ananta Kumar - HSE Advisor</v>
          </cell>
          <cell r="F1762">
            <v>1</v>
          </cell>
          <cell r="G1762" t="str">
            <v>IFR</v>
          </cell>
        </row>
        <row r="1763">
          <cell r="A1763" t="str">
            <v>KHF-00-104265-RA-8241-51202-0000-1</v>
          </cell>
          <cell r="B1763" t="str">
            <v>AIP-PDO-P1701009-T-1184</v>
          </cell>
          <cell r="C1763">
            <v>43583</v>
          </cell>
          <cell r="D1763" t="str">
            <v>KHF-00-104265-RA-8241-51202-0000</v>
          </cell>
          <cell r="E1763" t="str">
            <v>Material Approval Sheet of Carbon Steel Pipes (21/2’’ 3’’ &amp; 5’’) for Safety Post, Fire Extinguisher Post &amp; Roof Mounted Lighting Protection (Power Plant &amp; Off Plot)</v>
          </cell>
          <cell r="F1763">
            <v>1</v>
          </cell>
          <cell r="G1763" t="str">
            <v>IFA</v>
          </cell>
        </row>
        <row r="1764">
          <cell r="A1764" t="str">
            <v>KHF-00-104265-QA-6050-00110-0000-5</v>
          </cell>
          <cell r="B1764" t="str">
            <v>AIP-PDO-P1701009-T-1185</v>
          </cell>
          <cell r="C1764">
            <v>43583</v>
          </cell>
          <cell r="D1764" t="str">
            <v>KHF-00-104265-QA-6050-00110-0000</v>
          </cell>
          <cell r="E1764" t="str">
            <v>Quality Control Plan for GRE Pipe Line Installation &amp; Testing of Adhesive Bonding</v>
          </cell>
          <cell r="F1764">
            <v>5</v>
          </cell>
          <cell r="G1764" t="str">
            <v>IFA</v>
          </cell>
        </row>
        <row r="1765">
          <cell r="A1765" t="str">
            <v>KHF-00-104265-AA-6944-10077-0000-1</v>
          </cell>
          <cell r="B1765" t="str">
            <v>AIP-PDO-P1701009-T-1186</v>
          </cell>
          <cell r="C1765">
            <v>43583</v>
          </cell>
          <cell r="D1765" t="str">
            <v>KHF-00-104265-AA-6944-10077-0000</v>
          </cell>
          <cell r="E1765" t="str">
            <v>Weekly Progress Report No. 077</v>
          </cell>
          <cell r="F1765">
            <v>1</v>
          </cell>
          <cell r="G1765" t="str">
            <v>IFR</v>
          </cell>
        </row>
        <row r="1766">
          <cell r="A1766" t="str">
            <v>KHF-00-104265-AA-3341-60168-0000-1</v>
          </cell>
          <cell r="B1766" t="str">
            <v>AIP-PDO-P1701009-T-1187</v>
          </cell>
          <cell r="C1766">
            <v>43584</v>
          </cell>
          <cell r="D1766" t="str">
            <v>KHF-00-104265-AA-3341-60168-0000</v>
          </cell>
          <cell r="E1766" t="str">
            <v>CV of Mr. Naveen D’ Souza - QCI Electrical</v>
          </cell>
          <cell r="F1766">
            <v>1</v>
          </cell>
          <cell r="G1766" t="str">
            <v>IFA</v>
          </cell>
        </row>
        <row r="1767">
          <cell r="A1767" t="str">
            <v>KHF-00-104265-RA-6038-10076-0000-1</v>
          </cell>
          <cell r="B1767" t="str">
            <v>AIP-PDO-P1701009-T-1188</v>
          </cell>
          <cell r="C1767">
            <v>43584</v>
          </cell>
          <cell r="D1767" t="str">
            <v>KHF-00-104265-RA-6038-10076-0000</v>
          </cell>
          <cell r="E1767" t="str">
            <v>Procedure for Visual Inspection of Piping using Boroscope by M/s GTIS</v>
          </cell>
          <cell r="F1767">
            <v>1</v>
          </cell>
          <cell r="G1767" t="str">
            <v>IFR</v>
          </cell>
        </row>
        <row r="1768">
          <cell r="A1768" t="str">
            <v>KHF-00-104265-BA-6070-43015-0000-1</v>
          </cell>
          <cell r="B1768" t="str">
            <v>AIP-PDO-P1701009-T-1189</v>
          </cell>
          <cell r="C1768">
            <v>43590</v>
          </cell>
          <cell r="D1768" t="str">
            <v>KHF-00-104265-BA-6070-43015-0000</v>
          </cell>
          <cell r="E1768" t="str">
            <v>Method Statement for High Voltage Testing and Commissioning Procedure for 132 KV XLPE Cables</v>
          </cell>
          <cell r="F1768">
            <v>1</v>
          </cell>
          <cell r="G1768" t="str">
            <v>IFR</v>
          </cell>
        </row>
        <row r="1769">
          <cell r="A1769" t="str">
            <v>KHF-00-104265-AA-3341-60120-0000-3</v>
          </cell>
          <cell r="B1769" t="str">
            <v>AIP-PDO-P1701009-T-1190</v>
          </cell>
          <cell r="C1769">
            <v>43590</v>
          </cell>
          <cell r="D1769" t="str">
            <v>KHF-00-104265-AA-3341-60120-0000</v>
          </cell>
          <cell r="E1769" t="str">
            <v>CV for Mr. Ashwinkumar, QC Inspector - Welding (Piping &amp; Pipeline)</v>
          </cell>
          <cell r="F1769">
            <v>3</v>
          </cell>
          <cell r="G1769" t="str">
            <v>IFA</v>
          </cell>
        </row>
        <row r="1770">
          <cell r="A1770" t="str">
            <v>KHF-00-104265-AA-3347-30042-0000-1</v>
          </cell>
          <cell r="B1770" t="str">
            <v>AIP-PDO-P1701009-T-1191</v>
          </cell>
          <cell r="C1770">
            <v>43590</v>
          </cell>
          <cell r="D1770" t="str">
            <v>KHF-00-104265-AA-3347-30042-0000</v>
          </cell>
          <cell r="E1770" t="str">
            <v>MINUTES OF WEEKLY REVIEW MEETING (SITE) NO. 42</v>
          </cell>
          <cell r="F1770">
            <v>1</v>
          </cell>
          <cell r="G1770" t="str">
            <v>IFI</v>
          </cell>
        </row>
        <row r="1771">
          <cell r="A1771" t="str">
            <v>KHF-00-104265-AA-3341-60117-0000-2</v>
          </cell>
          <cell r="B1771" t="str">
            <v>AIP-PDO-P1701009-T-1192</v>
          </cell>
          <cell r="C1771">
            <v>43590</v>
          </cell>
          <cell r="D1771" t="str">
            <v>KHF-00-104265-AA-3341-60117-0000</v>
          </cell>
          <cell r="E1771" t="str">
            <v>CV OF MR. MOHAMED MANSOOR - QC INSPECTOR - INSTRUMENT &amp; TELECOM</v>
          </cell>
          <cell r="F1771">
            <v>2</v>
          </cell>
          <cell r="G1771" t="str">
            <v>IFA</v>
          </cell>
        </row>
        <row r="1772">
          <cell r="A1772" t="str">
            <v>KHF-00-104265-AA-6944-20019-0000-1</v>
          </cell>
          <cell r="B1772" t="str">
            <v>AIP-PDO-P1701009-T-1193</v>
          </cell>
          <cell r="C1772">
            <v>43590</v>
          </cell>
          <cell r="D1772" t="str">
            <v>KHF-00-104265-AA-6944-20019-0000</v>
          </cell>
          <cell r="E1772" t="str">
            <v>MONTHLY PROGRESS REPORT NO.019 (MARCH 2019)</v>
          </cell>
          <cell r="F1772">
            <v>1</v>
          </cell>
          <cell r="G1772" t="str">
            <v>IFR</v>
          </cell>
        </row>
        <row r="1773">
          <cell r="A1773" t="str">
            <v>KHF-00-104265-AA-6944-10078-0000-1</v>
          </cell>
          <cell r="B1773" t="str">
            <v>AIP-PDO-P1701009-T-1194</v>
          </cell>
          <cell r="C1773">
            <v>43590</v>
          </cell>
          <cell r="D1773" t="str">
            <v>KHF-00-104265-AA-6944-10078-0000</v>
          </cell>
          <cell r="E1773" t="str">
            <v>Weekly Progress Report No. 078</v>
          </cell>
          <cell r="F1773">
            <v>1</v>
          </cell>
          <cell r="G1773" t="str">
            <v>IFR</v>
          </cell>
        </row>
        <row r="1774">
          <cell r="A1774" t="str">
            <v>KHF-00-104265-BA-6065-01307-0000-2</v>
          </cell>
          <cell r="B1774" t="str">
            <v>AIP-PDO-P1701009-T-1195</v>
          </cell>
          <cell r="C1774">
            <v>43591</v>
          </cell>
          <cell r="D1774" t="str">
            <v>KHF-00-104265-BA-6065-01307-0000</v>
          </cell>
          <cell r="E1774" t="str">
            <v>Welding Procedure Specification - Carbon Steel JWPS-95 &amp; JPQR-95 (Non-Sour Service)</v>
          </cell>
          <cell r="F1774">
            <v>2</v>
          </cell>
          <cell r="G1774" t="str">
            <v>IFA</v>
          </cell>
        </row>
        <row r="1775">
          <cell r="A1775" t="str">
            <v>KHF-00-104265-BA-6065-01308-0000-2</v>
          </cell>
          <cell r="B1775" t="str">
            <v>AIP-PDO-P1701009-T-1195</v>
          </cell>
          <cell r="C1775">
            <v>43591</v>
          </cell>
          <cell r="D1775" t="str">
            <v>KHF-00-104265-BA-6065-01308-0000</v>
          </cell>
          <cell r="E1775" t="str">
            <v>Welding Procedure Specification - Carbon Steel JWPS-96 &amp; JPQR-96 (Non-Sour Service)</v>
          </cell>
          <cell r="F1775">
            <v>2</v>
          </cell>
          <cell r="G1775" t="str">
            <v>IFA</v>
          </cell>
        </row>
        <row r="1776">
          <cell r="A1776" t="str">
            <v>KHF-00-104265-BA-6065-01311-0000-3</v>
          </cell>
          <cell r="B1776" t="str">
            <v>AIP-PDO-P1701009-T-1195</v>
          </cell>
          <cell r="C1776">
            <v>43591</v>
          </cell>
          <cell r="D1776" t="str">
            <v>KHF-00-104265-BA-6065-01311-0000</v>
          </cell>
          <cell r="E1776" t="str">
            <v>Welding Procedure Specification for Stainless Steel Welding WPS-513 &amp; JPQR-542</v>
          </cell>
          <cell r="F1776">
            <v>3</v>
          </cell>
          <cell r="G1776" t="str">
            <v>IFA</v>
          </cell>
        </row>
        <row r="1777">
          <cell r="A1777" t="str">
            <v>KHF-00-104265-BA-6065-01313-0000-3</v>
          </cell>
          <cell r="B1777" t="str">
            <v>AIP-PDO-P1701009-T-1195</v>
          </cell>
          <cell r="C1777">
            <v>43591</v>
          </cell>
          <cell r="D1777" t="str">
            <v>KHF-00-104265-BA-6065-01313-0000</v>
          </cell>
          <cell r="E1777" t="str">
            <v>WPS &amp; PQR register for Non Boiler External &amp; General Piping (Non-Sour Service)</v>
          </cell>
          <cell r="F1777">
            <v>3</v>
          </cell>
          <cell r="G1777" t="str">
            <v>IFA</v>
          </cell>
        </row>
        <row r="1778">
          <cell r="A1778" t="str">
            <v>KHF-00-104265-BA-6065-01314-0000-1</v>
          </cell>
          <cell r="B1778" t="str">
            <v>AIP-PDO-P1701009-T-1196</v>
          </cell>
          <cell r="C1778">
            <v>43591</v>
          </cell>
          <cell r="D1778" t="str">
            <v>KHF-00-104265-BA-6065-01314-0000</v>
          </cell>
          <cell r="E1778" t="str">
            <v>Welding Procedure Specification - Pipe Support Welding JWPS-544 &amp; JPQR-544 (Non-Sour Service)</v>
          </cell>
          <cell r="F1778">
            <v>1</v>
          </cell>
          <cell r="G1778" t="str">
            <v>IFR</v>
          </cell>
        </row>
        <row r="1779">
          <cell r="A1779" t="str">
            <v>KHF-00-104265-BA-6065-01315-0000-1</v>
          </cell>
          <cell r="B1779" t="str">
            <v>AIP-PDO-P1701009-T-1196</v>
          </cell>
          <cell r="C1779">
            <v>43591</v>
          </cell>
          <cell r="D1779" t="str">
            <v>KHF-00-104265-BA-6065-01315-0000</v>
          </cell>
          <cell r="E1779" t="str">
            <v>Welding Procedure Specification - Dissimilar (P4-P8) Support Welding (A312TP316L Wear Pad to A387Gr11 Shoe/Siffner Plate Welding) JWPS-141 &amp; JPQR-141 (Non-Sour Service)</v>
          </cell>
          <cell r="F1779">
            <v>1</v>
          </cell>
          <cell r="G1779" t="str">
            <v>IFR</v>
          </cell>
        </row>
        <row r="1780">
          <cell r="A1780" t="str">
            <v>KHF-00-104265-BA-6065-01316-0000-1</v>
          </cell>
          <cell r="B1780" t="str">
            <v>AIP-PDO-P1701009-T-1196</v>
          </cell>
          <cell r="C1780">
            <v>43591</v>
          </cell>
          <cell r="D1780" t="str">
            <v>KHF-00-104265-BA-6065-01316-0000</v>
          </cell>
          <cell r="E1780" t="str">
            <v>Welding Procedure Specification - Structural Welding JWPS-410S &amp; JEL-PQR-SBRP1-SS409-01 (Non-Sour Service)</v>
          </cell>
          <cell r="F1780">
            <v>1</v>
          </cell>
          <cell r="G1780" t="str">
            <v>IFR</v>
          </cell>
        </row>
        <row r="1781">
          <cell r="A1781" t="str">
            <v>KHF-00-104265-QA-6050-01302-0000-1</v>
          </cell>
          <cell r="B1781" t="str">
            <v>AIP-PDO-P1701009-T-1196</v>
          </cell>
          <cell r="C1781">
            <v>43591</v>
          </cell>
          <cell r="D1781" t="str">
            <v>KHF-00-104265-QA-6050-01302-0000</v>
          </cell>
          <cell r="E1781" t="str">
            <v>Weld Repair Procedure</v>
          </cell>
          <cell r="F1781">
            <v>1</v>
          </cell>
          <cell r="G1781" t="str">
            <v>IFR</v>
          </cell>
        </row>
        <row r="1782">
          <cell r="A1782" t="str">
            <v>KHF-00-104265-QA-6050-01301-0000-2</v>
          </cell>
          <cell r="B1782" t="str">
            <v>AIP-PDO-P1701009-T-1197</v>
          </cell>
          <cell r="C1782">
            <v>43593</v>
          </cell>
          <cell r="D1782" t="str">
            <v>KHF-00-104265-QA-6050-01301-0000</v>
          </cell>
          <cell r="E1782" t="str">
            <v>Welding Consumable Control Procedure</v>
          </cell>
          <cell r="F1782">
            <v>2</v>
          </cell>
          <cell r="G1782" t="str">
            <v>IFA</v>
          </cell>
        </row>
        <row r="1783">
          <cell r="A1783" t="str">
            <v>KHF-00-104265-AA-3341-60169-0000-1</v>
          </cell>
          <cell r="B1783" t="str">
            <v>AIP-PDO-P1701009-T-1198</v>
          </cell>
          <cell r="C1783">
            <v>43593</v>
          </cell>
          <cell r="D1783" t="str">
            <v>KHF-00-104265-AA-3341-60169-0000</v>
          </cell>
          <cell r="E1783" t="str">
            <v>CV OF MR. A. BALASUBRAMANIA PANDIAN - QCI INSTRUMENTATION</v>
          </cell>
          <cell r="F1783">
            <v>1</v>
          </cell>
          <cell r="G1783" t="str">
            <v>IFA</v>
          </cell>
        </row>
        <row r="1784">
          <cell r="A1784" t="str">
            <v>KHF-00-104265-RA-8241-51203-0000-1</v>
          </cell>
          <cell r="B1784" t="str">
            <v>AIP-PDO-P1701009-T-1199</v>
          </cell>
          <cell r="C1784">
            <v>43593</v>
          </cell>
          <cell r="D1784" t="str">
            <v>KHF-00-104265-RA-8241-51203-0000</v>
          </cell>
          <cell r="E1784" t="str">
            <v>Material Approval Sheet for Wooden False Ceiling with OAK Veneer Finish to Control Room in GTG Substation</v>
          </cell>
          <cell r="F1784">
            <v>1</v>
          </cell>
          <cell r="G1784" t="str">
            <v>IFA</v>
          </cell>
        </row>
        <row r="1785">
          <cell r="A1785" t="str">
            <v>KHF-00-104265-HX-6180-10012-0000-7</v>
          </cell>
          <cell r="B1785" t="str">
            <v>AIP-PDO-P1701009-T-1200</v>
          </cell>
          <cell r="C1785">
            <v>43594</v>
          </cell>
          <cell r="D1785" t="str">
            <v>KHF-00-104265-HX-6180-10012-0000</v>
          </cell>
          <cell r="E1785" t="str">
            <v>Permit to Work Procedure (Greenfield)</v>
          </cell>
          <cell r="F1785">
            <v>7</v>
          </cell>
          <cell r="G1785" t="str">
            <v>IFA</v>
          </cell>
        </row>
        <row r="1786">
          <cell r="A1786" t="str">
            <v>KHF-00-104265-AA-3341-60170-0000-1</v>
          </cell>
          <cell r="B1786" t="str">
            <v>AIP-PDO-P1701009-T-1201</v>
          </cell>
          <cell r="C1786">
            <v>43594</v>
          </cell>
          <cell r="D1786" t="str">
            <v>KHF-00-104265-AA-3341-60170-0000</v>
          </cell>
          <cell r="E1786" t="str">
            <v>CV OF MR. S. ALAGAPPAN - QCI CIVIL</v>
          </cell>
          <cell r="F1786">
            <v>1</v>
          </cell>
          <cell r="G1786" t="str">
            <v>IFA</v>
          </cell>
        </row>
        <row r="1787">
          <cell r="A1787" t="str">
            <v>KHF-00-104265-AA-3341-00158-0000-1</v>
          </cell>
          <cell r="B1787" t="str">
            <v>AIP-PDO-P1701009-T-1202</v>
          </cell>
          <cell r="C1787">
            <v>43594</v>
          </cell>
          <cell r="D1787" t="str">
            <v>KHF-00-104265-AA-3341-00158-0000</v>
          </cell>
          <cell r="E1787" t="str">
            <v>CV OF MR. K. SHANMUGAM - GRE INSPECTOR</v>
          </cell>
          <cell r="F1787">
            <v>1</v>
          </cell>
          <cell r="G1787" t="str">
            <v>IFA</v>
          </cell>
        </row>
        <row r="1788">
          <cell r="A1788" t="str">
            <v>KHF-00-104265-BA-6065-00148-0000-2</v>
          </cell>
          <cell r="B1788" t="str">
            <v>AIP-PDO-P1701009-T-1203</v>
          </cell>
          <cell r="C1788">
            <v>43597</v>
          </cell>
          <cell r="D1788" t="str">
            <v>KHF-00-104265-BA-6065-00148-0000</v>
          </cell>
          <cell r="E1788" t="str">
            <v>Welding Procedure Specification (Tie-in, 16inch PL-5) Pipe to Isolation Joint</v>
          </cell>
          <cell r="F1788">
            <v>2</v>
          </cell>
          <cell r="G1788" t="str">
            <v>IFA</v>
          </cell>
        </row>
        <row r="1789">
          <cell r="A1789" t="str">
            <v>KHF-00-104265-AA-3341-00159-0000-1</v>
          </cell>
          <cell r="B1789" t="str">
            <v>AIP-PDO-P1701009-T-1204</v>
          </cell>
          <cell r="C1789">
            <v>43597</v>
          </cell>
          <cell r="D1789" t="str">
            <v>KHF-00-104265-AA-3341-00159-0000</v>
          </cell>
          <cell r="E1789" t="str">
            <v>CV OF MR. U. SHANKAR ANAND - HSE ADVISOR</v>
          </cell>
          <cell r="F1789">
            <v>1</v>
          </cell>
          <cell r="G1789" t="str">
            <v>IFA</v>
          </cell>
        </row>
        <row r="1790">
          <cell r="A1790" t="str">
            <v>KHF-00-104265-AA-6944-10079-0000-1</v>
          </cell>
          <cell r="B1790" t="str">
            <v>AIP-PDO-P1701009-T-1205</v>
          </cell>
          <cell r="C1790">
            <v>43597</v>
          </cell>
          <cell r="D1790" t="str">
            <v>KHF-00-104265-AA-6944-10079-0000</v>
          </cell>
          <cell r="E1790" t="str">
            <v>Weekly Progress Report No.079</v>
          </cell>
          <cell r="F1790">
            <v>1</v>
          </cell>
          <cell r="G1790" t="str">
            <v>IFR</v>
          </cell>
        </row>
        <row r="1791">
          <cell r="A1791" t="str">
            <v>KHF-00-104265-AA-3341-60157-0000-2</v>
          </cell>
          <cell r="B1791" t="str">
            <v>AIP-PDO-P1701009-T-1206</v>
          </cell>
          <cell r="C1791">
            <v>43599</v>
          </cell>
          <cell r="D1791" t="str">
            <v>KHF-00-104265-AA-3341-60157-0000</v>
          </cell>
          <cell r="E1791" t="str">
            <v>CV OF MR. SULEIMAN ALIFRESH AL-SHUKAIRI - SITE BASED HSE ADVISOR</v>
          </cell>
          <cell r="F1791">
            <v>2</v>
          </cell>
          <cell r="G1791" t="str">
            <v>IFA</v>
          </cell>
        </row>
        <row r="1792">
          <cell r="A1792" t="str">
            <v>KHF-00-104265-BA-6065-01302-0000-1</v>
          </cell>
          <cell r="B1792" t="str">
            <v>AIP-PDO-P1701009-T-1207</v>
          </cell>
          <cell r="C1792">
            <v>43604</v>
          </cell>
          <cell r="D1792" t="str">
            <v>KHF-00-104265-BA-6065-01302-0000</v>
          </cell>
          <cell r="E1792" t="str">
            <v>Non Sour Service  - Welding Procedure specification - JWPS-543 &amp; JPQR-543 – Grade P11</v>
          </cell>
          <cell r="F1792">
            <v>1</v>
          </cell>
          <cell r="G1792" t="str">
            <v>IFR</v>
          </cell>
        </row>
        <row r="1793">
          <cell r="A1793" t="str">
            <v>KHF-00-104265-BA-6065-01304-0000-1</v>
          </cell>
          <cell r="B1793" t="str">
            <v>AIP-PDO-P1701009-T-1207</v>
          </cell>
          <cell r="C1793">
            <v>43604</v>
          </cell>
          <cell r="D1793" t="str">
            <v>KHF-00-104265-BA-6065-01304-0000</v>
          </cell>
          <cell r="E1793" t="str">
            <v>Non Sour Service  - Welding Procedure specification for P1-P4 Dissimilar Welding JWPS - 06 &amp; JPQR - 06</v>
          </cell>
          <cell r="F1793">
            <v>1</v>
          </cell>
          <cell r="G1793" t="str">
            <v>IFR</v>
          </cell>
        </row>
        <row r="1794">
          <cell r="A1794" t="str">
            <v>KHF-00-104265-BA-6065-01317-0000-1</v>
          </cell>
          <cell r="B1794" t="str">
            <v>AIP-PDO-P1701009-T-1207</v>
          </cell>
          <cell r="C1794">
            <v>43604</v>
          </cell>
          <cell r="D1794" t="str">
            <v>KHF-00-104265-BA-6065-01317-0000</v>
          </cell>
          <cell r="E1794" t="str">
            <v xml:space="preserve">WPS &amp; PQR Register - Boiler and Boiler External Piping - Non Sour Service  </v>
          </cell>
          <cell r="F1794">
            <v>1</v>
          </cell>
          <cell r="G1794" t="str">
            <v>IFR</v>
          </cell>
        </row>
        <row r="1795">
          <cell r="A1795" t="str">
            <v>KHF-00-104265-BA-6065-01318-0000-1</v>
          </cell>
          <cell r="B1795" t="str">
            <v>AIP-PDO-P1701009-T-1207</v>
          </cell>
          <cell r="C1795">
            <v>43604</v>
          </cell>
          <cell r="D1795" t="str">
            <v>KHF-00-104265-BA-6065-01318-0000</v>
          </cell>
          <cell r="E1795" t="str">
            <v>Non Sour Service  - Welding Procedure specification - Pipe Support Welding (SMAW) JWPS-544A &amp; JPQR-544</v>
          </cell>
          <cell r="F1795">
            <v>1</v>
          </cell>
          <cell r="G1795" t="str">
            <v>IFR</v>
          </cell>
        </row>
        <row r="1796">
          <cell r="A1796" t="str">
            <v>KHF-00-104265-AA-3341-60171-0000-1</v>
          </cell>
          <cell r="B1796" t="str">
            <v>AIP-PDO-P1701009-T-1208</v>
          </cell>
          <cell r="C1796">
            <v>43604</v>
          </cell>
          <cell r="D1796" t="str">
            <v>KHF-00-104265-AA-3341-60171-0000</v>
          </cell>
          <cell r="E1796" t="str">
            <v>CV OF MR. HARTER BEN A - QCI INSTRUMENTATION</v>
          </cell>
          <cell r="F1796">
            <v>1</v>
          </cell>
          <cell r="G1796" t="str">
            <v>IFA</v>
          </cell>
        </row>
        <row r="1797">
          <cell r="A1797" t="str">
            <v>KHF-00-104265-RA-8241-51204-0000-1</v>
          </cell>
          <cell r="B1797" t="str">
            <v>AIP-PDO-P1701009-T-1209</v>
          </cell>
          <cell r="C1797">
            <v>43604</v>
          </cell>
          <cell r="D1797" t="str">
            <v>KHF-00-104265-RA-8241-51204-0000</v>
          </cell>
          <cell r="E1797" t="str">
            <v>Material Approval Sheet for FOSROC NITOSEAL PU40 - CS</v>
          </cell>
          <cell r="F1797">
            <v>1</v>
          </cell>
          <cell r="G1797" t="str">
            <v>IFA</v>
          </cell>
        </row>
        <row r="1798">
          <cell r="A1798" t="str">
            <v>KHF-00-104265-BA-6070-01305-0000-1</v>
          </cell>
          <cell r="B1798" t="str">
            <v>AIP-PDO-P1701009-T-1210</v>
          </cell>
          <cell r="C1798">
            <v>43604</v>
          </cell>
          <cell r="D1798" t="str">
            <v>KHF-00-104265-BA-6070-01305-0000</v>
          </cell>
          <cell r="E1798" t="str">
            <v>Method Statement for HRSG Hydrostatic Pressure Test</v>
          </cell>
          <cell r="F1798">
            <v>1</v>
          </cell>
          <cell r="G1798" t="str">
            <v>IFR</v>
          </cell>
        </row>
        <row r="1799">
          <cell r="A1799" t="str">
            <v>KHF-00-104265-RA-6038-01313-0000-1</v>
          </cell>
          <cell r="B1799" t="str">
            <v>AIP-PDO-P1701009-T-1211</v>
          </cell>
          <cell r="C1799">
            <v>43604</v>
          </cell>
          <cell r="D1799" t="str">
            <v>KHF-00-104265-RA-6038-01313-0000</v>
          </cell>
          <cell r="E1799" t="str">
            <v>Positive Material Identification Procedure By M/s HI TECH</v>
          </cell>
          <cell r="F1799">
            <v>1</v>
          </cell>
          <cell r="G1799" t="str">
            <v>IFR</v>
          </cell>
        </row>
        <row r="1800">
          <cell r="A1800" t="str">
            <v>KHF-00-104265-RA-6038-01314-0000-1</v>
          </cell>
          <cell r="B1800" t="str">
            <v>AIP-PDO-P1701009-T-1211</v>
          </cell>
          <cell r="C1800">
            <v>43604</v>
          </cell>
          <cell r="D1800" t="str">
            <v>KHF-00-104265-RA-6038-01314-0000</v>
          </cell>
          <cell r="E1800" t="str">
            <v>Ferrite Testing Procedure By M/s HI TECH</v>
          </cell>
          <cell r="F1800">
            <v>1</v>
          </cell>
          <cell r="G1800" t="str">
            <v>IFR</v>
          </cell>
        </row>
        <row r="1801">
          <cell r="A1801" t="str">
            <v>KHF-00-104265-RA-8241-00803-0000-1</v>
          </cell>
          <cell r="B1801" t="str">
            <v>AIP-PDO-P1701009-T-1212</v>
          </cell>
          <cell r="C1801">
            <v>43604</v>
          </cell>
          <cell r="D1801" t="str">
            <v>KHF-00-104265-RA-8241-00803-0000</v>
          </cell>
          <cell r="E1801" t="str">
            <v>Material Approval Submittal for Concentric Reducer 4”x 2” SCH 80</v>
          </cell>
          <cell r="F1801">
            <v>1</v>
          </cell>
          <cell r="G1801" t="str">
            <v>IFR</v>
          </cell>
        </row>
        <row r="1802">
          <cell r="A1802" t="str">
            <v>KHF-00-104265-AA-6944-10080-0000-1</v>
          </cell>
          <cell r="B1802" t="str">
            <v>AIP-PDO-P1701009-T-1213</v>
          </cell>
          <cell r="C1802">
            <v>43604</v>
          </cell>
          <cell r="D1802" t="str">
            <v>KHF-00-104265-AA-6944-10080-0000</v>
          </cell>
          <cell r="E1802" t="str">
            <v>Weekly Progress Report No.080</v>
          </cell>
          <cell r="F1802">
            <v>1</v>
          </cell>
          <cell r="G1802" t="str">
            <v>IFR</v>
          </cell>
        </row>
        <row r="1803">
          <cell r="A1803" t="str">
            <v>KHF-00-104265-RA-8241-51205-0000-1</v>
          </cell>
          <cell r="B1803" t="str">
            <v>AIP-PDO-P1701009-T-1214</v>
          </cell>
          <cell r="C1803">
            <v>43605</v>
          </cell>
          <cell r="D1803" t="str">
            <v>KHF-00-104265-RA-8241-51205-0000</v>
          </cell>
          <cell r="E1803" t="str">
            <v>Material Approval Sheet for Thermal Insulation of Copper Pipe Line</v>
          </cell>
          <cell r="F1803">
            <v>1</v>
          </cell>
          <cell r="G1803" t="str">
            <v>IFA</v>
          </cell>
        </row>
        <row r="1804">
          <cell r="A1804" t="str">
            <v>KHF-00-104265-RA-8241-51199-0000-2</v>
          </cell>
          <cell r="B1804" t="str">
            <v>AIP-PDO-P1701009-T-1215</v>
          </cell>
          <cell r="C1804">
            <v>43605</v>
          </cell>
          <cell r="D1804" t="str">
            <v>KHF-00-104265-RA-8241-51199-0000</v>
          </cell>
          <cell r="E1804" t="str">
            <v>Material Approval Sheet for Sanitary Ware &amp; CP Fittings (Deal Standard, Blanco, Viega &amp; Eumel Products) for GTG Building Toilet and Pantry</v>
          </cell>
          <cell r="F1804">
            <v>2</v>
          </cell>
          <cell r="G1804" t="str">
            <v>IFA</v>
          </cell>
        </row>
        <row r="1805">
          <cell r="A1805" t="str">
            <v>KHF-00-104265-AA-3341-00160-0000-1</v>
          </cell>
          <cell r="B1805" t="str">
            <v>AIP-PDO-P1701009-T-1216</v>
          </cell>
          <cell r="C1805">
            <v>43606</v>
          </cell>
          <cell r="D1805" t="str">
            <v>KHF-00-104265-AA-3341-00160-0000</v>
          </cell>
          <cell r="E1805" t="str">
            <v>CV OF MR. MIR ALI ABBAS - GRE SUPERVISOR</v>
          </cell>
          <cell r="F1805">
            <v>1</v>
          </cell>
          <cell r="G1805" t="str">
            <v>IFA</v>
          </cell>
        </row>
        <row r="1806">
          <cell r="A1806" t="str">
            <v>KHF-00-104265-AA-3341-00161-0000-1</v>
          </cell>
          <cell r="B1806" t="str">
            <v>AIP-PDO-P1701009-T-1216</v>
          </cell>
          <cell r="C1806">
            <v>43606</v>
          </cell>
          <cell r="D1806" t="str">
            <v>KHF-00-104265-AA-3341-00161-0000</v>
          </cell>
          <cell r="E1806" t="str">
            <v>CV OF MR. UMAKANT D PHADTE - GRE INSPECTOR</v>
          </cell>
          <cell r="F1806">
            <v>1</v>
          </cell>
          <cell r="G1806" t="str">
            <v>IFA</v>
          </cell>
        </row>
        <row r="1807">
          <cell r="A1807" t="str">
            <v>KHF-00-104265-RA-8241-51206-0000-1</v>
          </cell>
          <cell r="B1807" t="str">
            <v>AIP-PDO-P1701009-T-1217</v>
          </cell>
          <cell r="C1807">
            <v>43607</v>
          </cell>
          <cell r="D1807" t="str">
            <v>KHF-00-104265-RA-8241-51206-0000</v>
          </cell>
          <cell r="E1807" t="str">
            <v>Material Approval Sheet - Ladder for Accessing LV Components on HV Switchgear and Changing Light Fittings Lamps etc for Power Plant</v>
          </cell>
          <cell r="F1807">
            <v>1</v>
          </cell>
          <cell r="G1807" t="str">
            <v>IFA</v>
          </cell>
        </row>
        <row r="1808">
          <cell r="A1808" t="str">
            <v>KHF-00-104265-RA-8241-51207-0000-1</v>
          </cell>
          <cell r="B1808" t="str">
            <v>AIP-PDO-P1701009-T-1217</v>
          </cell>
          <cell r="C1808">
            <v>43607</v>
          </cell>
          <cell r="D1808" t="str">
            <v>KHF-00-104265-RA-8241-51207-0000</v>
          </cell>
          <cell r="E1808" t="str">
            <v>Material Approval Sheet for Electrocuted Person Rescue Kits</v>
          </cell>
          <cell r="F1808">
            <v>1</v>
          </cell>
          <cell r="G1808" t="str">
            <v>IFA</v>
          </cell>
        </row>
        <row r="1809">
          <cell r="A1809" t="str">
            <v>KHF-00-104265-RA-8241-51209-0000-1</v>
          </cell>
          <cell r="B1809" t="str">
            <v>AIP-PDO-P1701009-T-1217</v>
          </cell>
          <cell r="C1809">
            <v>43607</v>
          </cell>
          <cell r="D1809" t="str">
            <v>KHF-00-104265-RA-8241-51209-0000</v>
          </cell>
          <cell r="E1809" t="str">
            <v>Material Approval Sheet for Safety Rubber Mats</v>
          </cell>
          <cell r="F1809">
            <v>1</v>
          </cell>
          <cell r="G1809" t="str">
            <v>IFA</v>
          </cell>
        </row>
        <row r="1810">
          <cell r="A1810" t="str">
            <v>KHF-00-104265-RA-6038-01312-0000-1</v>
          </cell>
          <cell r="B1810" t="str">
            <v>AIP-PDO-P1701009-T-1218</v>
          </cell>
          <cell r="C1810">
            <v>43607</v>
          </cell>
          <cell r="D1810" t="str">
            <v>KHF-00-104265-RA-6038-01312-0000</v>
          </cell>
          <cell r="E1810" t="str">
            <v>Visual Testing Procedure By M/s HI TECH</v>
          </cell>
          <cell r="F1810">
            <v>1</v>
          </cell>
          <cell r="G1810" t="str">
            <v>IFR</v>
          </cell>
        </row>
        <row r="1811">
          <cell r="A1811" t="str">
            <v>KHF-00-104265-RA-8241-51210-0000-1</v>
          </cell>
          <cell r="B1811" t="str">
            <v>AIP-PDO-P1701009-T-1219</v>
          </cell>
          <cell r="C1811">
            <v>43608</v>
          </cell>
          <cell r="D1811" t="str">
            <v>KHF-00-104265-RA-8241-51210-0000</v>
          </cell>
          <cell r="E1811" t="str">
            <v>Material Approval Sheet for High Voltage Electrical Rubber Gloves</v>
          </cell>
          <cell r="F1811">
            <v>1</v>
          </cell>
          <cell r="G1811" t="str">
            <v>IFA</v>
          </cell>
        </row>
        <row r="1812">
          <cell r="A1812" t="str">
            <v>KHF-00-104265-HX-6613-10015-0000-4</v>
          </cell>
          <cell r="B1812" t="str">
            <v>AIP-PDO-P1701009-T-1220</v>
          </cell>
          <cell r="C1812">
            <v>43611</v>
          </cell>
          <cell r="D1812" t="str">
            <v>KHF-00-104265-HX-6613-10015-0000</v>
          </cell>
          <cell r="E1812" t="str">
            <v>Construction Services for Yibal Khuff Project HEMP Register</v>
          </cell>
          <cell r="F1812">
            <v>4</v>
          </cell>
          <cell r="G1812" t="str">
            <v>IFA</v>
          </cell>
        </row>
        <row r="1813">
          <cell r="A1813" t="str">
            <v>KHF-00-104265-RA-8241-00803-0000-2</v>
          </cell>
          <cell r="B1813" t="str">
            <v>AIP-PDO-P1701009-T-1221</v>
          </cell>
          <cell r="C1813">
            <v>43611</v>
          </cell>
          <cell r="D1813" t="str">
            <v>KHF-00-104265-RA-8241-00803-0000</v>
          </cell>
          <cell r="E1813" t="str">
            <v>Material Approval Submittal for Concentric Reducer 4”x 2” SCH 80</v>
          </cell>
          <cell r="F1813">
            <v>2</v>
          </cell>
          <cell r="G1813" t="str">
            <v>IFA</v>
          </cell>
        </row>
        <row r="1814">
          <cell r="A1814" t="str">
            <v>KHF-00-104265-BA-6070-41018-0000-1</v>
          </cell>
          <cell r="B1814" t="str">
            <v>AIP-PDO-P1701009-T-1222</v>
          </cell>
          <cell r="C1814">
            <v>43611</v>
          </cell>
          <cell r="D1814" t="str">
            <v>KHF-00-104265-BA-6070-41018-0000</v>
          </cell>
          <cell r="E1814" t="str">
            <v>Method Statement for the Repairing Procedure for Granolitic Flooring of Both Power Plant &amp; Off Plot</v>
          </cell>
          <cell r="F1814">
            <v>1</v>
          </cell>
          <cell r="G1814" t="str">
            <v>IFR</v>
          </cell>
        </row>
        <row r="1815">
          <cell r="A1815" t="str">
            <v>KHF-00-104265-AA-6944-10081-0000-1</v>
          </cell>
          <cell r="B1815" t="str">
            <v>AIP-PDO-P1701009-T-1223</v>
          </cell>
          <cell r="C1815">
            <v>43612</v>
          </cell>
          <cell r="D1815" t="str">
            <v>KHF-00-104265-AA-6944-10081-0000</v>
          </cell>
          <cell r="E1815" t="str">
            <v>Weekly Progress Report No.081</v>
          </cell>
          <cell r="F1815">
            <v>1</v>
          </cell>
          <cell r="G1815" t="str">
            <v>IFR</v>
          </cell>
        </row>
        <row r="1816">
          <cell r="A1816" t="str">
            <v>KHF-00-104265-QA-6050-00606-0000-2</v>
          </cell>
          <cell r="B1816" t="str">
            <v>AIP-PDO-P1701009-T-1224</v>
          </cell>
          <cell r="C1816">
            <v>43612</v>
          </cell>
          <cell r="D1816" t="str">
            <v>KHF-00-104265-QA-6050-00606-0000</v>
          </cell>
          <cell r="E1816" t="str">
            <v>Piping Fabrication Procedure</v>
          </cell>
          <cell r="F1816">
            <v>2</v>
          </cell>
          <cell r="G1816" t="str">
            <v>IFA</v>
          </cell>
        </row>
        <row r="1817">
          <cell r="A1817" t="str">
            <v>KHF-00-104265-RA-6038-00609-0000-2</v>
          </cell>
          <cell r="B1817" t="str">
            <v>AIP-PDO-P1701009-T-1225</v>
          </cell>
          <cell r="C1817">
            <v>43614</v>
          </cell>
          <cell r="D1817" t="str">
            <v>KHF-00-104265-RA-6038-00609-0000</v>
          </cell>
          <cell r="E1817" t="str">
            <v>Visual Examination Procedure for CS / LTCS Piping Spools</v>
          </cell>
          <cell r="F1817">
            <v>2</v>
          </cell>
          <cell r="G1817" t="str">
            <v>IFA</v>
          </cell>
        </row>
        <row r="1818">
          <cell r="A1818" t="str">
            <v>KHF-00-104265-QA-5733-01701-0000-1</v>
          </cell>
          <cell r="B1818" t="str">
            <v>AIP-PDO-P1701009-T-1226</v>
          </cell>
          <cell r="C1818">
            <v>43614</v>
          </cell>
          <cell r="D1818" t="str">
            <v>KHF-00-104265-QA-5733-01701-0000</v>
          </cell>
          <cell r="E1818" t="str">
            <v>Inspection Test Plan for Fabrication of Corrosion Inhibitor Chemical Storage Tanks (SS)</v>
          </cell>
          <cell r="F1818">
            <v>1</v>
          </cell>
          <cell r="G1818" t="str">
            <v>IFR</v>
          </cell>
        </row>
        <row r="1819">
          <cell r="A1819" t="str">
            <v>KHF-00-104265-BA-6070-41019-0000-1</v>
          </cell>
          <cell r="B1819" t="str">
            <v>AIP-PDO-P1701009-T-1227</v>
          </cell>
          <cell r="C1819">
            <v>43614</v>
          </cell>
          <cell r="D1819" t="str">
            <v>KHF-00-104265-BA-6070-41019-0000</v>
          </cell>
          <cell r="E1819" t="str">
            <v>Method Statement for the Installation of Raised Flooring at GTG Substation Building</v>
          </cell>
          <cell r="F1819">
            <v>1</v>
          </cell>
          <cell r="G1819" t="str">
            <v>IFR</v>
          </cell>
        </row>
        <row r="1820">
          <cell r="A1820" t="str">
            <v>KHF-00-104265-LA-5009-00122-0000-2</v>
          </cell>
          <cell r="B1820" t="str">
            <v>AIP-PDO-P1701009-T-1228</v>
          </cell>
          <cell r="C1820">
            <v>43614</v>
          </cell>
          <cell r="D1820" t="str">
            <v>KHF-00-104265-LA-5009-00122-0000</v>
          </cell>
          <cell r="E1820" t="str">
            <v>Material Approval Sheet (MAS) (Type - B) Material for ROW Access Road</v>
          </cell>
          <cell r="F1820">
            <v>2</v>
          </cell>
          <cell r="G1820" t="str">
            <v>IFA</v>
          </cell>
        </row>
        <row r="1821">
          <cell r="A1821" t="str">
            <v>KHF-00-104265-QA-5733-23009-0000-1</v>
          </cell>
          <cell r="B1821" t="str">
            <v>AIP-PDO-P1701009-T-1229</v>
          </cell>
          <cell r="C1821">
            <v>43615</v>
          </cell>
          <cell r="D1821" t="str">
            <v>KHF-00-104265-QA-5733-23009-0000</v>
          </cell>
          <cell r="E1821" t="str">
            <v>Inspection Test Plan for 33KV OHL Installation (Concrete Pole)</v>
          </cell>
          <cell r="F1821">
            <v>1</v>
          </cell>
          <cell r="G1821" t="str">
            <v>IFR</v>
          </cell>
        </row>
        <row r="1822">
          <cell r="A1822" t="str">
            <v>KHF-00-104265-RA-8241-51208-0000-1</v>
          </cell>
          <cell r="B1822" t="str">
            <v>AIP-PDO-P1701009-T-1230</v>
          </cell>
          <cell r="C1822">
            <v>43618</v>
          </cell>
          <cell r="D1822" t="str">
            <v>KHF-00-104265-RA-8241-51208-0000</v>
          </cell>
          <cell r="E1822" t="str">
            <v>Material Approval Sheet for Insulation of Condensate Pipe Line</v>
          </cell>
          <cell r="F1822">
            <v>1</v>
          </cell>
          <cell r="G1822" t="str">
            <v>IFA</v>
          </cell>
        </row>
        <row r="1823">
          <cell r="A1823" t="str">
            <v>KHF-00-104265-BA-6070-42036-0000-1</v>
          </cell>
          <cell r="B1823" t="str">
            <v>AIP-PDO-P1701009-T-1231</v>
          </cell>
          <cell r="C1823">
            <v>43618</v>
          </cell>
          <cell r="D1823" t="str">
            <v>KHF-00-104265-BA-6070-42036-0000</v>
          </cell>
          <cell r="E1823" t="str">
            <v>Method Statement for Commissioning of HVAC System</v>
          </cell>
          <cell r="F1823">
            <v>1</v>
          </cell>
          <cell r="G1823" t="str">
            <v>IFR</v>
          </cell>
        </row>
        <row r="1824">
          <cell r="A1824" t="str">
            <v>KHF-00-104265-BA-6070-43016-0000-1</v>
          </cell>
          <cell r="B1824" t="str">
            <v>AIP-PDO-P1701009-T-1231</v>
          </cell>
          <cell r="C1824">
            <v>43618</v>
          </cell>
          <cell r="D1824" t="str">
            <v>KHF-00-104265-BA-6070-43016-0000</v>
          </cell>
          <cell r="E1824" t="str">
            <v>Method Statement for Electrical (HV/LV) Testing &amp; Commissioning</v>
          </cell>
          <cell r="F1824">
            <v>1</v>
          </cell>
          <cell r="G1824" t="str">
            <v>IFR</v>
          </cell>
        </row>
        <row r="1825">
          <cell r="A1825" t="str">
            <v>KHF-00-104265-BA-6008-10078-0000-1</v>
          </cell>
          <cell r="B1825" t="str">
            <v>AIP-PDO-P1701009-T-1232</v>
          </cell>
          <cell r="C1825">
            <v>43618</v>
          </cell>
          <cell r="D1825" t="str">
            <v>KHF-00-104265-BA-6008-10078-0000</v>
          </cell>
          <cell r="E1825" t="str">
            <v>Pre-Commissioning Procedure for HVAC</v>
          </cell>
          <cell r="F1825">
            <v>1</v>
          </cell>
          <cell r="G1825" t="str">
            <v>IFR</v>
          </cell>
        </row>
        <row r="1826">
          <cell r="A1826" t="str">
            <v>KHF-00-104265-JA-5798-10080-0000-1</v>
          </cell>
          <cell r="B1826" t="str">
            <v>AIP-PDO-P1701009-T-1233</v>
          </cell>
          <cell r="C1826">
            <v>43618</v>
          </cell>
          <cell r="D1826" t="str">
            <v>KHF-00-104265-JA-5798-10080-0000</v>
          </cell>
          <cell r="E1826" t="str">
            <v>RED LINE &amp; GREEN LINE MARK-UP MANAGEMENT PLAN</v>
          </cell>
          <cell r="F1826">
            <v>1</v>
          </cell>
          <cell r="G1826" t="str">
            <v>IFR</v>
          </cell>
        </row>
        <row r="1827">
          <cell r="A1827" t="str">
            <v>KHF-00-104265-AA-6944-10082-0000-1</v>
          </cell>
          <cell r="B1827" t="str">
            <v>AIP-PDO-P1701009-T-1234</v>
          </cell>
          <cell r="C1827">
            <v>43619</v>
          </cell>
          <cell r="D1827" t="str">
            <v>KHF-00-104265-AA-6944-10082-0000</v>
          </cell>
          <cell r="E1827" t="str">
            <v>Weekly Progress Report No.082</v>
          </cell>
          <cell r="F1827">
            <v>1</v>
          </cell>
          <cell r="G1827" t="str">
            <v>IFR</v>
          </cell>
        </row>
        <row r="1828">
          <cell r="A1828" t="str">
            <v>KHF-00-104265-BA-6065-01703-0000-1</v>
          </cell>
          <cell r="B1828" t="str">
            <v>AIP-PDO-P1701009-T-1235</v>
          </cell>
          <cell r="C1828">
            <v>43619</v>
          </cell>
          <cell r="D1828" t="str">
            <v>KHF-00-104265-BA-6065-01703-0000</v>
          </cell>
          <cell r="E1828" t="str">
            <v>WELDING PROCEDURE SPECIFICATIONS (AI-WPS-M-542)</v>
          </cell>
          <cell r="F1828">
            <v>1</v>
          </cell>
          <cell r="G1828" t="str">
            <v>IFR</v>
          </cell>
        </row>
        <row r="1829">
          <cell r="A1829" t="str">
            <v>KHF-00-104265-BA-6065-01704-0000-1</v>
          </cell>
          <cell r="B1829" t="str">
            <v>AIP-PDO-P1701009-T-1235</v>
          </cell>
          <cell r="C1829">
            <v>43619</v>
          </cell>
          <cell r="D1829" t="str">
            <v>KHF-00-104265-BA-6065-01704-0000</v>
          </cell>
          <cell r="E1829" t="str">
            <v>WELDING PROCEDURE SPECIFICATIONS (AI-WPS-M-542FW)</v>
          </cell>
          <cell r="F1829">
            <v>1</v>
          </cell>
          <cell r="G1829" t="str">
            <v>IFR</v>
          </cell>
        </row>
        <row r="1830">
          <cell r="A1830" t="str">
            <v>KHF-00-104265-BA-6065-01706-0000-1</v>
          </cell>
          <cell r="B1830" t="str">
            <v>AIP-PDO-P1701009-T-1235</v>
          </cell>
          <cell r="C1830">
            <v>43619</v>
          </cell>
          <cell r="D1830" t="str">
            <v>KHF-00-104265-BA-6065-01706-0000</v>
          </cell>
          <cell r="E1830" t="str">
            <v>WELDING PROCEDURE SPECIFICATIONS (AI-WPS-T-196)</v>
          </cell>
          <cell r="F1830">
            <v>1</v>
          </cell>
          <cell r="G1830" t="str">
            <v>IFR</v>
          </cell>
        </row>
        <row r="1831">
          <cell r="A1831" t="str">
            <v>KHF-00-104265-BA-6065-01707-0000-1</v>
          </cell>
          <cell r="B1831" t="str">
            <v>AIP-PDO-P1701009-T-1235</v>
          </cell>
          <cell r="C1831">
            <v>43619</v>
          </cell>
          <cell r="D1831" t="str">
            <v>KHF-00-104265-BA-6065-01707-0000</v>
          </cell>
          <cell r="E1831" t="str">
            <v>WELDING PROCEDURE SPECIFICATIONS (AI-WPS-TM-196)</v>
          </cell>
          <cell r="F1831">
            <v>1</v>
          </cell>
          <cell r="G1831" t="str">
            <v>IFR</v>
          </cell>
        </row>
        <row r="1832">
          <cell r="A1832" t="str">
            <v>KHF-00-104265-QA-6050-01302-0000-2</v>
          </cell>
          <cell r="B1832" t="str">
            <v>AIP-PDO-P1701009-T-1236</v>
          </cell>
          <cell r="C1832">
            <v>43619</v>
          </cell>
          <cell r="D1832" t="str">
            <v>KHF-00-104265-QA-6050-01302-0000</v>
          </cell>
          <cell r="E1832" t="str">
            <v>Weld Repair Procedure</v>
          </cell>
          <cell r="F1832">
            <v>2</v>
          </cell>
          <cell r="G1832" t="str">
            <v>IFA</v>
          </cell>
        </row>
        <row r="1833">
          <cell r="A1833" t="str">
            <v>KHF-00-104265-RA-8241-51201-0000-2</v>
          </cell>
          <cell r="B1833" t="str">
            <v>AIP-PDO-P1701009-T-1237</v>
          </cell>
          <cell r="C1833">
            <v>43619</v>
          </cell>
          <cell r="D1833" t="str">
            <v>KHF-00-104265-RA-8241-51201-0000</v>
          </cell>
          <cell r="E1833" t="str">
            <v>Material Approval Sheet for Electrical Safety Sign Boards</v>
          </cell>
          <cell r="F1833">
            <v>2</v>
          </cell>
          <cell r="G1833" t="str">
            <v>IFA</v>
          </cell>
        </row>
        <row r="1834">
          <cell r="A1834" t="str">
            <v>KHF-00-104265-BA-6065-01701-0000-1</v>
          </cell>
          <cell r="B1834" t="str">
            <v>AIP-PDO-P1701009-T-1238</v>
          </cell>
          <cell r="C1834">
            <v>43619</v>
          </cell>
          <cell r="D1834" t="str">
            <v>KHF-00-104265-BA-6065-01701-0000</v>
          </cell>
          <cell r="E1834" t="str">
            <v>WPS / Weld Map</v>
          </cell>
          <cell r="F1834">
            <v>1</v>
          </cell>
          <cell r="G1834" t="str">
            <v>IFR</v>
          </cell>
        </row>
        <row r="1835">
          <cell r="A1835" t="str">
            <v>KHF-00-104265-BA-6065-01702-0000-1</v>
          </cell>
          <cell r="B1835" t="str">
            <v>AIP-PDO-P1701009-T-1238</v>
          </cell>
          <cell r="C1835">
            <v>43619</v>
          </cell>
          <cell r="D1835" t="str">
            <v>KHF-00-104265-BA-6065-01702-0000</v>
          </cell>
          <cell r="E1835" t="str">
            <v>WELDING PROCEDURE SPECIFICATIONS (AI-WPS-M-232)</v>
          </cell>
          <cell r="F1835">
            <v>1</v>
          </cell>
          <cell r="G1835" t="str">
            <v>IFR</v>
          </cell>
        </row>
        <row r="1836">
          <cell r="A1836" t="str">
            <v>KHF-00-104265-BA-6065-01705-0000-1</v>
          </cell>
          <cell r="B1836" t="str">
            <v>AIP-PDO-P1701009-T-1238</v>
          </cell>
          <cell r="C1836">
            <v>43619</v>
          </cell>
          <cell r="D1836" t="str">
            <v>KHF-00-104265-BA-6065-01705-0000</v>
          </cell>
          <cell r="E1836" t="str">
            <v>WELDING PROCEDURE SPECIFICATIONS (AI-WPS-T-065)</v>
          </cell>
          <cell r="F1836">
            <v>1</v>
          </cell>
          <cell r="G1836" t="str">
            <v>IFR</v>
          </cell>
        </row>
        <row r="1837">
          <cell r="A1837" t="str">
            <v>KHF-00-104265-BA-6065-01302-0000-2</v>
          </cell>
          <cell r="B1837" t="str">
            <v>AIP-PDO-P1701009-T-1239</v>
          </cell>
          <cell r="C1837">
            <v>43619</v>
          </cell>
          <cell r="D1837" t="str">
            <v>KHF-00-104265-BA-6065-01302-0000</v>
          </cell>
          <cell r="E1837" t="str">
            <v>WELDING PROCEDURE SPECIFICATION - GRADE P11 JWPS-543 &amp; JPQR-543 (Non Sour Service)</v>
          </cell>
          <cell r="F1837">
            <v>2</v>
          </cell>
          <cell r="G1837" t="str">
            <v>IFA</v>
          </cell>
        </row>
        <row r="1838">
          <cell r="A1838" t="str">
            <v>cancelled</v>
          </cell>
          <cell r="B1838" t="str">
            <v>AIP-PDO-P1701009-T-1240</v>
          </cell>
          <cell r="C1838">
            <v>43625</v>
          </cell>
          <cell r="D1838" t="str">
            <v>KHF-00-104265-QA-6065-01702-0000</v>
          </cell>
          <cell r="E1838" t="str">
            <v>Pickling and Passivation Procedure</v>
          </cell>
          <cell r="F1838">
            <v>1</v>
          </cell>
          <cell r="G1838" t="str">
            <v>IFR</v>
          </cell>
        </row>
        <row r="1839">
          <cell r="A1839" t="str">
            <v>cancelled</v>
          </cell>
          <cell r="B1839" t="str">
            <v>AIP-PDO-P1701009-T-1240</v>
          </cell>
          <cell r="C1839">
            <v>43625</v>
          </cell>
          <cell r="D1839" t="str">
            <v>KHF-00-104265-QA-6065-01704-0000</v>
          </cell>
          <cell r="E1839" t="str">
            <v>RF Pad Leak Test Procedure</v>
          </cell>
          <cell r="F1839">
            <v>1</v>
          </cell>
          <cell r="G1839" t="str">
            <v>IFR</v>
          </cell>
        </row>
        <row r="1840">
          <cell r="A1840" t="str">
            <v>cancelled</v>
          </cell>
          <cell r="B1840" t="str">
            <v>AIP-PDO-P1701009-T-1240</v>
          </cell>
          <cell r="C1840">
            <v>43625</v>
          </cell>
          <cell r="D1840" t="str">
            <v>KHF-00-104265-QA-6065-01705-0000</v>
          </cell>
          <cell r="E1840" t="str">
            <v>Ferrite Check Procedure</v>
          </cell>
          <cell r="F1840">
            <v>1</v>
          </cell>
          <cell r="G1840" t="str">
            <v>IFR</v>
          </cell>
        </row>
        <row r="1841">
          <cell r="A1841" t="str">
            <v>cancelled</v>
          </cell>
          <cell r="B1841" t="str">
            <v>AIP-PDO-P1701009-T-1240</v>
          </cell>
          <cell r="C1841">
            <v>43625</v>
          </cell>
          <cell r="D1841" t="str">
            <v>KHF-00-104265-QA-6065-01706-0000</v>
          </cell>
          <cell r="E1841" t="str">
            <v>Positive Material Identification Procedure</v>
          </cell>
          <cell r="F1841">
            <v>1</v>
          </cell>
          <cell r="G1841" t="str">
            <v>IFR</v>
          </cell>
        </row>
        <row r="1842">
          <cell r="A1842" t="str">
            <v>KHF-00-104265-RA-8241-51211-0000-1</v>
          </cell>
          <cell r="B1842" t="str">
            <v>AIP-PDO-P1701009-T-1241</v>
          </cell>
          <cell r="C1842">
            <v>43625</v>
          </cell>
          <cell r="D1842" t="str">
            <v>KHF-00-104265-RA-8241-51211-0000</v>
          </cell>
          <cell r="E1842" t="str">
            <v>Material Approval Sheet for Drawing Hangers, Notice Board and Magnetic White Board at GIS &amp; GTG Building</v>
          </cell>
          <cell r="F1842">
            <v>1</v>
          </cell>
          <cell r="G1842" t="str">
            <v>IFA</v>
          </cell>
        </row>
        <row r="1843">
          <cell r="A1843" t="str">
            <v>KHF-00-104265-QA-6050-01702-0000-1</v>
          </cell>
          <cell r="B1843" t="str">
            <v>AIP-PDO-P1701009-T-1242</v>
          </cell>
          <cell r="C1843">
            <v>43625</v>
          </cell>
          <cell r="D1843" t="str">
            <v>KHF-00-104265-QA-6050-01702-0000</v>
          </cell>
          <cell r="E1843" t="str">
            <v>Pickling and Passivation Procedure for Corrosion Inhibitor Chemical Storage Tank</v>
          </cell>
          <cell r="F1843">
            <v>1</v>
          </cell>
          <cell r="G1843" t="str">
            <v>IFR</v>
          </cell>
        </row>
        <row r="1844">
          <cell r="A1844" t="str">
            <v>KHF-00-104265-QA-6050-01704-0000-1</v>
          </cell>
          <cell r="B1844" t="str">
            <v>AIP-PDO-P1701009-T-1242</v>
          </cell>
          <cell r="C1844">
            <v>43625</v>
          </cell>
          <cell r="D1844" t="str">
            <v>KHF-00-104265-QA-6050-01704-0000</v>
          </cell>
          <cell r="E1844" t="str">
            <v>RF Pad Leak Test Procedure for Corrosion Inhibitor Chemical Storage Tank</v>
          </cell>
          <cell r="F1844">
            <v>1</v>
          </cell>
          <cell r="G1844" t="str">
            <v>IFR</v>
          </cell>
        </row>
        <row r="1845">
          <cell r="A1845" t="str">
            <v>KHF-00-104265-QA-6050-01705-0000-1</v>
          </cell>
          <cell r="B1845" t="str">
            <v>AIP-PDO-P1701009-T-1242</v>
          </cell>
          <cell r="C1845">
            <v>43625</v>
          </cell>
          <cell r="D1845" t="str">
            <v>KHF-00-104265-QA-6050-01705-0000</v>
          </cell>
          <cell r="E1845" t="str">
            <v>Ferrite Check Procedure for Corrosion Inhibitor Chemical Storage Tank</v>
          </cell>
          <cell r="F1845">
            <v>1</v>
          </cell>
          <cell r="G1845" t="str">
            <v>IFR</v>
          </cell>
        </row>
        <row r="1846">
          <cell r="A1846" t="str">
            <v>KHF-00-104265-QA-6050-01706-0000-1</v>
          </cell>
          <cell r="B1846" t="str">
            <v>AIP-PDO-P1701009-T-1242</v>
          </cell>
          <cell r="C1846">
            <v>43625</v>
          </cell>
          <cell r="D1846" t="str">
            <v>KHF-00-104265-QA-6050-01706-0000</v>
          </cell>
          <cell r="E1846" t="str">
            <v>Positive Material Identification Procedure for Corrosion Inhibitor Chemical Storage Tank</v>
          </cell>
          <cell r="F1846">
            <v>1</v>
          </cell>
          <cell r="G1846" t="str">
            <v>IFR</v>
          </cell>
        </row>
        <row r="1847">
          <cell r="A1847" t="str">
            <v>KHF-00-104265-RA-6038-01704-0000-1</v>
          </cell>
          <cell r="B1847" t="str">
            <v>AIP-PDO-P1701009-T-1243</v>
          </cell>
          <cell r="C1847">
            <v>43625</v>
          </cell>
          <cell r="D1847" t="str">
            <v>KHF-00-104265-RA-6038-01704-0000</v>
          </cell>
          <cell r="E1847" t="str">
            <v>Radiographic Examination Procedure for Corrosion Chemical Inhibitor Storage Tank</v>
          </cell>
          <cell r="F1847">
            <v>1</v>
          </cell>
          <cell r="G1847" t="str">
            <v>IFR</v>
          </cell>
        </row>
        <row r="1848">
          <cell r="A1848" t="str">
            <v>KHF-00-104265-RA-6038-01705-0000-1</v>
          </cell>
          <cell r="B1848" t="str">
            <v>AIP-PDO-P1701009-T-1243</v>
          </cell>
          <cell r="C1848">
            <v>43625</v>
          </cell>
          <cell r="D1848" t="str">
            <v>KHF-00-104265-RA-6038-01705-0000</v>
          </cell>
          <cell r="E1848" t="str">
            <v>Liquid Penetrant Examination Procedure for Corrosion Inhibitor Chemical Storage Tanks</v>
          </cell>
          <cell r="F1848">
            <v>1</v>
          </cell>
          <cell r="G1848" t="str">
            <v>IFR</v>
          </cell>
        </row>
        <row r="1849">
          <cell r="A1849" t="str">
            <v>KHF-00-104265-AA-6944-20020-0000-1</v>
          </cell>
          <cell r="B1849" t="str">
            <v>AIP-PDO-P1701009-T-1244</v>
          </cell>
          <cell r="C1849">
            <v>43626</v>
          </cell>
          <cell r="D1849" t="str">
            <v>KHF-00-104265-AA-6944-20020-0000</v>
          </cell>
          <cell r="E1849" t="str">
            <v>MONTHLY PROGRESS REPORT NO.020 (MAY 2019)</v>
          </cell>
          <cell r="F1849">
            <v>1</v>
          </cell>
          <cell r="G1849" t="str">
            <v>IFR</v>
          </cell>
        </row>
        <row r="1850">
          <cell r="A1850" t="str">
            <v>KHF-00-104265-RA-8241-51212-0000-1</v>
          </cell>
          <cell r="B1850" t="str">
            <v>AIP-PDO-P1701009-T-1245</v>
          </cell>
          <cell r="C1850">
            <v>43626</v>
          </cell>
          <cell r="D1850" t="str">
            <v>KHF-00-104265-RA-8241-51212-0000</v>
          </cell>
          <cell r="E1850" t="str">
            <v>Material Approval Sheet for LV Portable Earthing Leads</v>
          </cell>
          <cell r="F1850">
            <v>1</v>
          </cell>
          <cell r="G1850" t="str">
            <v>IFA</v>
          </cell>
        </row>
        <row r="1851">
          <cell r="A1851" t="str">
            <v>KHF-00-104265-RA-8241-51213-0000-1</v>
          </cell>
          <cell r="B1851" t="str">
            <v>AIP-PDO-P1701009-T-1245</v>
          </cell>
          <cell r="C1851">
            <v>43626</v>
          </cell>
          <cell r="D1851" t="str">
            <v>KHF-00-104265-RA-8241-51213-0000</v>
          </cell>
          <cell r="E1851" t="str">
            <v>Material Approval Sheet for High Voltage Test Equipment</v>
          </cell>
          <cell r="F1851">
            <v>1</v>
          </cell>
          <cell r="G1851" t="str">
            <v>IFA</v>
          </cell>
        </row>
        <row r="1852">
          <cell r="A1852" t="str">
            <v>KHF-00-104265-AA-6944-10083-0000-1</v>
          </cell>
          <cell r="B1852" t="str">
            <v>AIP-PDO-P1701009-T-1246</v>
          </cell>
          <cell r="C1852">
            <v>43626</v>
          </cell>
          <cell r="D1852" t="str">
            <v>KHF-00-104265-AA-6944-10083-0000</v>
          </cell>
          <cell r="E1852" t="str">
            <v>Weekly Progress Report No.083</v>
          </cell>
          <cell r="F1852">
            <v>1</v>
          </cell>
          <cell r="G1852" t="str">
            <v>IFR</v>
          </cell>
        </row>
        <row r="1853">
          <cell r="A1853" t="str">
            <v>KHF-00-104265-RA-6038-01702-0000-1</v>
          </cell>
          <cell r="B1853" t="str">
            <v>AIP-PDO-P1701009-T-1247</v>
          </cell>
          <cell r="C1853">
            <v>43626</v>
          </cell>
          <cell r="D1853" t="str">
            <v>KHF-00-104265-RA-6038-01702-0000</v>
          </cell>
          <cell r="E1853" t="str">
            <v>Vacuum Box Text Procedure for Corrosion Inhibitor Chemical Storage Tanks</v>
          </cell>
          <cell r="F1853">
            <v>1</v>
          </cell>
          <cell r="G1853" t="str">
            <v>IFR</v>
          </cell>
        </row>
        <row r="1854">
          <cell r="A1854" t="str">
            <v>KHF-00-104265-RA-6038-01703-0000-1</v>
          </cell>
          <cell r="B1854" t="str">
            <v>AIP-PDO-P1701009-T-1247</v>
          </cell>
          <cell r="C1854">
            <v>43626</v>
          </cell>
          <cell r="D1854" t="str">
            <v>KHF-00-104265-RA-6038-01703-0000</v>
          </cell>
          <cell r="E1854" t="str">
            <v>Penetrant Oil (Diesel) Test Procedure for Corrosion Inhibitor Chemical Storage Tanks</v>
          </cell>
          <cell r="F1854">
            <v>1</v>
          </cell>
          <cell r="G1854" t="str">
            <v>IFR</v>
          </cell>
        </row>
        <row r="1855">
          <cell r="A1855" t="str">
            <v>KHF-00-104265-AA-3347-30043-0000-1</v>
          </cell>
          <cell r="B1855" t="str">
            <v>AIP-PDO-P1701009-T-1248</v>
          </cell>
          <cell r="C1855">
            <v>43627</v>
          </cell>
          <cell r="D1855" t="str">
            <v>KHF-00-104265-AA-3347-30043-0000</v>
          </cell>
          <cell r="E1855" t="str">
            <v>MINUTES OF WEEKLY REVIEW MEETING (SITE) NO. 43</v>
          </cell>
          <cell r="F1855">
            <v>1</v>
          </cell>
          <cell r="G1855" t="str">
            <v>IFI</v>
          </cell>
        </row>
        <row r="1856">
          <cell r="A1856" t="str">
            <v>KHF-00-104265-AA-3347-30044-0000-1</v>
          </cell>
          <cell r="B1856" t="str">
            <v>AIP-PDO-P1701009-T-1248</v>
          </cell>
          <cell r="C1856">
            <v>43627</v>
          </cell>
          <cell r="D1856" t="str">
            <v>KHF-00-104265-AA-3347-30044-0000</v>
          </cell>
          <cell r="E1856" t="str">
            <v>MINUTES OF WEEKLY REVIEW MEETING (SITE) NO. 44</v>
          </cell>
          <cell r="F1856">
            <v>1</v>
          </cell>
          <cell r="G1856" t="str">
            <v>IFI</v>
          </cell>
        </row>
        <row r="1857">
          <cell r="A1857" t="str">
            <v>KHF-00-104265-AA-3347-30045-0000-1</v>
          </cell>
          <cell r="B1857" t="str">
            <v>AIP-PDO-P1701009-T-1248</v>
          </cell>
          <cell r="C1857">
            <v>43627</v>
          </cell>
          <cell r="D1857" t="str">
            <v>KHF-00-104265-AA-3347-30045-0000</v>
          </cell>
          <cell r="E1857" t="str">
            <v>MINUTES OF WEEKLY REVIEW MEETING (SITE) NO. 45</v>
          </cell>
          <cell r="F1857">
            <v>1</v>
          </cell>
          <cell r="G1857" t="str">
            <v>IFI</v>
          </cell>
        </row>
        <row r="1858">
          <cell r="A1858" t="str">
            <v>KHF-00-104265-RA-6038-00917-0000-2</v>
          </cell>
          <cell r="B1858" t="str">
            <v>AIP-PDO-P1701009-T-1249</v>
          </cell>
          <cell r="C1858">
            <v>43628</v>
          </cell>
          <cell r="D1858" t="str">
            <v>KHF-00-104265-RA-6038-00917-0000</v>
          </cell>
          <cell r="E1858" t="str">
            <v>Procedure for Digitization of Radiographs</v>
          </cell>
          <cell r="F1858">
            <v>2</v>
          </cell>
          <cell r="G1858" t="str">
            <v>IFA</v>
          </cell>
        </row>
        <row r="1859">
          <cell r="A1859" t="str">
            <v>KHF-00-104265-BA-6065-01304-0000-2</v>
          </cell>
          <cell r="B1859" t="str">
            <v>AIP-PDO-P1701009-T-1250</v>
          </cell>
          <cell r="C1859">
            <v>43628</v>
          </cell>
          <cell r="D1859" t="str">
            <v>KHF-00-104265-BA-6065-01304-0000</v>
          </cell>
          <cell r="E1859" t="str">
            <v>Non Sour Service  - Welding Procedure specification for P1-P4 Dissimilar Welding JWPS - 06 &amp; JPQR - 06</v>
          </cell>
          <cell r="F1859">
            <v>2</v>
          </cell>
          <cell r="G1859" t="str">
            <v>IFA</v>
          </cell>
        </row>
        <row r="1860">
          <cell r="A1860" t="str">
            <v>KHF-00-104265-BA-6065-01316-0000-2</v>
          </cell>
          <cell r="B1860" t="str">
            <v>AIP-PDO-P1701009-T-1250</v>
          </cell>
          <cell r="C1860">
            <v>43628</v>
          </cell>
          <cell r="D1860" t="str">
            <v>KHF-00-104265-BA-6065-01316-0000</v>
          </cell>
          <cell r="E1860" t="str">
            <v>Welding Procedure Specification - Structural Welding JWPS-410S &amp; JEL-PQR-SBRP1-SS409-01 (Non-Sour Service)</v>
          </cell>
          <cell r="F1860">
            <v>2</v>
          </cell>
          <cell r="G1860" t="str">
            <v>IFA</v>
          </cell>
        </row>
        <row r="1861">
          <cell r="A1861" t="str">
            <v>KHF-00-104265-BA-6065-50066-0000-2</v>
          </cell>
          <cell r="B1861" t="str">
            <v>AIP-PDO-P1701009-T-1251</v>
          </cell>
          <cell r="C1861">
            <v>43628</v>
          </cell>
          <cell r="D1861" t="str">
            <v>KHF-00-104265-BA-6065-50066-0000</v>
          </cell>
          <cell r="E1861" t="str">
            <v>Welding, NDT &amp; GRE PCAP Control ID Index (Control IDs – 170,176 &amp; 488)</v>
          </cell>
          <cell r="F1861">
            <v>2</v>
          </cell>
          <cell r="G1861" t="str">
            <v>IFA</v>
          </cell>
        </row>
        <row r="1862">
          <cell r="A1862" t="str">
            <v>KHF-00-104265-AA-3347-20018-0000-1</v>
          </cell>
          <cell r="B1862" t="str">
            <v>AIP-PDO-P1701009-T-1252</v>
          </cell>
          <cell r="C1862">
            <v>43628</v>
          </cell>
          <cell r="D1862" t="str">
            <v>KHF-00-104265-AA-3347-20018-0000</v>
          </cell>
          <cell r="E1862" t="str">
            <v>Minutes of Monthly Review Meeting  No.18</v>
          </cell>
          <cell r="F1862">
            <v>1</v>
          </cell>
          <cell r="G1862" t="str">
            <v>IFI</v>
          </cell>
        </row>
        <row r="1863">
          <cell r="A1863" t="str">
            <v>KHF-00-104265-AA-3347-20019-0000-1</v>
          </cell>
          <cell r="B1863" t="str">
            <v>AIP-PDO-P1701009-T-1252</v>
          </cell>
          <cell r="C1863">
            <v>43628</v>
          </cell>
          <cell r="D1863" t="str">
            <v>KHF-00-104265-AA-3347-20019-0000</v>
          </cell>
          <cell r="E1863" t="str">
            <v>Minutes of Monthly Review Meeting  No.19</v>
          </cell>
          <cell r="F1863">
            <v>1</v>
          </cell>
          <cell r="G1863" t="str">
            <v>IFI</v>
          </cell>
        </row>
        <row r="1864">
          <cell r="A1864" t="str">
            <v>KHF-00-104265-AA-3341-60168-0000-2</v>
          </cell>
          <cell r="B1864" t="str">
            <v>AIP-PDO-P1701009-T-1253</v>
          </cell>
          <cell r="C1864">
            <v>43632</v>
          </cell>
          <cell r="D1864" t="str">
            <v>KHF-00-104265-AA-3341-60168-0000</v>
          </cell>
          <cell r="E1864" t="str">
            <v>CV of Mr. Naveen D’ Souza - QCI Electrical</v>
          </cell>
          <cell r="F1864">
            <v>2</v>
          </cell>
          <cell r="G1864" t="str">
            <v>IFA</v>
          </cell>
        </row>
        <row r="1865">
          <cell r="A1865" t="str">
            <v>KHF-00-104265-RA-8241-51216-0000-1</v>
          </cell>
          <cell r="B1865" t="str">
            <v>AIP-PDO-P1701009-T-1254</v>
          </cell>
          <cell r="C1865">
            <v>43632</v>
          </cell>
          <cell r="D1865" t="str">
            <v>KHF-00-104265-RA-8241-51216-0000</v>
          </cell>
          <cell r="E1865" t="str">
            <v>Material Approval Sheet for Portable Hand-Held Torch Light with Battery Backup</v>
          </cell>
          <cell r="F1865">
            <v>1</v>
          </cell>
          <cell r="G1865" t="str">
            <v>IFA</v>
          </cell>
        </row>
        <row r="1866">
          <cell r="A1866" t="str">
            <v>cancelled</v>
          </cell>
          <cell r="B1866" t="str">
            <v>AIP-PDO-P1701009-T-1255</v>
          </cell>
          <cell r="C1866">
            <v>43632</v>
          </cell>
          <cell r="D1866" t="str">
            <v>KHF-00-104265-RA-8241-51214-0000</v>
          </cell>
          <cell r="E1866" t="str">
            <v>Material Approval Sheet for PVC Round Edge Corner Profile</v>
          </cell>
          <cell r="F1866">
            <v>1</v>
          </cell>
          <cell r="G1866" t="str">
            <v>IFA</v>
          </cell>
        </row>
        <row r="1867">
          <cell r="A1867" t="str">
            <v>KHF-00-104265-RA-8241-51215-0000-1</v>
          </cell>
          <cell r="B1867" t="str">
            <v>AIP-PDO-P1701009-T-1256</v>
          </cell>
          <cell r="C1867">
            <v>43633</v>
          </cell>
          <cell r="D1867" t="str">
            <v>KHF-00-104265-RA-8241-51215-0000</v>
          </cell>
          <cell r="E1867" t="str">
            <v>Material Approval Sheet for Damp Tolerant Epoxy Floor Coating to External Corridor in 132KV GIS Substation</v>
          </cell>
          <cell r="F1867">
            <v>1</v>
          </cell>
          <cell r="G1867" t="str">
            <v>IFA</v>
          </cell>
        </row>
        <row r="1868">
          <cell r="A1868" t="str">
            <v>KHF-00-104265-AA-6944-10084-0000-1</v>
          </cell>
          <cell r="B1868" t="str">
            <v>AIP-PDO-P1701009-T-1257</v>
          </cell>
          <cell r="C1868">
            <v>43633</v>
          </cell>
          <cell r="D1868" t="str">
            <v>KHF-00-104265-AA-6944-10084-0000</v>
          </cell>
          <cell r="E1868" t="str">
            <v>Weekly Progress Report No.084</v>
          </cell>
          <cell r="F1868">
            <v>1</v>
          </cell>
          <cell r="G1868" t="str">
            <v>IFR</v>
          </cell>
        </row>
        <row r="1869">
          <cell r="A1869" t="str">
            <v>KHF-00-104265-RA-8241-51214-0000-1</v>
          </cell>
          <cell r="B1869" t="str">
            <v>AIP-PDO-P1701009-T-1258</v>
          </cell>
          <cell r="C1869">
            <v>43633</v>
          </cell>
          <cell r="D1869" t="str">
            <v>KHF-00-104265-RA-8241-51214-0000</v>
          </cell>
          <cell r="E1869" t="str">
            <v>MATERIAL APPROVAL SHEET FOR ROUND EDGE PVC CORNER PROFILE FOR EXTERNAL CORNERS AND EDGES OF TILES</v>
          </cell>
          <cell r="F1869">
            <v>1</v>
          </cell>
          <cell r="G1869" t="str">
            <v>IFA</v>
          </cell>
        </row>
        <row r="1870">
          <cell r="A1870" t="str">
            <v>KHF-00-104265-RA-8241-51217-0000-1</v>
          </cell>
          <cell r="B1870" t="str">
            <v>AIP-PDO-P1701009-T-1259</v>
          </cell>
          <cell r="C1870">
            <v>43636</v>
          </cell>
          <cell r="D1870" t="str">
            <v>KHF-00-104265-RA-8241-51217-0000</v>
          </cell>
          <cell r="E1870" t="str">
            <v>MATERIAL APPROVAL SHEET FOR WALL MOUNTING TYPE KEY SAFE BOX</v>
          </cell>
          <cell r="F1870">
            <v>1</v>
          </cell>
          <cell r="G1870" t="str">
            <v>IFA</v>
          </cell>
        </row>
        <row r="1871">
          <cell r="A1871" t="str">
            <v>KHF-00-104265-RA-8241-51218-0000-1</v>
          </cell>
          <cell r="B1871" t="str">
            <v>AIP-PDO-P1701009-T-1259</v>
          </cell>
          <cell r="C1871">
            <v>43636</v>
          </cell>
          <cell r="D1871" t="str">
            <v>KHF-00-104265-RA-8241-51218-0000</v>
          </cell>
          <cell r="E1871" t="str">
            <v>MATERIAL APPROVAL SHEET FOR SANITARY FITTINGS TO GTG SUBSTATION TOILETS (AUTOMATED TISSUE PAPER DISPENSER &amp; WASTE BIN)</v>
          </cell>
          <cell r="F1871">
            <v>1</v>
          </cell>
          <cell r="G1871" t="str">
            <v>IFA</v>
          </cell>
        </row>
        <row r="1872">
          <cell r="A1872" t="str">
            <v>KHF-00-104265-AA-3341-60134-0000-2</v>
          </cell>
          <cell r="B1872" t="str">
            <v>AIP-PDO-P1701009-T-1260</v>
          </cell>
          <cell r="C1872">
            <v>43636</v>
          </cell>
          <cell r="D1872" t="str">
            <v>KHF-00-104265-AA-3341-60134-0000</v>
          </cell>
          <cell r="E1872" t="str">
            <v>CV of Mr. D. Thamizharasan - Lead QA/QC Engineer</v>
          </cell>
          <cell r="F1872">
            <v>2</v>
          </cell>
          <cell r="G1872" t="str">
            <v>IFA</v>
          </cell>
        </row>
        <row r="1873">
          <cell r="A1873" t="str">
            <v>KHF-00-104265-BA-6070-41020-0000-1</v>
          </cell>
          <cell r="B1873" t="str">
            <v>AIP-PDO-P1701009-T-1261</v>
          </cell>
          <cell r="C1873">
            <v>43636</v>
          </cell>
          <cell r="D1873" t="str">
            <v>KHF-00-104265-BA-6070-41020-0000</v>
          </cell>
          <cell r="E1873" t="str">
            <v>Method Statement for Suspended Ceilings</v>
          </cell>
          <cell r="F1873">
            <v>1</v>
          </cell>
          <cell r="G1873" t="str">
            <v>IFR</v>
          </cell>
        </row>
        <row r="1874">
          <cell r="A1874" t="str">
            <v>KHF-00-104265-AA-3341-60172-0000-1</v>
          </cell>
          <cell r="B1874" t="str">
            <v>AIP-PDO-P1701009-T-1262</v>
          </cell>
          <cell r="C1874">
            <v>43636</v>
          </cell>
          <cell r="D1874" t="str">
            <v>KHF-00-104265-AA-3341-60172-0000</v>
          </cell>
          <cell r="E1874" t="str">
            <v>CV OF MR. M. SOMASUNDARAM  - GRE INSPECTOR - HIGH PRESSURE GRE FLOWLINE</v>
          </cell>
          <cell r="F1874">
            <v>1</v>
          </cell>
          <cell r="G1874" t="str">
            <v>IFA</v>
          </cell>
        </row>
        <row r="1875">
          <cell r="A1875" t="str">
            <v>KHF-00-104265-AA-3341-00162-0000-1</v>
          </cell>
          <cell r="B1875" t="str">
            <v>AIP-PDO-P1701009-T-1263</v>
          </cell>
          <cell r="C1875">
            <v>43640</v>
          </cell>
          <cell r="D1875" t="str">
            <v>KHF-00-104265-AA-3341-00162-0000</v>
          </cell>
          <cell r="E1875" t="str">
            <v>CV OF MR. RAJKUMAR YADAV - GRE JOINTER</v>
          </cell>
          <cell r="F1875">
            <v>1</v>
          </cell>
          <cell r="G1875" t="str">
            <v>IFA</v>
          </cell>
        </row>
        <row r="1876">
          <cell r="A1876" t="str">
            <v>KHF-00-104265-RA-6038-00609-0000-3</v>
          </cell>
          <cell r="B1876" t="str">
            <v>AIP-PDO-P1701009-T-1264</v>
          </cell>
          <cell r="C1876">
            <v>43640</v>
          </cell>
          <cell r="D1876" t="str">
            <v>KHF-00-104265-RA-6038-00609-0000</v>
          </cell>
          <cell r="E1876" t="str">
            <v>Visual Examination Procedure for CS / LTCS Piping Spools</v>
          </cell>
          <cell r="F1876">
            <v>3</v>
          </cell>
          <cell r="G1876" t="str">
            <v>IFA</v>
          </cell>
        </row>
        <row r="1877">
          <cell r="A1877" t="str">
            <v>KHF-00-104265-RA-8241-51220-0000-1</v>
          </cell>
          <cell r="B1877" t="str">
            <v>AIP-PDO-P1701009-T-1265</v>
          </cell>
          <cell r="C1877">
            <v>43640</v>
          </cell>
          <cell r="D1877" t="str">
            <v>KHF-00-104265-RA-8241-51220-0000</v>
          </cell>
          <cell r="E1877" t="str">
            <v>Material Approval Sheet for Anchor Bracket using in Flange Pit</v>
          </cell>
          <cell r="F1877">
            <v>1</v>
          </cell>
          <cell r="G1877" t="str">
            <v>IFA</v>
          </cell>
        </row>
        <row r="1878">
          <cell r="A1878" t="str">
            <v>KHF-00-104265-AA-6944-10085-0000-1</v>
          </cell>
          <cell r="B1878" t="str">
            <v>AIP-PDO-P1701009-T-1266</v>
          </cell>
          <cell r="C1878">
            <v>43641</v>
          </cell>
          <cell r="D1878" t="str">
            <v>KHF-00-104265-AA-6944-10085-0000</v>
          </cell>
          <cell r="E1878" t="str">
            <v>Weekly Progress Report No.085</v>
          </cell>
          <cell r="F1878">
            <v>1</v>
          </cell>
          <cell r="G1878" t="str">
            <v>IFR</v>
          </cell>
        </row>
        <row r="1879">
          <cell r="A1879" t="str">
            <v>KHF-00-104265-BA-6070-42037-0000-1</v>
          </cell>
          <cell r="B1879" t="str">
            <v>AIP-PDO-P1701009-T-1267</v>
          </cell>
          <cell r="C1879">
            <v>43641</v>
          </cell>
          <cell r="D1879" t="str">
            <v>KHF-00-104265-BA-6070-42037-0000</v>
          </cell>
          <cell r="E1879" t="str">
            <v>Method Statement for Piping Air Blowing</v>
          </cell>
          <cell r="F1879">
            <v>1</v>
          </cell>
          <cell r="G1879" t="str">
            <v>IFR</v>
          </cell>
        </row>
        <row r="1880">
          <cell r="A1880" t="str">
            <v>KHF-00-104265-BA-6065-01304-0000-3</v>
          </cell>
          <cell r="B1880" t="str">
            <v>AIP-PDO-P1701009-T-1268</v>
          </cell>
          <cell r="C1880">
            <v>43642</v>
          </cell>
          <cell r="D1880" t="str">
            <v>KHF-00-104265-BA-6065-01304-0000</v>
          </cell>
          <cell r="E1880" t="str">
            <v>Non Sour Service  - Welding Procedure specification for P1-P4 Dissimilar Welding JWPS - 06 &amp; JPQR - 543</v>
          </cell>
          <cell r="F1880">
            <v>3</v>
          </cell>
          <cell r="G1880" t="str">
            <v>IFA</v>
          </cell>
        </row>
        <row r="1881">
          <cell r="A1881" t="str">
            <v>KHF-00-104265-RA-8241-51219-0000-1</v>
          </cell>
          <cell r="B1881" t="str">
            <v>AIP-PDO-P1701009-T-1269</v>
          </cell>
          <cell r="C1881">
            <v>43646</v>
          </cell>
          <cell r="D1881" t="str">
            <v>KHF-00-104265-RA-8241-51219-0000</v>
          </cell>
          <cell r="E1881" t="str">
            <v>Material Approval Sheet for Industrial First Aid Kit</v>
          </cell>
          <cell r="F1881">
            <v>1</v>
          </cell>
          <cell r="G1881" t="str">
            <v>IFA</v>
          </cell>
        </row>
        <row r="1882">
          <cell r="A1882" t="str">
            <v>KHF-00-104265-RA-8241-51221-0000-1</v>
          </cell>
          <cell r="B1882" t="str">
            <v>AIP-PDO-P1701009-T-1269</v>
          </cell>
          <cell r="C1882">
            <v>43646</v>
          </cell>
          <cell r="D1882" t="str">
            <v>KHF-00-104265-RA-8241-51221-0000</v>
          </cell>
          <cell r="E1882" t="str">
            <v>Material Approval Sheet for Austren Garnet - Mesh Size (30-60)</v>
          </cell>
          <cell r="F1882">
            <v>1</v>
          </cell>
          <cell r="G1882" t="str">
            <v>IFA</v>
          </cell>
        </row>
        <row r="1883">
          <cell r="A1883" t="str">
            <v>KHF-00-104265-BA-6070-42038-0000-1</v>
          </cell>
          <cell r="B1883" t="str">
            <v>AIP-PDO-P1701009-T-1270</v>
          </cell>
          <cell r="C1883">
            <v>43646</v>
          </cell>
          <cell r="D1883" t="str">
            <v>KHF-00-104265-BA-6070-42038-0000</v>
          </cell>
          <cell r="E1883" t="str">
            <v>Method Statement for Piping Color Coding</v>
          </cell>
          <cell r="F1883">
            <v>1</v>
          </cell>
          <cell r="G1883" t="str">
            <v>IFR</v>
          </cell>
        </row>
        <row r="1884">
          <cell r="A1884" t="str">
            <v>KHF-00-104265-QA-6050-01302-0000-3</v>
          </cell>
          <cell r="B1884" t="str">
            <v>AIP-PDO-P1701009-T-1271</v>
          </cell>
          <cell r="C1884">
            <v>43646</v>
          </cell>
          <cell r="D1884" t="str">
            <v>KHF-00-104265-QA-6050-01302-0000</v>
          </cell>
          <cell r="E1884" t="str">
            <v>Weld Repair Procedure</v>
          </cell>
          <cell r="F1884">
            <v>3</v>
          </cell>
          <cell r="G1884" t="str">
            <v>IFA</v>
          </cell>
        </row>
        <row r="1885">
          <cell r="A1885" t="str">
            <v>KHF-00-104265-RA-6038-01312-0000-2</v>
          </cell>
          <cell r="B1885" t="str">
            <v>AIP-PDO-P1701009-T-1272</v>
          </cell>
          <cell r="C1885">
            <v>43646</v>
          </cell>
          <cell r="D1885" t="str">
            <v>KHF-00-104265-RA-6038-01312-0000</v>
          </cell>
          <cell r="E1885" t="str">
            <v>Visual Testing Procedure By M/s Hitech</v>
          </cell>
          <cell r="F1885">
            <v>2</v>
          </cell>
          <cell r="G1885" t="str">
            <v>IFA</v>
          </cell>
        </row>
        <row r="1886">
          <cell r="A1886" t="str">
            <v>KHF-00-104265-RA-6038-01314-0000-2</v>
          </cell>
          <cell r="B1886" t="str">
            <v>AIP-PDO-P1701009-T-1272</v>
          </cell>
          <cell r="C1886">
            <v>43646</v>
          </cell>
          <cell r="D1886" t="str">
            <v>KHF-00-104265-RA-6038-01314-0000</v>
          </cell>
          <cell r="E1886" t="str">
            <v>Ferrite Testing Procedure</v>
          </cell>
          <cell r="F1886">
            <v>2</v>
          </cell>
          <cell r="G1886" t="str">
            <v>IFA</v>
          </cell>
        </row>
        <row r="1887">
          <cell r="A1887" t="str">
            <v>KHF-00-104265-FA-5804-10011-0000-2</v>
          </cell>
          <cell r="B1887" t="str">
            <v>AIP-PDO-P1701009-T-1273</v>
          </cell>
          <cell r="C1887">
            <v>43647</v>
          </cell>
          <cell r="D1887" t="str">
            <v>KHF-00-104265-FA-5804-10011-0000</v>
          </cell>
          <cell r="E1887" t="str">
            <v>90 Days Work Plan</v>
          </cell>
          <cell r="F1887">
            <v>2</v>
          </cell>
          <cell r="G1887" t="str">
            <v>IFI</v>
          </cell>
        </row>
        <row r="1888">
          <cell r="A1888" t="str">
            <v>KHF-00-104265-AA-6944-10086-0000-1</v>
          </cell>
          <cell r="B1888" t="str">
            <v>AIP-PDO-P1701009-T-1274</v>
          </cell>
          <cell r="C1888">
            <v>43647</v>
          </cell>
          <cell r="D1888" t="str">
            <v>KHF-00-104265-AA-6944-10086-0000</v>
          </cell>
          <cell r="E1888" t="str">
            <v>Weekly Progress Report No.086</v>
          </cell>
          <cell r="F1888">
            <v>1</v>
          </cell>
          <cell r="G1888" t="str">
            <v>IFR</v>
          </cell>
        </row>
        <row r="1889">
          <cell r="A1889" t="str">
            <v>KHF-00-104265-RA-8241-51222-0000-1</v>
          </cell>
          <cell r="B1889" t="str">
            <v>AIP-PDO-P1701009-T-1275</v>
          </cell>
          <cell r="C1889">
            <v>43647</v>
          </cell>
          <cell r="D1889" t="str">
            <v>KHF-00-104265-RA-8241-51222-0000</v>
          </cell>
          <cell r="E1889" t="str">
            <v>Material Approval Sheet for Wall Tiles for Pantry Room of GTG Building</v>
          </cell>
          <cell r="F1889">
            <v>1</v>
          </cell>
          <cell r="G1889" t="str">
            <v>IFA</v>
          </cell>
        </row>
        <row r="1890">
          <cell r="A1890" t="str">
            <v>KHF-00-104265-BA-6070-44007-0000-2</v>
          </cell>
          <cell r="B1890" t="str">
            <v>AIP-PDO-P1701009-T-1276</v>
          </cell>
          <cell r="C1890">
            <v>43647</v>
          </cell>
          <cell r="D1890" t="str">
            <v>KHF-00-104265-BA-6070-44007-0000</v>
          </cell>
          <cell r="E1890" t="str">
            <v>Method Statement for Loop Checking and Function Checking Instruments</v>
          </cell>
          <cell r="F1890">
            <v>2</v>
          </cell>
          <cell r="G1890" t="str">
            <v>IFA</v>
          </cell>
        </row>
        <row r="1891">
          <cell r="A1891" t="str">
            <v>KHF-00-104265-RA-6038-10076-0000-2</v>
          </cell>
          <cell r="B1891" t="str">
            <v>AIP-PDO-P1701009-T-1277</v>
          </cell>
          <cell r="C1891">
            <v>43648</v>
          </cell>
          <cell r="D1891" t="str">
            <v>KHF-00-104265-RA-6038-10076-0000</v>
          </cell>
          <cell r="E1891" t="str">
            <v>Procedure for Visual Inspection of Piping Using Boroscope by M/s GTIS</v>
          </cell>
          <cell r="F1891">
            <v>2</v>
          </cell>
          <cell r="G1891" t="str">
            <v>IFA</v>
          </cell>
        </row>
        <row r="1892">
          <cell r="A1892" t="str">
            <v>KHF-00-104265-RA-6038-01704-0000-2</v>
          </cell>
          <cell r="B1892" t="str">
            <v>AIP-PDO-P1701009-T-1278</v>
          </cell>
          <cell r="C1892">
            <v>43648</v>
          </cell>
          <cell r="D1892" t="str">
            <v>KHF-00-104265-RA-6038-01704-0000</v>
          </cell>
          <cell r="E1892" t="str">
            <v>Radiographic Examination Procedure for Corrosion Inhibitor Chemical Storage Tanks</v>
          </cell>
          <cell r="F1892">
            <v>2</v>
          </cell>
          <cell r="G1892" t="str">
            <v>IFA</v>
          </cell>
        </row>
        <row r="1893">
          <cell r="A1893" t="str">
            <v>KHF-00-104265-RA-6038-01705-0000-2</v>
          </cell>
          <cell r="B1893" t="str">
            <v>AIP-PDO-P1701009-T-1278</v>
          </cell>
          <cell r="C1893">
            <v>43648</v>
          </cell>
          <cell r="D1893" t="str">
            <v>KHF-00-104265-RA-6038-01705-0000</v>
          </cell>
          <cell r="E1893" t="str">
            <v>Liquid Penetrant Examination for Corrosion Inhibitor Chemical Storage Tanks</v>
          </cell>
          <cell r="F1893">
            <v>2</v>
          </cell>
          <cell r="G1893" t="str">
            <v>IFA</v>
          </cell>
        </row>
        <row r="1894">
          <cell r="A1894" t="str">
            <v>KHF-00-104265-AA-3347-30048-0000-1</v>
          </cell>
          <cell r="B1894" t="str">
            <v>AIP-PDO-P1701009-T-1279</v>
          </cell>
          <cell r="C1894">
            <v>43648</v>
          </cell>
          <cell r="D1894" t="str">
            <v>KHF-00-104265-AA-3347-30048-0000</v>
          </cell>
          <cell r="E1894" t="str">
            <v>MINUTES OF WEEKLY REVIEW MEETING (SITE) NO. 48</v>
          </cell>
          <cell r="F1894">
            <v>1</v>
          </cell>
          <cell r="G1894" t="str">
            <v>IFI</v>
          </cell>
        </row>
        <row r="1895">
          <cell r="A1895" t="str">
            <v>KHF-00-104265-RA-6038-01708-0000-1</v>
          </cell>
          <cell r="B1895" t="str">
            <v>AIP-PDO-P1701009-T-1280</v>
          </cell>
          <cell r="C1895">
            <v>43649</v>
          </cell>
          <cell r="D1895" t="str">
            <v>KHF-00-104265-RA-6038-01708-0000</v>
          </cell>
          <cell r="E1895" t="str">
            <v>External Surface Preparation and Painting Procedure for Corrosion Inhibitor Chemical Storage Tanks</v>
          </cell>
          <cell r="F1895">
            <v>1</v>
          </cell>
          <cell r="G1895" t="str">
            <v>IFR</v>
          </cell>
        </row>
        <row r="1896">
          <cell r="A1896" t="str">
            <v>KHF-00-104265-QA-5733-01709-0000-1</v>
          </cell>
          <cell r="B1896" t="str">
            <v>AIP-PDO-P1701009-T-1281</v>
          </cell>
          <cell r="C1896">
            <v>43649</v>
          </cell>
          <cell r="D1896" t="str">
            <v>KHF-00-104265-QA-5733-01709-0000</v>
          </cell>
          <cell r="E1896" t="str">
            <v>Inspection Test Plan for External Surface Preparation and Painting for Corrosion Inhibitor Chemical Storage Tanks</v>
          </cell>
          <cell r="F1896">
            <v>1</v>
          </cell>
          <cell r="G1896" t="str">
            <v>IFR</v>
          </cell>
        </row>
        <row r="1897">
          <cell r="A1897" t="str">
            <v>KHF-00-104265-RA-8241-51223-0000-1</v>
          </cell>
          <cell r="B1897" t="str">
            <v>AIP-PDO-P1701009-T-1282</v>
          </cell>
          <cell r="C1897">
            <v>43650</v>
          </cell>
          <cell r="D1897" t="str">
            <v>KHF-00-104265-RA-8241-51223-0000</v>
          </cell>
          <cell r="E1897" t="str">
            <v>Material Approval Sheet for Portable Adjustable Aluminium Ladder 7mtr</v>
          </cell>
          <cell r="F1897">
            <v>1</v>
          </cell>
          <cell r="G1897" t="str">
            <v>IFA</v>
          </cell>
        </row>
        <row r="1898">
          <cell r="A1898" t="str">
            <v>KHF-00-104265-RA-8241-51224-0000-1</v>
          </cell>
          <cell r="B1898" t="str">
            <v>AIP-PDO-P1701009-T-1283</v>
          </cell>
          <cell r="C1898">
            <v>43650</v>
          </cell>
          <cell r="D1898" t="str">
            <v>KHF-00-104265-RA-8241-51224-0000</v>
          </cell>
          <cell r="E1898" t="str">
            <v>Material Approval Sheet for Sensor Operated Tissue Dispenser &amp; Waste Bin</v>
          </cell>
          <cell r="F1898">
            <v>1</v>
          </cell>
          <cell r="G1898" t="str">
            <v>IFA</v>
          </cell>
        </row>
        <row r="1899">
          <cell r="A1899" t="str">
            <v>KHF-00-104265-RA-6038-01315-0000-1</v>
          </cell>
          <cell r="B1899" t="str">
            <v>AIP-PDO-P1701009-T-1284</v>
          </cell>
          <cell r="C1899">
            <v>43650</v>
          </cell>
          <cell r="D1899" t="str">
            <v>KHF-00-104265-RA-6038-01315-0000</v>
          </cell>
          <cell r="E1899" t="str">
            <v>Procedure for Radiography Film Digitization by JEL (Hitech)</v>
          </cell>
          <cell r="F1899">
            <v>1</v>
          </cell>
          <cell r="G1899" t="str">
            <v>IFR</v>
          </cell>
        </row>
        <row r="1900">
          <cell r="A1900" t="str">
            <v>KHF-00-104265-AA-3341-00163-0000-1</v>
          </cell>
          <cell r="B1900" t="str">
            <v>AIP-PDO-P1701009-T-1285</v>
          </cell>
          <cell r="C1900">
            <v>43653</v>
          </cell>
          <cell r="D1900" t="str">
            <v>KHF-00-104265-AA-3341-00163-0000</v>
          </cell>
          <cell r="E1900" t="str">
            <v>CV OF MR. VISHNU. R - HSE ADVISOR</v>
          </cell>
          <cell r="F1900">
            <v>1</v>
          </cell>
          <cell r="G1900" t="str">
            <v>IFA</v>
          </cell>
        </row>
        <row r="1901">
          <cell r="A1901" t="str">
            <v>KHF-00-104265-QA-0880-10066-0000-1</v>
          </cell>
          <cell r="B1901" t="str">
            <v>AIP-PDO-P1701009-T-1286</v>
          </cell>
          <cell r="C1901">
            <v>43653</v>
          </cell>
          <cell r="D1901" t="str">
            <v>KHF-00-104265-QA-0880-10066-0000</v>
          </cell>
          <cell r="E1901" t="str">
            <v>EXTERNAL AUDIT REPORT (ARABIAN PIPE COATING COMPANY (APCO) NIZWA)</v>
          </cell>
          <cell r="F1901">
            <v>1</v>
          </cell>
          <cell r="G1901" t="str">
            <v>IFI</v>
          </cell>
        </row>
        <row r="1902">
          <cell r="A1902" t="str">
            <v>KHF-00-104265-QA-0880-10079-0000-1</v>
          </cell>
          <cell r="B1902" t="str">
            <v>AIP-PDO-P1701009-T-1286</v>
          </cell>
          <cell r="C1902">
            <v>43653</v>
          </cell>
          <cell r="D1902" t="str">
            <v>KHF-00-104265-QA-0880-10079-0000</v>
          </cell>
          <cell r="E1902" t="str">
            <v>EXTERNAL AUDIT REPORT (UNITED SPECIAL TECHNICAL SERVICES (USTS) NIZWA)</v>
          </cell>
          <cell r="F1902">
            <v>1</v>
          </cell>
          <cell r="G1902" t="str">
            <v>IFI</v>
          </cell>
        </row>
        <row r="1903">
          <cell r="A1903" t="str">
            <v>KHF-00-104265-AA-3347-30049-0000-1</v>
          </cell>
          <cell r="B1903" t="str">
            <v>AIP-PDO-P1701009-T-1287</v>
          </cell>
          <cell r="C1903">
            <v>43653</v>
          </cell>
          <cell r="D1903" t="str">
            <v>KHF-00-104265-AA-3347-30049-0000</v>
          </cell>
          <cell r="E1903" t="str">
            <v>MINUTES OF WEEKLY REVIEW MEETING (SITE) NO. 49</v>
          </cell>
          <cell r="F1903">
            <v>1</v>
          </cell>
          <cell r="G1903" t="str">
            <v>IFI</v>
          </cell>
        </row>
        <row r="1904">
          <cell r="A1904" t="str">
            <v>KHF-00-104265-QA-5733-01701-0000-2</v>
          </cell>
          <cell r="B1904" t="str">
            <v>AIP-PDO-P1701009-T-1288</v>
          </cell>
          <cell r="C1904">
            <v>43653</v>
          </cell>
          <cell r="D1904" t="str">
            <v>KHF-00-104265-QA-5733-01701-0000</v>
          </cell>
          <cell r="E1904" t="str">
            <v>Inspection Test Plan for Fabrication of Corrosion Inhibitor Chemical Storage Tanks</v>
          </cell>
          <cell r="F1904">
            <v>2</v>
          </cell>
          <cell r="G1904" t="str">
            <v>IFA</v>
          </cell>
        </row>
        <row r="1905">
          <cell r="A1905" t="str">
            <v>KHF-00-104265-AA-6944-20021-0000-1</v>
          </cell>
          <cell r="B1905" t="str">
            <v>AIP-PDO-P1701009-T-1289</v>
          </cell>
          <cell r="C1905">
            <v>43654</v>
          </cell>
          <cell r="D1905" t="str">
            <v>KHF-00-104265-AA-6944-20021-0000</v>
          </cell>
          <cell r="E1905" t="str">
            <v>MONTHLY PROGRESS REPORT NO.021 (JUNE 2019)</v>
          </cell>
          <cell r="F1905">
            <v>1</v>
          </cell>
          <cell r="G1905" t="str">
            <v>IFR</v>
          </cell>
        </row>
        <row r="1906">
          <cell r="A1906" t="str">
            <v>KHF-00-104265-AA-6944-10087-0000-1</v>
          </cell>
          <cell r="B1906" t="str">
            <v>AIP-PDO-P1701009-T-1290</v>
          </cell>
          <cell r="C1906">
            <v>43662</v>
          </cell>
          <cell r="D1906" t="str">
            <v>KHF-00-104265-AA-6944-10087-0000</v>
          </cell>
          <cell r="E1906" t="str">
            <v>Weekly Progress Report No.087</v>
          </cell>
          <cell r="F1906">
            <v>1</v>
          </cell>
          <cell r="G1906" t="str">
            <v>IFR</v>
          </cell>
        </row>
        <row r="1907">
          <cell r="A1907" t="str">
            <v>KHF-00-104265-RA-6038-01702-0000-2</v>
          </cell>
          <cell r="B1907" t="str">
            <v>AIP-PDO-P1701009-T-1291</v>
          </cell>
          <cell r="C1907">
            <v>43654</v>
          </cell>
          <cell r="D1907" t="str">
            <v>KHF-00-104265-RA-6038-01702-0000</v>
          </cell>
          <cell r="E1907" t="str">
            <v>Vacuum Box Test Procedure for Corrosion Inhibitor Chemical Storage Tanks</v>
          </cell>
          <cell r="F1907">
            <v>2</v>
          </cell>
          <cell r="G1907" t="str">
            <v>IFA</v>
          </cell>
        </row>
        <row r="1908">
          <cell r="A1908" t="str">
            <v>KHF-00-104265-RA-6038-01703-0000-2</v>
          </cell>
          <cell r="B1908" t="str">
            <v>AIP-PDO-P1701009-T-1291</v>
          </cell>
          <cell r="C1908">
            <v>43654</v>
          </cell>
          <cell r="D1908" t="str">
            <v>KHF-00-104265-RA-6038-01703-0000</v>
          </cell>
          <cell r="E1908" t="str">
            <v>Penetrant Oil (Diesel) Test Procedure for Corrosion Inhibitor Chemical Storage Tanks</v>
          </cell>
          <cell r="F1908">
            <v>2</v>
          </cell>
          <cell r="G1908" t="str">
            <v>IFA</v>
          </cell>
        </row>
        <row r="1909">
          <cell r="A1909" t="str">
            <v>KHF-00-104265-BA-6070-01602-0000-1</v>
          </cell>
          <cell r="B1909" t="str">
            <v>AIP-PDO-P1701009-T-1292</v>
          </cell>
          <cell r="C1909">
            <v>43654</v>
          </cell>
          <cell r="D1909" t="str">
            <v>KHF-00-104265-BA-6070-01602-0000</v>
          </cell>
          <cell r="E1909" t="str">
            <v>Method Statement for Surface Preparation and External Painting of Small Bore Pipes (PCS-1, PCS-3, PCS-5 &amp; PCS-6)</v>
          </cell>
          <cell r="F1909">
            <v>1</v>
          </cell>
          <cell r="G1909" t="str">
            <v>IFR</v>
          </cell>
        </row>
        <row r="1910">
          <cell r="A1910" t="str">
            <v>KHF-00-104265-QA-5733-01602-0000-1</v>
          </cell>
          <cell r="B1910" t="str">
            <v>AIP-PDO-P1701009-T-1293</v>
          </cell>
          <cell r="C1910">
            <v>43654</v>
          </cell>
          <cell r="D1910" t="str">
            <v>KHF-00-104265-QA-5733-01602-0000</v>
          </cell>
          <cell r="E1910" t="str">
            <v>Inspection and Test Plan for Surface Preparation and External Painting of Small Bore Pipes (PCS-1, PCS-3, PCS-5 &amp; PCS-6)</v>
          </cell>
          <cell r="F1910">
            <v>1</v>
          </cell>
          <cell r="G1910" t="str">
            <v>IFR</v>
          </cell>
        </row>
        <row r="1911">
          <cell r="A1911" t="str">
            <v>KHF-00-104265-RA-8241-51225-0000-1</v>
          </cell>
          <cell r="B1911" t="str">
            <v>AIP-PDO-P1701009-T-1294</v>
          </cell>
          <cell r="C1911">
            <v>43655</v>
          </cell>
          <cell r="D1911" t="str">
            <v>KHF-00-104265-RA-8241-51225-0000</v>
          </cell>
          <cell r="E1911" t="str">
            <v>Material Approval Sheet for 6.6 KV High Voltage Test Kit (Make: PFISTERER)</v>
          </cell>
          <cell r="F1911">
            <v>1</v>
          </cell>
          <cell r="G1911" t="str">
            <v>IFA</v>
          </cell>
        </row>
        <row r="1912">
          <cell r="A1912" t="str">
            <v>KHF-00-104265-RA-8241-51226-0000-1</v>
          </cell>
          <cell r="B1912" t="str">
            <v>AIP-PDO-P1701009-T-1294</v>
          </cell>
          <cell r="C1912">
            <v>43655</v>
          </cell>
          <cell r="D1912" t="str">
            <v>KHF-00-104265-RA-8241-51226-0000</v>
          </cell>
          <cell r="E1912" t="str">
            <v>Material Approval Sheet for LV Portable Earthing Leads (Make: PFISTERER)</v>
          </cell>
          <cell r="F1912">
            <v>1</v>
          </cell>
          <cell r="G1912" t="str">
            <v>IFA</v>
          </cell>
        </row>
        <row r="1913">
          <cell r="A1913" t="str">
            <v>cancelled</v>
          </cell>
          <cell r="B1913" t="str">
            <v>AIP-PDO-P1701009-T-1295</v>
          </cell>
          <cell r="C1913">
            <v>43655</v>
          </cell>
          <cell r="D1913" t="str">
            <v>KHF-00-104265-AA-6944-20021-0000</v>
          </cell>
          <cell r="E1913" t="str">
            <v>MONTHLY PROGRESS REPORT NO.021 (JUNE 2019)</v>
          </cell>
          <cell r="F1913">
            <v>2</v>
          </cell>
          <cell r="G1913" t="str">
            <v>IFR</v>
          </cell>
        </row>
        <row r="1914">
          <cell r="A1914" t="str">
            <v>KHF-00-104265-AA-6944-20021-0000-2</v>
          </cell>
          <cell r="B1914" t="str">
            <v>AIP-PDO-P1701009-T-1296</v>
          </cell>
          <cell r="C1914">
            <v>43656</v>
          </cell>
          <cell r="D1914" t="str">
            <v>KHF-00-104265-AA-6944-20021-0000</v>
          </cell>
          <cell r="E1914" t="str">
            <v>MONTHLY PROGRESS REPORT NO.021 (JUNE 2019)</v>
          </cell>
          <cell r="F1914">
            <v>2</v>
          </cell>
          <cell r="G1914" t="str">
            <v>IFR</v>
          </cell>
        </row>
        <row r="1915">
          <cell r="A1915" t="str">
            <v>KHF-00-104265-QA-6050-01707-0000-1</v>
          </cell>
          <cell r="B1915" t="str">
            <v>AIP-PDO-P1701009-T-1297</v>
          </cell>
          <cell r="C1915">
            <v>43656</v>
          </cell>
          <cell r="D1915" t="str">
            <v>KHF-00-104265-QA-6050-01707-0000</v>
          </cell>
          <cell r="E1915" t="str">
            <v>Tank Fill Test &amp; Roof Pneumatic Test Procedure</v>
          </cell>
          <cell r="F1915">
            <v>1</v>
          </cell>
          <cell r="G1915" t="str">
            <v>IFR</v>
          </cell>
        </row>
        <row r="1916">
          <cell r="A1916" t="str">
            <v>KHF-00-104265-AA-3341-60173-0000-1</v>
          </cell>
          <cell r="B1916" t="str">
            <v>AIP-PDO-P1701009-T-1298</v>
          </cell>
          <cell r="C1916">
            <v>43657</v>
          </cell>
          <cell r="D1916" t="str">
            <v>KHF-00-104265-AA-3341-60173-0000</v>
          </cell>
          <cell r="E1916" t="str">
            <v>CV OF MR. SANJEEV KUMAR SONI - WELDING ENGINEER</v>
          </cell>
          <cell r="F1916">
            <v>1</v>
          </cell>
          <cell r="G1916" t="str">
            <v>IFA</v>
          </cell>
        </row>
        <row r="1917">
          <cell r="A1917" t="str">
            <v>KHF-00-104265-AA-3341-01304-0000-1</v>
          </cell>
          <cell r="B1917" t="str">
            <v>AIP-PDO-P1701009-T-1299</v>
          </cell>
          <cell r="C1917">
            <v>43657</v>
          </cell>
          <cell r="D1917" t="str">
            <v>KHF-00-104265-AA-3341-01304-0000</v>
          </cell>
          <cell r="E1917" t="str">
            <v>CV OF MR. KIRUBAKARAN K - HYDROTEST ENGINEER</v>
          </cell>
          <cell r="F1917">
            <v>1</v>
          </cell>
          <cell r="G1917" t="str">
            <v>IFR</v>
          </cell>
        </row>
        <row r="1918">
          <cell r="A1918" t="str">
            <v>KHF-00-104265-RA-6038-00906-0000-3</v>
          </cell>
          <cell r="B1918" t="str">
            <v>AIP-PDO-P1701009-T-1300</v>
          </cell>
          <cell r="C1918">
            <v>43657</v>
          </cell>
          <cell r="D1918" t="str">
            <v>KHF-00-104265-RA-6038-00906-0000</v>
          </cell>
          <cell r="E1918" t="str">
            <v>Procedure for Post Weld Heat Treatment</v>
          </cell>
          <cell r="F1918">
            <v>3</v>
          </cell>
          <cell r="G1918" t="str">
            <v>IFA</v>
          </cell>
        </row>
        <row r="1919">
          <cell r="A1919" t="str">
            <v>KHF-00-104265-RA-6038-00918-0000-3</v>
          </cell>
          <cell r="B1919" t="str">
            <v>AIP-PDO-P1701009-T-1300</v>
          </cell>
          <cell r="C1919">
            <v>43657</v>
          </cell>
          <cell r="D1919" t="str">
            <v>KHF-00-104265-RA-6038-00918-0000</v>
          </cell>
          <cell r="E1919" t="str">
            <v>Procedure for Visual Inspection for Piping using Boroscope</v>
          </cell>
          <cell r="F1919">
            <v>3</v>
          </cell>
          <cell r="G1919" t="str">
            <v>IFA</v>
          </cell>
        </row>
        <row r="1920">
          <cell r="A1920" t="str">
            <v>KHF-00-104265-BA-6070-41021-0000-1</v>
          </cell>
          <cell r="B1920" t="str">
            <v>AIP-PDO-P1701009-T-1301</v>
          </cell>
          <cell r="C1920">
            <v>43661</v>
          </cell>
          <cell r="D1920" t="str">
            <v>KHF-00-104265-BA-6070-41021-0000</v>
          </cell>
          <cell r="E1920" t="str">
            <v>Method Statement for Screed for Drain Vessel PIT / Flange PIT</v>
          </cell>
          <cell r="F1920">
            <v>1</v>
          </cell>
          <cell r="G1920" t="str">
            <v>IFR</v>
          </cell>
        </row>
        <row r="1921">
          <cell r="A1921" t="str">
            <v>cancelled</v>
          </cell>
          <cell r="B1921" t="str">
            <v>AIP-PDO-P1701009-T-1302</v>
          </cell>
          <cell r="C1921">
            <v>43657</v>
          </cell>
          <cell r="D1921" t="str">
            <v>KHF-00-104265-AA-3341-60174-0000</v>
          </cell>
          <cell r="E1921" t="str">
            <v>CV OF MR. PARESH KUMAR PATEL - HYDRO TEST ENGINEER - PIPING</v>
          </cell>
          <cell r="F1921">
            <v>1</v>
          </cell>
          <cell r="G1921" t="str">
            <v>IFA</v>
          </cell>
        </row>
        <row r="1922">
          <cell r="A1922" t="str">
            <v>KHF-00-104265-AA-3341-60174-0000-1</v>
          </cell>
          <cell r="B1922" t="str">
            <v>AIP-PDO-P1701009-T-1303</v>
          </cell>
          <cell r="C1922">
            <v>43661</v>
          </cell>
          <cell r="D1922" t="str">
            <v>KHF-00-104265-AA-3341-60174-0000</v>
          </cell>
          <cell r="E1922" t="str">
            <v>CV OF MR. PARESH KUMAR PATEL - HYDRO TEST ENGINEER - PIPING</v>
          </cell>
          <cell r="F1922">
            <v>1</v>
          </cell>
          <cell r="G1922" t="str">
            <v>IFA</v>
          </cell>
        </row>
        <row r="1923">
          <cell r="A1923" t="str">
            <v>KHF-00-104265-BA-6070-42040-0000-1</v>
          </cell>
          <cell r="B1923" t="str">
            <v>AIP-PDO-P1701009-T-1304</v>
          </cell>
          <cell r="C1923">
            <v>43662</v>
          </cell>
          <cell r="D1923" t="str">
            <v>KHF-00-104265-BA-6070-42040-0000</v>
          </cell>
          <cell r="E1923" t="str">
            <v>Method Statement for Adding Ammonia to raise PH Value of DM Water</v>
          </cell>
          <cell r="F1923">
            <v>1</v>
          </cell>
          <cell r="G1923" t="str">
            <v>IFR</v>
          </cell>
        </row>
        <row r="1924">
          <cell r="A1924" t="str">
            <v>KHF-00-104265-AA-6944-10088-0000-1</v>
          </cell>
          <cell r="B1924" t="str">
            <v>AIP-PDO-P1701009-T-1305</v>
          </cell>
          <cell r="C1924">
            <v>43663</v>
          </cell>
          <cell r="D1924" t="str">
            <v>KHF-00-104265-AA-6944-10088-0000</v>
          </cell>
          <cell r="E1924" t="str">
            <v>Weekly Progress Report No.088</v>
          </cell>
          <cell r="F1924">
            <v>1</v>
          </cell>
          <cell r="G1924" t="str">
            <v>IFR</v>
          </cell>
        </row>
        <row r="1925">
          <cell r="A1925" t="str">
            <v>KHF-00-104265-AA-3341-60175-0000-1</v>
          </cell>
          <cell r="B1925" t="str">
            <v>AIP-PDO-P1701009-T-1306</v>
          </cell>
          <cell r="C1925">
            <v>43664</v>
          </cell>
          <cell r="D1925" t="str">
            <v>KHF-00-104265-AA-3341-60175-0000</v>
          </cell>
          <cell r="E1925" t="str">
            <v>CV OF MR. K. NAGANATHAN - WELDING INSPECTOR - PIPING</v>
          </cell>
          <cell r="F1925">
            <v>1</v>
          </cell>
          <cell r="G1925" t="str">
            <v>IFR</v>
          </cell>
        </row>
        <row r="1926">
          <cell r="A1926" t="str">
            <v>KHF-00-104265-RA-8241-51227-0000-1</v>
          </cell>
          <cell r="B1926" t="str">
            <v>AIP-PDO-P1701009-T-1307</v>
          </cell>
          <cell r="C1926">
            <v>43664</v>
          </cell>
          <cell r="D1926" t="str">
            <v>KHF-00-104265-RA-8241-51227-0000</v>
          </cell>
          <cell r="E1926" t="str">
            <v>Material Approval Sheet for Corian Pantry Storage Cabinet &amp; Wash Basin Counters</v>
          </cell>
          <cell r="F1926">
            <v>1</v>
          </cell>
          <cell r="G1926" t="str">
            <v>IFA</v>
          </cell>
        </row>
        <row r="1927">
          <cell r="A1927" t="str">
            <v>KHF-00-104265-QA-5733-23009-0000-2</v>
          </cell>
          <cell r="B1927" t="str">
            <v>AIP-PDO-P1701009-T-1308</v>
          </cell>
          <cell r="C1927">
            <v>43664</v>
          </cell>
          <cell r="D1927" t="str">
            <v>KHF-00-104265-QA-5733-23009-0000</v>
          </cell>
          <cell r="E1927" t="str">
            <v>Inspection and Test Plan for 33KV OHL Installation (Concrete Pole)</v>
          </cell>
          <cell r="F1927">
            <v>2</v>
          </cell>
          <cell r="G1927" t="str">
            <v>IFA</v>
          </cell>
        </row>
        <row r="1928">
          <cell r="A1928" t="str">
            <v>KHF-00-104265-AA-3341-60176-0000-1</v>
          </cell>
          <cell r="B1928" t="str">
            <v>AIP-PDO-P1701009-T-1309</v>
          </cell>
          <cell r="C1928">
            <v>43667</v>
          </cell>
          <cell r="D1928" t="str">
            <v>KHF-00-104265-AA-3341-60176-0000</v>
          </cell>
          <cell r="E1928" t="str">
            <v>CV OF MR. ABDULLAH ALHINAI - QC INSPECTOR CIVIL</v>
          </cell>
          <cell r="F1928">
            <v>1</v>
          </cell>
          <cell r="G1928" t="str">
            <v>IFA</v>
          </cell>
        </row>
        <row r="1929">
          <cell r="A1929" t="str">
            <v>KHF-00-104265-AA-3347-30050-0000-1</v>
          </cell>
          <cell r="B1929" t="str">
            <v>AIP-PDO-P1701009-T-1310</v>
          </cell>
          <cell r="C1929">
            <v>43668</v>
          </cell>
          <cell r="D1929" t="str">
            <v>KHF-00-104265-AA-3347-30050-0000</v>
          </cell>
          <cell r="E1929" t="str">
            <v>MINUTES OF WEEKLY REVIEW MEETING (SITE) NO. 50</v>
          </cell>
          <cell r="F1929">
            <v>1</v>
          </cell>
          <cell r="G1929" t="str">
            <v>IFI</v>
          </cell>
        </row>
        <row r="1930">
          <cell r="A1930" t="str">
            <v>KHF-00-104265-RA-8241-51228-0000-1</v>
          </cell>
          <cell r="B1930" t="str">
            <v>AIP-PDO-P1701009-T-1311</v>
          </cell>
          <cell r="C1930">
            <v>43668</v>
          </cell>
          <cell r="D1930" t="str">
            <v>KHF-00-104265-RA-8241-51228-0000</v>
          </cell>
          <cell r="E1930" t="str">
            <v xml:space="preserve">Material Approval Sheet for Master Flow - 544 High Strength Cementitious Mortar for Filling Tie Bar Holes in Water Retaining Structures </v>
          </cell>
          <cell r="F1930">
            <v>1</v>
          </cell>
          <cell r="G1930" t="str">
            <v>IFA</v>
          </cell>
        </row>
        <row r="1931">
          <cell r="A1931" t="str">
            <v>KHF-00-104265-AA-6944-10089-0000-1</v>
          </cell>
          <cell r="B1931" t="str">
            <v>AIP-PDO-P1701009-T-1312</v>
          </cell>
          <cell r="C1931">
            <v>43670</v>
          </cell>
          <cell r="D1931" t="str">
            <v>KHF-00-104265-AA-6944-10089-0000</v>
          </cell>
          <cell r="E1931" t="str">
            <v>Weekly Progress Report No.089</v>
          </cell>
          <cell r="F1931">
            <v>1</v>
          </cell>
          <cell r="G1931" t="str">
            <v>IFR</v>
          </cell>
        </row>
        <row r="1932">
          <cell r="A1932" t="str">
            <v>KHF-00-104265-RA-6038-01301-0000-2</v>
          </cell>
          <cell r="B1932" t="str">
            <v>AIP-PDO-P1701009-T-1313</v>
          </cell>
          <cell r="C1932">
            <v>43670</v>
          </cell>
          <cell r="D1932" t="str">
            <v>KHF-00-104265-RA-6038-01301-0000</v>
          </cell>
          <cell r="E1932" t="str">
            <v>Procedure for  Radiographic Examination for Piping Work</v>
          </cell>
          <cell r="F1932">
            <v>2</v>
          </cell>
          <cell r="G1932" t="str">
            <v>IFA</v>
          </cell>
        </row>
        <row r="1933">
          <cell r="A1933" t="str">
            <v>KHF-00-104265-RA-6038-01305-0000-3</v>
          </cell>
          <cell r="B1933" t="str">
            <v>AIP-PDO-P1701009-T-1313</v>
          </cell>
          <cell r="C1933">
            <v>43670</v>
          </cell>
          <cell r="D1933" t="str">
            <v>KHF-00-104265-RA-6038-01305-0000</v>
          </cell>
          <cell r="E1933" t="str">
            <v>Procedure for Hardness Testing</v>
          </cell>
          <cell r="F1933">
            <v>3</v>
          </cell>
          <cell r="G1933" t="str">
            <v>IFA</v>
          </cell>
        </row>
        <row r="1934">
          <cell r="A1934" t="str">
            <v>KHF-00-104265-RA-6038-01312-0000-3</v>
          </cell>
          <cell r="B1934" t="str">
            <v>AIP-PDO-P1701009-T-1313</v>
          </cell>
          <cell r="C1934">
            <v>43670</v>
          </cell>
          <cell r="D1934" t="str">
            <v>KHF-00-104265-RA-6038-01312-0000</v>
          </cell>
          <cell r="E1934" t="str">
            <v>Visual Testing Procedure By Hitech</v>
          </cell>
          <cell r="F1934">
            <v>3</v>
          </cell>
          <cell r="G1934" t="str">
            <v>IFA</v>
          </cell>
        </row>
        <row r="1935">
          <cell r="A1935" t="str">
            <v>KHF-00-104265-RA-6038-01314-0000-3</v>
          </cell>
          <cell r="B1935" t="str">
            <v>AIP-PDO-P1701009-T-1313</v>
          </cell>
          <cell r="C1935">
            <v>43670</v>
          </cell>
          <cell r="D1935" t="str">
            <v>KHF-00-104265-RA-6038-01314-0000</v>
          </cell>
          <cell r="E1935" t="str">
            <v>Ferrite Testing Procedure</v>
          </cell>
          <cell r="F1935">
            <v>3</v>
          </cell>
          <cell r="G1935" t="str">
            <v>IFA</v>
          </cell>
        </row>
        <row r="1936">
          <cell r="A1936" t="str">
            <v>KHF-00-104265-RA-6038-10076-0000-3</v>
          </cell>
          <cell r="B1936" t="str">
            <v>AIP-PDO-P1701009-T-1314</v>
          </cell>
          <cell r="C1936">
            <v>43670</v>
          </cell>
          <cell r="D1936" t="str">
            <v>KHF-00-104265-RA-6038-10076-0000</v>
          </cell>
          <cell r="E1936" t="str">
            <v>Visual Inspection of Piping using Boroscope by M/s. GTIS</v>
          </cell>
          <cell r="F1936">
            <v>3</v>
          </cell>
          <cell r="G1936" t="str">
            <v>IFA</v>
          </cell>
        </row>
        <row r="1937">
          <cell r="A1937" t="str">
            <v>KHF-00-104265-QA-5733-22015-0000-1</v>
          </cell>
          <cell r="B1937" t="str">
            <v>AIP-PDO-P1701009-T-1315</v>
          </cell>
          <cell r="C1937">
            <v>43670</v>
          </cell>
          <cell r="D1937" t="str">
            <v>KHF-00-104265-QA-5733-22015-0000</v>
          </cell>
          <cell r="E1937" t="str">
            <v>Inspection and Test Plan for HDPE Pipe Butt Fusion Jointing</v>
          </cell>
          <cell r="F1937">
            <v>1</v>
          </cell>
          <cell r="G1937" t="str">
            <v>IFR</v>
          </cell>
        </row>
        <row r="1938">
          <cell r="A1938" t="str">
            <v>KHF-00-104265-JA-5798-10080-0000-2</v>
          </cell>
          <cell r="B1938" t="str">
            <v>AIP-PDO-P1701009-T-1316</v>
          </cell>
          <cell r="C1938">
            <v>43671</v>
          </cell>
          <cell r="D1938" t="str">
            <v>KHF-00-104265-JA-5798-10080-0000</v>
          </cell>
          <cell r="E1938" t="str">
            <v>RED LINE &amp; GREEN LINE MARK-UP MANAGEMENT PLAN</v>
          </cell>
          <cell r="F1938">
            <v>2</v>
          </cell>
          <cell r="G1938" t="str">
            <v>IFA</v>
          </cell>
        </row>
        <row r="1939">
          <cell r="A1939" t="str">
            <v>KHF-00-104265-AA-3347-30051-0000-1</v>
          </cell>
          <cell r="B1939" t="str">
            <v>AIP-PDO-P1701009-T-1317</v>
          </cell>
          <cell r="C1939">
            <v>43671</v>
          </cell>
          <cell r="D1939" t="str">
            <v>KHF-00-104265-AA-3347-30051-0000</v>
          </cell>
          <cell r="E1939" t="str">
            <v>MINUTES OF WEEKLY REVIEW MEETING (SITE) NO. 51</v>
          </cell>
          <cell r="F1939">
            <v>1</v>
          </cell>
          <cell r="G1939" t="str">
            <v>IFI</v>
          </cell>
        </row>
        <row r="1940">
          <cell r="A1940" t="str">
            <v>cancelled</v>
          </cell>
          <cell r="B1940" t="str">
            <v>AIP-PDO-P1701009-T-1318</v>
          </cell>
          <cell r="C1940">
            <v>43674</v>
          </cell>
          <cell r="D1940" t="str">
            <v>KHF-00-104265-BA-6065-01312-0000</v>
          </cell>
          <cell r="E1940" t="str">
            <v>PWPS - HDPE Pipe Butt Fusion Jointing</v>
          </cell>
          <cell r="F1940">
            <v>1</v>
          </cell>
          <cell r="G1940" t="str">
            <v>IFR</v>
          </cell>
        </row>
        <row r="1941">
          <cell r="A1941" t="str">
            <v>KHF-00-104265-QA-5733-01709-0000-2</v>
          </cell>
          <cell r="B1941" t="str">
            <v>AIP-PDO-P1701009-T-1319</v>
          </cell>
          <cell r="C1941">
            <v>43674</v>
          </cell>
          <cell r="D1941" t="str">
            <v>KHF-00-104265-QA-5733-01709-0000</v>
          </cell>
          <cell r="E1941" t="str">
            <v>ITP for External Surface Preparation and Painting for Corrosion Inhibitor Chemical Storage Tanks</v>
          </cell>
          <cell r="F1941">
            <v>2</v>
          </cell>
          <cell r="G1941" t="str">
            <v>IFA</v>
          </cell>
        </row>
        <row r="1942">
          <cell r="A1942" t="str">
            <v>KHF-00-104265-RA-6038-01708-0000-2</v>
          </cell>
          <cell r="B1942" t="str">
            <v>AIP-PDO-P1701009-T-1320</v>
          </cell>
          <cell r="C1942">
            <v>43674</v>
          </cell>
          <cell r="D1942" t="str">
            <v>KHF-00-104265-RA-6038-01708-0000</v>
          </cell>
          <cell r="E1942" t="str">
            <v>External Surface Preparation and Painting Procedure for Corrosion Inhibitor Chemical Storage Tanks</v>
          </cell>
          <cell r="F1942">
            <v>2</v>
          </cell>
          <cell r="G1942" t="str">
            <v>IFA</v>
          </cell>
        </row>
        <row r="1943">
          <cell r="A1943" t="str">
            <v>KHF-00-104265-QA-5733-01602-0000-2</v>
          </cell>
          <cell r="B1943" t="str">
            <v>AIP-PDO-P1701009-T-1321</v>
          </cell>
          <cell r="C1943">
            <v>43674</v>
          </cell>
          <cell r="D1943" t="str">
            <v>KHF-00-104265-QA-5733-01602-0000</v>
          </cell>
          <cell r="E1943" t="str">
            <v>Inspection and Test Plan for Surface Preparation and External Painting of Small Bore Pipes</v>
          </cell>
          <cell r="F1943">
            <v>2</v>
          </cell>
          <cell r="G1943" t="str">
            <v>IFA</v>
          </cell>
        </row>
        <row r="1944">
          <cell r="A1944" t="str">
            <v>KHF-00-104265-RA-8241-51229-0000-1</v>
          </cell>
          <cell r="B1944" t="str">
            <v>AIP-PDO-P1701009-T-1322</v>
          </cell>
          <cell r="C1944">
            <v>43674</v>
          </cell>
          <cell r="D1944" t="str">
            <v>KHF-00-104265-RA-8241-51229-0000</v>
          </cell>
          <cell r="E1944" t="str">
            <v>Material Approval Sheet for Name Plate in SS with Engraved Black Text in English for Substation Buildings</v>
          </cell>
          <cell r="F1944">
            <v>1</v>
          </cell>
          <cell r="G1944" t="str">
            <v>IFA</v>
          </cell>
        </row>
        <row r="1945">
          <cell r="A1945" t="str">
            <v>KHF-00-104265-BA-6065-01312-0000-1</v>
          </cell>
          <cell r="B1945" t="str">
            <v>AIP-PDO-P1701009-T-1323</v>
          </cell>
          <cell r="C1945">
            <v>43674</v>
          </cell>
          <cell r="D1945" t="str">
            <v>KHF-00-104265-BA-6065-01312-0000</v>
          </cell>
          <cell r="E1945" t="str">
            <v>PWPS - HDPE Pipe Butt Fusion Jointing</v>
          </cell>
          <cell r="F1945">
            <v>1</v>
          </cell>
          <cell r="G1945" t="str">
            <v>IFR</v>
          </cell>
        </row>
        <row r="1946">
          <cell r="A1946" t="str">
            <v>KHF-00-104265-AA-3341-60177-0000-1</v>
          </cell>
          <cell r="B1946" t="str">
            <v>AIP-PDO-P1701009-T-1324</v>
          </cell>
          <cell r="C1946">
            <v>43675</v>
          </cell>
          <cell r="D1946" t="str">
            <v>KHF-00-104265-AA-3341-60177-0000</v>
          </cell>
          <cell r="E1946" t="str">
            <v>CV OF MR. DHAVAL UMEDBHAI PATEL - WELDING INSPECTOR - PIPING</v>
          </cell>
          <cell r="F1946">
            <v>1</v>
          </cell>
          <cell r="G1946" t="str">
            <v>IFA</v>
          </cell>
        </row>
        <row r="1947">
          <cell r="A1947" t="str">
            <v>KHF-00-104265-AA-6944-10090-0000-1</v>
          </cell>
          <cell r="B1947" t="str">
            <v>AIP-PDO-P1701009-T-1325</v>
          </cell>
          <cell r="C1947">
            <v>43676</v>
          </cell>
          <cell r="D1947" t="str">
            <v>KHF-00-104265-AA-6944-10090-0000</v>
          </cell>
          <cell r="E1947" t="str">
            <v>Weekly Progress Report No.090</v>
          </cell>
          <cell r="F1947">
            <v>1</v>
          </cell>
          <cell r="G1947" t="str">
            <v>IFR</v>
          </cell>
        </row>
        <row r="1948">
          <cell r="A1948" t="str">
            <v>KHF-00-104265-AA-3341-60178-0000-1</v>
          </cell>
          <cell r="B1948" t="str">
            <v>AIP-PDO-P1701009-T-1326</v>
          </cell>
          <cell r="C1948">
            <v>43676</v>
          </cell>
          <cell r="D1948" t="str">
            <v>KHF-00-104265-AA-3341-60178-0000</v>
          </cell>
          <cell r="E1948" t="str">
            <v>CV OF MR. MURALIDHARAN PANDIYAN - QC INSPECTOR - PIPING (HYDROTEST/TEST PACK)</v>
          </cell>
          <cell r="F1948">
            <v>1</v>
          </cell>
          <cell r="G1948" t="str">
            <v>IFA</v>
          </cell>
        </row>
        <row r="1949">
          <cell r="A1949" t="str">
            <v>KHF-00-104265-QA-6050-01706-0000-2</v>
          </cell>
          <cell r="B1949" t="str">
            <v>AIP-PDO-P1701009-T-1327</v>
          </cell>
          <cell r="C1949">
            <v>43676</v>
          </cell>
          <cell r="D1949" t="str">
            <v>KHF-00-104265-QA-6050-01706-0000</v>
          </cell>
          <cell r="E1949" t="str">
            <v>Positive Material Identification Procedure</v>
          </cell>
          <cell r="F1949">
            <v>2</v>
          </cell>
          <cell r="G1949" t="str">
            <v>IFA</v>
          </cell>
        </row>
        <row r="1950">
          <cell r="A1950" t="str">
            <v>KHF-00-104265-QA-6050-01707-0000-2</v>
          </cell>
          <cell r="B1950" t="str">
            <v>AIP-PDO-P1701009-T-1328</v>
          </cell>
          <cell r="C1950">
            <v>43676</v>
          </cell>
          <cell r="D1950" t="str">
            <v>KHF-00-104265-QA-6050-01707-0000</v>
          </cell>
          <cell r="E1950" t="str">
            <v>Tank Fill Test &amp; Roof Pneumatic Test Procedure</v>
          </cell>
          <cell r="F1950">
            <v>2</v>
          </cell>
          <cell r="G1950" t="str">
            <v>IFA</v>
          </cell>
        </row>
        <row r="1951">
          <cell r="A1951" t="str">
            <v>KHF-00-104265-BA-6065-01701-0000-2</v>
          </cell>
          <cell r="B1951" t="str">
            <v>AIP-PDO-P1701009-T-1329</v>
          </cell>
          <cell r="C1951">
            <v>43676</v>
          </cell>
          <cell r="D1951" t="str">
            <v>KHF-00-104265-BA-6065-01701-0000</v>
          </cell>
          <cell r="E1951" t="str">
            <v>WPS / Weld Map</v>
          </cell>
          <cell r="F1951">
            <v>2</v>
          </cell>
          <cell r="G1951" t="str">
            <v>IFA</v>
          </cell>
        </row>
        <row r="1952">
          <cell r="A1952" t="str">
            <v>KHF-00-104265-BA-6065-01703-0000-2</v>
          </cell>
          <cell r="B1952" t="str">
            <v>AIP-PDO-P1701009-T-1329</v>
          </cell>
          <cell r="C1952">
            <v>43676</v>
          </cell>
          <cell r="D1952" t="str">
            <v>KHF-00-104265-BA-6065-01703-0000</v>
          </cell>
          <cell r="E1952" t="str">
            <v>WELDING PROCEDURE SPECIFICATIONS (AI-WPS-M-542)</v>
          </cell>
          <cell r="F1952">
            <v>2</v>
          </cell>
          <cell r="G1952" t="str">
            <v>IFA</v>
          </cell>
        </row>
        <row r="1953">
          <cell r="A1953" t="str">
            <v>KHF-00-104265-BA-6065-01704-0000-2</v>
          </cell>
          <cell r="B1953" t="str">
            <v>AIP-PDO-P1701009-T-1329</v>
          </cell>
          <cell r="C1953">
            <v>43676</v>
          </cell>
          <cell r="D1953" t="str">
            <v>KHF-00-104265-BA-6065-01704-0000</v>
          </cell>
          <cell r="E1953" t="str">
            <v>WELDING PROCEDURE SPECIFICATIONS (AI-WPS-M-542FW)</v>
          </cell>
          <cell r="F1953">
            <v>2</v>
          </cell>
          <cell r="G1953" t="str">
            <v>IFA</v>
          </cell>
        </row>
        <row r="1954">
          <cell r="A1954" t="str">
            <v>KHF-00-104265-BA-6065-01705-0000-2</v>
          </cell>
          <cell r="B1954" t="str">
            <v>AIP-PDO-P1701009-T-1329</v>
          </cell>
          <cell r="C1954">
            <v>43676</v>
          </cell>
          <cell r="D1954" t="str">
            <v>KHF-00-104265-BA-6065-01705-0000</v>
          </cell>
          <cell r="E1954" t="str">
            <v>WELDING PROCEDURE SPECIFICATIONS (AI-WPS-T-065)</v>
          </cell>
          <cell r="F1954">
            <v>2</v>
          </cell>
          <cell r="G1954" t="str">
            <v>IFA</v>
          </cell>
        </row>
        <row r="1955">
          <cell r="A1955" t="str">
            <v>KHF-00-104265-BA-6065-01706-0000-2</v>
          </cell>
          <cell r="B1955" t="str">
            <v>AIP-PDO-P1701009-T-1329</v>
          </cell>
          <cell r="C1955">
            <v>43676</v>
          </cell>
          <cell r="D1955" t="str">
            <v>KHF-00-104265-BA-6065-01706-0000</v>
          </cell>
          <cell r="E1955" t="str">
            <v>WELDING PROCEDURE SPECIFICATIONS (AI-WPS-T-196)</v>
          </cell>
          <cell r="F1955">
            <v>2</v>
          </cell>
          <cell r="G1955" t="str">
            <v>IFA</v>
          </cell>
        </row>
        <row r="1956">
          <cell r="A1956" t="str">
            <v>KHF-00-104265-BA-6065-01707-0000-2</v>
          </cell>
          <cell r="B1956" t="str">
            <v>AIP-PDO-P1701009-T-1329</v>
          </cell>
          <cell r="C1956">
            <v>43676</v>
          </cell>
          <cell r="D1956" t="str">
            <v>KHF-00-104265-BA-6065-01707-0000</v>
          </cell>
          <cell r="E1956" t="str">
            <v>WELDING PROCEDURE SPECIFICATIONS (AI-WPS-TM-196)</v>
          </cell>
          <cell r="F1956">
            <v>2</v>
          </cell>
          <cell r="G1956" t="str">
            <v>IFA</v>
          </cell>
        </row>
        <row r="1957">
          <cell r="A1957" t="str">
            <v>KHF-00-104265-RA-6038-01705-0000-3</v>
          </cell>
          <cell r="B1957" t="str">
            <v>AIP-PDO-P1701009-T-1330</v>
          </cell>
          <cell r="C1957">
            <v>43677</v>
          </cell>
          <cell r="D1957" t="str">
            <v>KHF-00-104265-RA-6038-01705-0000</v>
          </cell>
          <cell r="E1957" t="str">
            <v>Liquid Penetrant Examination Procedure for Corrosion Inhibitor Chemical Storage Tanks</v>
          </cell>
          <cell r="F1957">
            <v>3</v>
          </cell>
          <cell r="G1957" t="str">
            <v>IFA</v>
          </cell>
        </row>
        <row r="1958">
          <cell r="A1958" t="str">
            <v>KHF-00-104265-BA-6070-42041-0000-1</v>
          </cell>
          <cell r="B1958" t="str">
            <v>AIP-PDO-P1701009-T-1331</v>
          </cell>
          <cell r="C1958">
            <v>43677</v>
          </cell>
          <cell r="D1958" t="str">
            <v>KHF-00-104265-BA-6070-42041-0000</v>
          </cell>
          <cell r="E1958" t="str">
            <v>Method Statement for Lifting and Placement of Concrete Poles</v>
          </cell>
          <cell r="F1958">
            <v>1</v>
          </cell>
          <cell r="G1958" t="str">
            <v>IFR</v>
          </cell>
        </row>
        <row r="1959">
          <cell r="A1959" t="str">
            <v>KHF-00-104265-FA-5765-10040-0000-8</v>
          </cell>
          <cell r="B1959" t="str">
            <v>AIP-PDO-P1701009-T-1332</v>
          </cell>
          <cell r="C1959">
            <v>43677</v>
          </cell>
          <cell r="D1959" t="str">
            <v>KHF-00-104265-FA-5765-10040-0000</v>
          </cell>
          <cell r="E1959" t="str">
            <v>PROJECT SCHEDULE - LEVEL 04</v>
          </cell>
          <cell r="F1959">
            <v>8</v>
          </cell>
          <cell r="G1959" t="str">
            <v>IFA</v>
          </cell>
        </row>
        <row r="1960">
          <cell r="A1960" t="str">
            <v>KHF-00-104265-QA-5733-22015-0000-2</v>
          </cell>
          <cell r="B1960" t="str">
            <v>AIP-PDO-P1701009-T-1333</v>
          </cell>
          <cell r="C1960">
            <v>43678</v>
          </cell>
          <cell r="D1960" t="str">
            <v>KHF-00-104265-QA-5733-22015-0000</v>
          </cell>
          <cell r="E1960" t="str">
            <v>Inspection and Test Plan for HDPE Pipe Butt Fusion Jointing</v>
          </cell>
          <cell r="F1960">
            <v>2</v>
          </cell>
          <cell r="G1960" t="str">
            <v>IFA</v>
          </cell>
        </row>
        <row r="1961">
          <cell r="A1961" t="str">
            <v>KHF-00-104265-BA-6070-42039-0000-1</v>
          </cell>
          <cell r="B1961" t="str">
            <v>AIP-PDO-P1701009-T-1334</v>
          </cell>
          <cell r="C1961">
            <v>43678</v>
          </cell>
          <cell r="D1961" t="str">
            <v>KHF-00-104265-BA-6070-42039-0000</v>
          </cell>
          <cell r="E1961" t="str">
            <v>Method Statement for Lifting and Placement of Flange Pits</v>
          </cell>
          <cell r="F1961">
            <v>1</v>
          </cell>
          <cell r="G1961" t="str">
            <v>IFR</v>
          </cell>
        </row>
        <row r="1962">
          <cell r="A1962" t="str">
            <v>KHF-00-104265-QA-6050-32008-0000-2</v>
          </cell>
          <cell r="B1962" t="str">
            <v>AIP-PDO-P1701009-T-1335</v>
          </cell>
          <cell r="C1962">
            <v>43681</v>
          </cell>
          <cell r="D1962" t="str">
            <v>KHF-00-104265-QA-6050-32008-0000</v>
          </cell>
          <cell r="E1962" t="str">
            <v>Procedure for 4’’ Golden Joint (Tie-in) Welding</v>
          </cell>
          <cell r="F1962">
            <v>2</v>
          </cell>
          <cell r="G1962" t="str">
            <v>IFA</v>
          </cell>
        </row>
        <row r="1963">
          <cell r="A1963" t="str">
            <v>KHF-00-104265-BA-6070-43017-0000-1</v>
          </cell>
          <cell r="B1963" t="str">
            <v>AIP-PDO-P1701009-T-1336</v>
          </cell>
          <cell r="C1963">
            <v>43681</v>
          </cell>
          <cell r="D1963" t="str">
            <v>KHF-00-104265-BA-6070-43017-0000</v>
          </cell>
          <cell r="E1963" t="str">
            <v>Method Statement for Erection of Generator Circuit Breaker Switch Board - G23007-SB</v>
          </cell>
          <cell r="F1963">
            <v>1</v>
          </cell>
          <cell r="G1963" t="str">
            <v>IFR</v>
          </cell>
        </row>
        <row r="1964">
          <cell r="A1964" t="str">
            <v>KHF-00-104265-AA-3347-30052-0000-1</v>
          </cell>
          <cell r="B1964" t="str">
            <v>AIP-PDO-P1701009-T-1337</v>
          </cell>
          <cell r="C1964">
            <v>43681</v>
          </cell>
          <cell r="D1964" t="str">
            <v>KHF-00-104265-AA-3347-30052-0000</v>
          </cell>
          <cell r="E1964" t="str">
            <v>MINUTES OF WEEKLY REVIEW MEETING (SITE) NO. 52</v>
          </cell>
          <cell r="F1964">
            <v>1</v>
          </cell>
          <cell r="G1964" t="str">
            <v>IFI</v>
          </cell>
        </row>
        <row r="1965">
          <cell r="A1965" t="str">
            <v>KHF-00-104265-AA-6944-20022-0000-1</v>
          </cell>
          <cell r="B1965" t="str">
            <v>AIP-PDO-P1701009-T-1338</v>
          </cell>
          <cell r="C1965">
            <v>43681</v>
          </cell>
          <cell r="D1965" t="str">
            <v>KHF-00-104265-AA-6944-20022-0000</v>
          </cell>
          <cell r="E1965" t="str">
            <v>MONTHLY PROGRESS REPORT NO.022 (JULY 2019)</v>
          </cell>
          <cell r="F1965">
            <v>1</v>
          </cell>
          <cell r="G1965" t="str">
            <v>IFR</v>
          </cell>
        </row>
        <row r="1966">
          <cell r="A1966" t="str">
            <v>KHF-00-104265-BA-6070-01313-0000-1</v>
          </cell>
          <cell r="B1966" t="str">
            <v>AIP-PDO-P1701009-T-1339</v>
          </cell>
          <cell r="C1966">
            <v>43681</v>
          </cell>
          <cell r="D1966" t="str">
            <v>KHF-00-104265-BA-6070-01313-0000</v>
          </cell>
          <cell r="E1966" t="str">
            <v>Method Statement for GTG &amp; GTEBS Oil Flushing</v>
          </cell>
          <cell r="F1966">
            <v>1</v>
          </cell>
          <cell r="G1966" t="str">
            <v>IFR</v>
          </cell>
        </row>
        <row r="1967">
          <cell r="A1967" t="str">
            <v>KHF-00-104265-RA-6038-01305-0000-4</v>
          </cell>
          <cell r="B1967" t="str">
            <v>AIP-PDO-P1701009-T-1340</v>
          </cell>
          <cell r="C1967">
            <v>43681</v>
          </cell>
          <cell r="D1967" t="str">
            <v>KHF-00-104265-RA-6038-01305-0000</v>
          </cell>
          <cell r="E1967" t="str">
            <v>Procedure for Hardness Testing</v>
          </cell>
          <cell r="F1967">
            <v>4</v>
          </cell>
          <cell r="G1967" t="str">
            <v>IFA</v>
          </cell>
        </row>
        <row r="1968">
          <cell r="A1968" t="str">
            <v>KHF-00-104265-RA-6038-01313-0000-2</v>
          </cell>
          <cell r="B1968" t="str">
            <v>AIP-PDO-P1701009-T-1340</v>
          </cell>
          <cell r="C1968">
            <v>43681</v>
          </cell>
          <cell r="D1968" t="str">
            <v>KHF-00-104265-RA-6038-01313-0000</v>
          </cell>
          <cell r="E1968" t="str">
            <v>Positive Material Identification Procedure By M/s. HITECH</v>
          </cell>
          <cell r="F1968">
            <v>2</v>
          </cell>
          <cell r="G1968" t="str">
            <v>IFA</v>
          </cell>
        </row>
        <row r="1969">
          <cell r="A1969" t="str">
            <v>KHF-00-104265-AA-6944-10091-0000-1</v>
          </cell>
          <cell r="B1969" t="str">
            <v>AIP-PDO-P1701009-T-1341</v>
          </cell>
          <cell r="C1969">
            <v>43681</v>
          </cell>
          <cell r="D1969" t="str">
            <v>KHF-00-104265-AA-6944-10091-0000</v>
          </cell>
          <cell r="E1969" t="str">
            <v>Weekly Progress Report No.091</v>
          </cell>
          <cell r="F1969">
            <v>1</v>
          </cell>
          <cell r="G1969" t="str">
            <v>IFR</v>
          </cell>
        </row>
        <row r="1970">
          <cell r="A1970" t="str">
            <v>KHF-00-104265-QA-6050-10081-0000-1</v>
          </cell>
          <cell r="B1970" t="str">
            <v>AIP-PDO-P1701009-T-1342</v>
          </cell>
          <cell r="C1970">
            <v>43682</v>
          </cell>
          <cell r="D1970" t="str">
            <v>KHF-00-104265-QA-6050-10081-0000</v>
          </cell>
          <cell r="E1970" t="str">
            <v>Flawless Project Delivery Q Assurance Plan</v>
          </cell>
          <cell r="F1970">
            <v>1</v>
          </cell>
          <cell r="G1970" t="str">
            <v>IFR</v>
          </cell>
        </row>
        <row r="1971">
          <cell r="A1971" t="str">
            <v>KHF-00-104265-RA-6038-00609-0000-4</v>
          </cell>
          <cell r="B1971" t="str">
            <v>AIP-PDO-P1701009-T-1343</v>
          </cell>
          <cell r="C1971">
            <v>43683</v>
          </cell>
          <cell r="D1971" t="str">
            <v>KHF-00-104265-RA-6038-00609-0000</v>
          </cell>
          <cell r="E1971" t="str">
            <v>Visual Examination Procedure for CS / LTCS / CRA / Piping Spools</v>
          </cell>
          <cell r="F1971">
            <v>4</v>
          </cell>
          <cell r="G1971" t="str">
            <v>IFA</v>
          </cell>
        </row>
        <row r="1972">
          <cell r="A1972" t="str">
            <v>KHF-00-104265-AA-3341-00164-0000-1</v>
          </cell>
          <cell r="B1972" t="str">
            <v>AIP-PDO-P1701009-T-1344</v>
          </cell>
          <cell r="C1972">
            <v>43683</v>
          </cell>
          <cell r="D1972" t="str">
            <v>KHF-00-104265-AA-3341-00164-0000</v>
          </cell>
          <cell r="E1972" t="str">
            <v>CV OF MR. VASIM ALIJI VAHORA - HYDRO TEST ENGINEER</v>
          </cell>
          <cell r="F1972">
            <v>1</v>
          </cell>
          <cell r="G1972" t="str">
            <v>IFA</v>
          </cell>
        </row>
        <row r="1973">
          <cell r="A1973" t="str">
            <v>KHF-00-104265-CX-4180-10005-0001-12</v>
          </cell>
          <cell r="B1973" t="str">
            <v>AIP-PDO-P1701009-T-1345</v>
          </cell>
          <cell r="C1973">
            <v>43683</v>
          </cell>
          <cell r="D1973" t="str">
            <v>KHF-00-104265-CX-4180-10005-0001</v>
          </cell>
          <cell r="E1973" t="str">
            <v>Site Camp Layout</v>
          </cell>
          <cell r="F1973">
            <v>12</v>
          </cell>
          <cell r="G1973" t="str">
            <v>IFA</v>
          </cell>
        </row>
        <row r="1974">
          <cell r="A1974" t="str">
            <v>KHF-00-104265-BA-6065-50064-0000-1</v>
          </cell>
          <cell r="B1974" t="str">
            <v>AIP-PDO-P1701009-T-1346</v>
          </cell>
          <cell r="C1974">
            <v>43683</v>
          </cell>
          <cell r="D1974" t="str">
            <v>KHF-00-104265-BA-6065-50064-0000</v>
          </cell>
          <cell r="E1974" t="str">
            <v>Welding Procedure Specification AI-WPS-T-716 (PQR-AI-PQR-716)</v>
          </cell>
          <cell r="F1974">
            <v>1</v>
          </cell>
          <cell r="G1974" t="str">
            <v>IFR</v>
          </cell>
        </row>
        <row r="1975">
          <cell r="A1975" t="str">
            <v>KHF-00-104265-MP-6180-01801-0000-1</v>
          </cell>
          <cell r="B1975" t="str">
            <v>AIP-PDO-P1701009-T-1347</v>
          </cell>
          <cell r="C1975">
            <v>43684</v>
          </cell>
          <cell r="D1975" t="str">
            <v>KHF-00-104265-MP-6180-01801-0000</v>
          </cell>
          <cell r="E1975" t="str">
            <v>NITROGEN HELIUM LEAK TESTING PROCEDURE</v>
          </cell>
          <cell r="F1975">
            <v>1</v>
          </cell>
          <cell r="G1975" t="str">
            <v>IFR</v>
          </cell>
        </row>
        <row r="1976">
          <cell r="A1976" t="str">
            <v>KHF-00-104265-MP-7180-01801-0000-1</v>
          </cell>
          <cell r="B1976" t="str">
            <v>AIP-PDO-P1701009-T-1347</v>
          </cell>
          <cell r="C1976">
            <v>43684</v>
          </cell>
          <cell r="D1976" t="str">
            <v>KHF-00-104265-MP-7180-01801-0000</v>
          </cell>
          <cell r="E1976" t="str">
            <v>TEST PACK FOR TEST LOOP TP-083</v>
          </cell>
          <cell r="F1976">
            <v>1</v>
          </cell>
          <cell r="G1976" t="str">
            <v>IFR</v>
          </cell>
        </row>
        <row r="1977">
          <cell r="A1977" t="str">
            <v>KHF-00-104265-MP-7180-01803-0000-1</v>
          </cell>
          <cell r="B1977" t="str">
            <v>AIP-PDO-P1701009-T-1347</v>
          </cell>
          <cell r="C1977">
            <v>43684</v>
          </cell>
          <cell r="D1977" t="str">
            <v>KHF-00-104265-MP-7180-01803-0000</v>
          </cell>
          <cell r="E1977" t="str">
            <v>TEST PACK FOR TEST LOOP TP-085</v>
          </cell>
          <cell r="F1977">
            <v>1</v>
          </cell>
          <cell r="G1977" t="str">
            <v>IFR</v>
          </cell>
        </row>
        <row r="1978">
          <cell r="A1978" t="str">
            <v>KHF-00-104265-BA-6070-42042-0000-1</v>
          </cell>
          <cell r="B1978" t="str">
            <v>AIP-PDO-P1701009-T-1348</v>
          </cell>
          <cell r="C1978">
            <v>43685</v>
          </cell>
          <cell r="D1978" t="str">
            <v>KHF-00-104265-BA-6070-42042-0000</v>
          </cell>
          <cell r="E1978" t="str">
            <v>Method Statement for Preservation of HRSG after Hydro Test and Chemical Cleaning</v>
          </cell>
          <cell r="F1978">
            <v>1</v>
          </cell>
          <cell r="G1978" t="str">
            <v>IFR</v>
          </cell>
        </row>
        <row r="1979">
          <cell r="A1979" t="str">
            <v>KHF-00-104265-AA-6944-10092-0000-1</v>
          </cell>
          <cell r="B1979" t="str">
            <v>AIP-PDO-P1701009-T-1349</v>
          </cell>
          <cell r="C1979">
            <v>43688</v>
          </cell>
          <cell r="D1979" t="str">
            <v>KHF-00-104265-AA-6944-10092-0000</v>
          </cell>
          <cell r="E1979" t="str">
            <v>WEEKLY PROGRESS REPORT NO. 092</v>
          </cell>
          <cell r="F1979">
            <v>1</v>
          </cell>
          <cell r="G1979" t="str">
            <v>IFR</v>
          </cell>
        </row>
        <row r="1980">
          <cell r="A1980" t="str">
            <v>KHF-00-104265-BA-6070-44010-0000-1</v>
          </cell>
          <cell r="B1980" t="str">
            <v>AIP-PDO-P1701009-T-1350</v>
          </cell>
          <cell r="C1980">
            <v>43695</v>
          </cell>
          <cell r="D1980" t="str">
            <v>KHF-00-104265-BA-6070-44010-0000</v>
          </cell>
          <cell r="E1980" t="str">
            <v>Method Statement for Calibration of Control Valves, ESD Valves, On-Off Valves and Motor Operated Valves</v>
          </cell>
          <cell r="F1980">
            <v>1</v>
          </cell>
          <cell r="G1980" t="str">
            <v>IFR</v>
          </cell>
        </row>
        <row r="1981">
          <cell r="A1981" t="str">
            <v>KHF-00-104265-QA-6050-01707-0000-3</v>
          </cell>
          <cell r="B1981" t="str">
            <v>AIP-PDO-P1701009-T-1351</v>
          </cell>
          <cell r="C1981">
            <v>43695</v>
          </cell>
          <cell r="D1981" t="str">
            <v>KHF-00-104265-QA-6050-01707-0000</v>
          </cell>
          <cell r="E1981" t="str">
            <v>Tank Fill Test &amp; Roof Pneumatic Test Procedure</v>
          </cell>
          <cell r="F1981">
            <v>3</v>
          </cell>
          <cell r="G1981" t="str">
            <v>IFA</v>
          </cell>
        </row>
        <row r="1982">
          <cell r="A1982" t="str">
            <v>KHF-00-104265-BA-6070-43018-0000-1</v>
          </cell>
          <cell r="B1982" t="str">
            <v>AIP-PDO-P1701009-T-1352</v>
          </cell>
          <cell r="C1982">
            <v>43695</v>
          </cell>
          <cell r="D1982" t="str">
            <v>KHF-00-104265-BA-6070-43018-0000</v>
          </cell>
          <cell r="E1982" t="str">
            <v>Method Statement for 110 MVA Transformer Stability Test</v>
          </cell>
          <cell r="F1982">
            <v>1</v>
          </cell>
          <cell r="G1982" t="str">
            <v>IFR</v>
          </cell>
        </row>
        <row r="1983">
          <cell r="A1983" t="str">
            <v>KHF-00-104265-HX-6019-10017-0000-3</v>
          </cell>
          <cell r="B1983" t="str">
            <v>AIP-PDO-P1701009-T-1353</v>
          </cell>
          <cell r="C1983">
            <v>43695</v>
          </cell>
          <cell r="D1983" t="str">
            <v>KHF-00-104265-HX-6019-10017-0000</v>
          </cell>
          <cell r="E1983" t="str">
            <v>Emergency Response Procedure</v>
          </cell>
          <cell r="F1983">
            <v>3</v>
          </cell>
          <cell r="G1983" t="str">
            <v>IFA</v>
          </cell>
        </row>
        <row r="1984">
          <cell r="A1984" t="str">
            <v>KHF-00-104265-AA-6944-10093-0000-1</v>
          </cell>
          <cell r="B1984" t="str">
            <v>AIP-PDO-P1701009-T-1354</v>
          </cell>
          <cell r="C1984">
            <v>43696</v>
          </cell>
          <cell r="D1984" t="str">
            <v>KHF-00-104265-AA-6944-10093-0000</v>
          </cell>
          <cell r="E1984" t="str">
            <v>WEEKLY PROGRESS REPORT NO. 093</v>
          </cell>
          <cell r="F1984">
            <v>1</v>
          </cell>
          <cell r="G1984" t="str">
            <v>IFR</v>
          </cell>
        </row>
        <row r="1985">
          <cell r="A1985" t="str">
            <v>KHF-00-104265-MP-1380-01701-0000-1</v>
          </cell>
          <cell r="B1985" t="str">
            <v>AIP-PDO-P1701009-T-1355</v>
          </cell>
          <cell r="C1985">
            <v>43696</v>
          </cell>
          <cell r="D1985" t="str">
            <v>KHF-00-104265-MP-1380-01701-0000</v>
          </cell>
          <cell r="E1985" t="str">
            <v>Transportation Saddle Calculation for Chemical Storage Tank T-10303 - (AI-DC-823A-01)</v>
          </cell>
          <cell r="F1985">
            <v>1</v>
          </cell>
          <cell r="G1985" t="str">
            <v>IFR</v>
          </cell>
        </row>
        <row r="1986">
          <cell r="A1986" t="str">
            <v>KHF-00-104265-MP-1380-01702-0000-1</v>
          </cell>
          <cell r="B1986" t="str">
            <v>AIP-PDO-P1701009-T-1355</v>
          </cell>
          <cell r="C1986">
            <v>43696</v>
          </cell>
          <cell r="D1986" t="str">
            <v>KHF-00-104265-MP-1380-01702-0000</v>
          </cell>
          <cell r="E1986" t="str">
            <v>Transportation Saddle Calculation for Chemical Storage Tank T-11303 - (AI-DC-824A-01)</v>
          </cell>
          <cell r="F1986">
            <v>1</v>
          </cell>
          <cell r="G1986" t="str">
            <v>IFR</v>
          </cell>
        </row>
        <row r="1987">
          <cell r="A1987" t="str">
            <v>KHF-00-104265-MP-1380-01703-0000-1</v>
          </cell>
          <cell r="B1987" t="str">
            <v>AIP-PDO-P1701009-T-1355</v>
          </cell>
          <cell r="C1987">
            <v>43696</v>
          </cell>
          <cell r="D1987" t="str">
            <v>KHF-00-104265-MP-1380-01703-0000</v>
          </cell>
          <cell r="E1987" t="str">
            <v>Transportation Saddle Calculation for Chemical Storage Tank T-12303 - (AI-DC-825A-01)</v>
          </cell>
          <cell r="F1987">
            <v>1</v>
          </cell>
          <cell r="G1987" t="str">
            <v>IFR</v>
          </cell>
        </row>
        <row r="1988">
          <cell r="A1988" t="str">
            <v>KHF-00-104265-MP-4180-01701-0001-1</v>
          </cell>
          <cell r="B1988" t="str">
            <v>AIP-PDO-P1701009-T-1355</v>
          </cell>
          <cell r="C1988">
            <v>43696</v>
          </cell>
          <cell r="D1988" t="str">
            <v>KHF-00-104265-MP-4180-01701-0001</v>
          </cell>
          <cell r="E1988" t="str">
            <v>Transport Saddle Details for Corrosion Inhibitor Chemical Storage Tank T-10303</v>
          </cell>
          <cell r="F1988">
            <v>1</v>
          </cell>
          <cell r="G1988" t="str">
            <v>IFR</v>
          </cell>
        </row>
        <row r="1989">
          <cell r="A1989" t="str">
            <v>KHF-00-104265-MP-4180-01702-0001-1</v>
          </cell>
          <cell r="B1989" t="str">
            <v>AIP-PDO-P1701009-T-1355</v>
          </cell>
          <cell r="C1989">
            <v>43696</v>
          </cell>
          <cell r="D1989" t="str">
            <v>KHF-00-104265-MP-4180-01702-0001</v>
          </cell>
          <cell r="E1989" t="str">
            <v>Transport Saddle Details for Corrosion Inhibitor Chemical Storage Tank T-11303</v>
          </cell>
          <cell r="F1989">
            <v>1</v>
          </cell>
          <cell r="G1989" t="str">
            <v>IFR</v>
          </cell>
        </row>
        <row r="1990">
          <cell r="A1990" t="str">
            <v>KHF-00-104265-MP-4180-01703-0001-1</v>
          </cell>
          <cell r="B1990" t="str">
            <v>AIP-PDO-P1701009-T-1355</v>
          </cell>
          <cell r="C1990">
            <v>43696</v>
          </cell>
          <cell r="D1990" t="str">
            <v>KHF-00-104265-MP-4180-01703-0001</v>
          </cell>
          <cell r="E1990" t="str">
            <v>Transport Saddle Details for Chemical Storage Tank T-12303</v>
          </cell>
          <cell r="F1990">
            <v>1</v>
          </cell>
          <cell r="G1990" t="str">
            <v>IFR</v>
          </cell>
        </row>
        <row r="1991">
          <cell r="A1991" t="str">
            <v>KHF-00-104265-AA-3341-60179-0000-1</v>
          </cell>
          <cell r="B1991" t="str">
            <v>AIP-PDO-P1701009-T-1356</v>
          </cell>
          <cell r="C1991">
            <v>43697</v>
          </cell>
          <cell r="D1991" t="str">
            <v>KHF-00-104265-AA-3341-60179-0000</v>
          </cell>
          <cell r="E1991" t="str">
            <v>CV OF MR. RADHAKRISHNAN KUMARASAMY - HSE MANAGER</v>
          </cell>
          <cell r="F1991">
            <v>1</v>
          </cell>
          <cell r="G1991" t="str">
            <v>IFA</v>
          </cell>
        </row>
        <row r="1992">
          <cell r="A1992" t="str">
            <v>KHF-00-104265-BA-6070-01314-0000-1</v>
          </cell>
          <cell r="B1992" t="str">
            <v>AIP-PDO-P1701009-T-1357</v>
          </cell>
          <cell r="C1992">
            <v>43699</v>
          </cell>
          <cell r="D1992" t="str">
            <v>KHF-00-104265-BA-6070-01314-0000</v>
          </cell>
          <cell r="E1992" t="str">
            <v>Method Statement for GTG and its Auxiliaries Piping Hydrostatic Pressure Test</v>
          </cell>
          <cell r="F1992">
            <v>1</v>
          </cell>
          <cell r="G1992" t="str">
            <v>IFR</v>
          </cell>
        </row>
        <row r="1993">
          <cell r="A1993" t="str">
            <v>KHF-00-104265-RA-8241-51230-0000-1</v>
          </cell>
          <cell r="B1993" t="str">
            <v>AIP-PDO-P1701009-T-1358</v>
          </cell>
          <cell r="C1993">
            <v>43699</v>
          </cell>
          <cell r="D1993" t="str">
            <v>KHF-00-104265-RA-8241-51230-0000</v>
          </cell>
          <cell r="E1993" t="str">
            <v>Material Approval Sheet for 2Nos High Voltage Test Equipment for 6.6KV Switchgear</v>
          </cell>
          <cell r="F1993">
            <v>1</v>
          </cell>
          <cell r="G1993" t="str">
            <v>IFA</v>
          </cell>
        </row>
        <row r="1994">
          <cell r="A1994" t="str">
            <v>KHF-00-104265-RA-8241-51231-0000-1</v>
          </cell>
          <cell r="B1994" t="str">
            <v>AIP-PDO-P1701009-T-1359</v>
          </cell>
          <cell r="C1994">
            <v>43699</v>
          </cell>
          <cell r="D1994" t="str">
            <v>KHF-00-104265-RA-8241-51231-0000</v>
          </cell>
          <cell r="E1994" t="str">
            <v>Material  Approval Sheet for 11KV HV Detector for Switchgear (HV Detector type KP Test IIE by K.PFISTERER Germany from ROTEL Electrical UK)</v>
          </cell>
          <cell r="F1994">
            <v>1</v>
          </cell>
          <cell r="G1994" t="str">
            <v>IFA</v>
          </cell>
        </row>
        <row r="1995">
          <cell r="A1995" t="str">
            <v>KHF-00-104265-RA-8241-51232-0000-1</v>
          </cell>
          <cell r="B1995" t="str">
            <v>AIP-PDO-P1701009-T-1359</v>
          </cell>
          <cell r="C1995">
            <v>43699</v>
          </cell>
          <cell r="D1995" t="str">
            <v>KHF-00-104265-RA-8241-51232-0000</v>
          </cell>
          <cell r="E1995" t="str">
            <v>Material  Approval Sheet for 33KV Live Line Tester &amp; Accessories for Switchgear and Overhead Line (Model 257A EDGCOMBE Instruments)</v>
          </cell>
          <cell r="F1995">
            <v>1</v>
          </cell>
          <cell r="G1995" t="str">
            <v>IFA</v>
          </cell>
        </row>
        <row r="1996">
          <cell r="A1996" t="str">
            <v>KHF-00-104265-RA-8241-51233-0000-1</v>
          </cell>
          <cell r="B1996" t="str">
            <v>AIP-PDO-P1701009-T-1359</v>
          </cell>
          <cell r="C1996">
            <v>43702</v>
          </cell>
          <cell r="D1996" t="str">
            <v>KHF-00-104265-RA-8241-51233-0000</v>
          </cell>
          <cell r="E1996" t="str">
            <v>MATERIAL APPROVAL SHEET FOR 132KV HV DETECTOR TYPE KP TEST III REF.  KPT 3.5 BY K. PFISTERER  GERMANY FROM ROTEL ELECTRICAL  UK</v>
          </cell>
          <cell r="F1996">
            <v>1</v>
          </cell>
          <cell r="G1996" t="str">
            <v>IFA</v>
          </cell>
        </row>
        <row r="1997">
          <cell r="A1997" t="str">
            <v>KHF-00-104265-BA-6065-50006-0000-3</v>
          </cell>
          <cell r="B1997" t="str">
            <v>AIP-PDO-P1701009-T-1360</v>
          </cell>
          <cell r="C1997">
            <v>43702</v>
          </cell>
          <cell r="D1997" t="str">
            <v>KHF-00-104265-BA-6065-50006-0000</v>
          </cell>
          <cell r="E1997" t="str">
            <v>WPS - Pipe to Weldolet - Pipeline PL-5 (AIP-WPS-PL-005)</v>
          </cell>
          <cell r="F1997">
            <v>3</v>
          </cell>
          <cell r="G1997" t="str">
            <v>IFA</v>
          </cell>
        </row>
        <row r="1998">
          <cell r="A1998" t="str">
            <v>KHF-00-104265-RA-6038-00906-0000-4</v>
          </cell>
          <cell r="B1998" t="str">
            <v>AIP-PDO-P1701009-T-1361</v>
          </cell>
          <cell r="C1998">
            <v>43702</v>
          </cell>
          <cell r="D1998" t="str">
            <v>KHF-00-104265-RA-6038-00906-0000</v>
          </cell>
          <cell r="E1998" t="str">
            <v>Procedure for Post Weld Heat Treatment</v>
          </cell>
          <cell r="F1998">
            <v>4</v>
          </cell>
          <cell r="G1998" t="str">
            <v>IFA</v>
          </cell>
        </row>
        <row r="1999">
          <cell r="A1999" t="str">
            <v>KHF-00-104265-RA-8241-51234-0000-1</v>
          </cell>
          <cell r="B1999" t="str">
            <v>AIP-PDO-P1701009-T-1362</v>
          </cell>
          <cell r="C1999">
            <v>43702</v>
          </cell>
          <cell r="D1999" t="str">
            <v>KHF-00-104265-RA-8241-51234-0000</v>
          </cell>
          <cell r="E1999" t="str">
            <v>MATERIAL APPROVAL SHEET FOR FOSROC CONBEXTRA EP10 (EPOXY GROUTING COMPOUNDS FOR FOUNDATIONS)</v>
          </cell>
          <cell r="F1999">
            <v>1</v>
          </cell>
          <cell r="G1999" t="str">
            <v>IFA</v>
          </cell>
        </row>
        <row r="2000">
          <cell r="A2000" t="str">
            <v>KHF-00-104265-RA-8241-51235-0000-1</v>
          </cell>
          <cell r="B2000" t="str">
            <v>AIP-PDO-P1701009-T-1362</v>
          </cell>
          <cell r="C2000">
            <v>43702</v>
          </cell>
          <cell r="D2000" t="str">
            <v>KHF-00-104265-RA-8241-51235-0000</v>
          </cell>
          <cell r="E2000" t="str">
            <v>MATERIAL APPROVAL SHEET FOR SAFETY STUD ANCHOR HST3- R (STAINLESS STEEL) FOR PIPING SECONDARY SUPPORT</v>
          </cell>
          <cell r="F2000">
            <v>1</v>
          </cell>
          <cell r="G2000" t="str">
            <v>IFA</v>
          </cell>
        </row>
        <row r="2001">
          <cell r="A2001" t="str">
            <v>KHF-00-104265-AA-6944-10094-0000-1</v>
          </cell>
          <cell r="B2001" t="str">
            <v>AIP-PDO-P1701009-T-1363</v>
          </cell>
          <cell r="C2001">
            <v>43702</v>
          </cell>
          <cell r="D2001" t="str">
            <v>KHF-00-104265-AA-6944-10094-0000</v>
          </cell>
          <cell r="E2001" t="str">
            <v>WEEKLY PROGRESS REPORT NO. 094</v>
          </cell>
          <cell r="F2001">
            <v>1</v>
          </cell>
          <cell r="G2001" t="str">
            <v>IFR</v>
          </cell>
        </row>
        <row r="2002">
          <cell r="A2002" t="str">
            <v>KHF-00-104265-BA-6065-50067-0000-1</v>
          </cell>
          <cell r="B2002" t="str">
            <v>AIP-PDO-P1701009-T-1364</v>
          </cell>
          <cell r="C2002">
            <v>43703</v>
          </cell>
          <cell r="D2002" t="str">
            <v>KHF-00-104265-BA-6065-50067-0000</v>
          </cell>
          <cell r="E2002" t="str">
            <v>Welding Procedure Specification AI-WPS-T-717 (PQR AI/PQR/232)</v>
          </cell>
          <cell r="F2002">
            <v>1</v>
          </cell>
          <cell r="G2002" t="str">
            <v>IFR</v>
          </cell>
        </row>
        <row r="2003">
          <cell r="A2003" t="str">
            <v>KHF-00-104265-AA-3347-30054-0000-1</v>
          </cell>
          <cell r="B2003" t="str">
            <v>AIP-PDO-P1701009-T-1365</v>
          </cell>
          <cell r="C2003">
            <v>43703</v>
          </cell>
          <cell r="D2003" t="str">
            <v>KHF-00-104265-AA-3347-30054-0000</v>
          </cell>
          <cell r="E2003" t="str">
            <v>MINUTES OF WEEKLY REVIEW MEETING (SITE) NO. 54</v>
          </cell>
          <cell r="F2003">
            <v>1</v>
          </cell>
          <cell r="G2003" t="str">
            <v>IFI</v>
          </cell>
        </row>
        <row r="2004">
          <cell r="A2004" t="str">
            <v>KHF-00-104265-RA-6038-01705-0000-4</v>
          </cell>
          <cell r="B2004" t="str">
            <v>AIP-PDO-P1701009-T-1366</v>
          </cell>
          <cell r="C2004">
            <v>43703</v>
          </cell>
          <cell r="D2004" t="str">
            <v>KHF-00-104265-RA-6038-01705-0000</v>
          </cell>
          <cell r="E2004" t="str">
            <v>Liquid Penetrant Examination for Corrosion Inhibitor Chemical Storage Tanks</v>
          </cell>
          <cell r="F2004">
            <v>4</v>
          </cell>
          <cell r="G2004" t="str">
            <v>IFA</v>
          </cell>
        </row>
        <row r="2005">
          <cell r="A2005" t="str">
            <v>KHF-00-104265-QA-0880-10084-0000-1</v>
          </cell>
          <cell r="B2005" t="str">
            <v>AIP-PDO-P1701009-T-1367</v>
          </cell>
          <cell r="C2005">
            <v>43703</v>
          </cell>
          <cell r="D2005" t="str">
            <v>KHF-00-104265-QA-0880-10084-0000</v>
          </cell>
          <cell r="E2005" t="str">
            <v>EXTERNAL AUDIT REPORT - JURONG ENGINEERING LLC - YKP PROJECT SITE</v>
          </cell>
          <cell r="F2005">
            <v>1</v>
          </cell>
          <cell r="G2005" t="str">
            <v>IFI</v>
          </cell>
        </row>
        <row r="2006">
          <cell r="A2006" t="str">
            <v>KHF-00-104265-BA-6070-41022-0000-1</v>
          </cell>
          <cell r="B2006" t="str">
            <v>AIP-PDO-P1701009-T-1368</v>
          </cell>
          <cell r="C2006">
            <v>43704</v>
          </cell>
          <cell r="D2006" t="str">
            <v>KHF-00-104265-BA-6070-41022-0000</v>
          </cell>
          <cell r="E2006" t="str">
            <v>METHOD STATEMENT FOR CONCRETE REPAIR WORK AT OFF PLOT</v>
          </cell>
          <cell r="F2006">
            <v>1</v>
          </cell>
          <cell r="G2006" t="str">
            <v>IFR</v>
          </cell>
        </row>
        <row r="2007">
          <cell r="A2007" t="str">
            <v>KHF-00-104265-RA-6038-00608-0000-2</v>
          </cell>
          <cell r="B2007" t="str">
            <v>AIP-PDO-P1701009-T-1369</v>
          </cell>
          <cell r="C2007">
            <v>43704</v>
          </cell>
          <cell r="D2007" t="str">
            <v>KHF-00-104265-RA-6038-00608-0000</v>
          </cell>
          <cell r="E2007" t="str">
            <v>PROCEDURE FOR RADIOGRAPHIC FILM DIGITIZATION FOR CS / LTCS PIPING SPOOLS</v>
          </cell>
          <cell r="F2007">
            <v>2</v>
          </cell>
          <cell r="G2007" t="str">
            <v>IFA</v>
          </cell>
        </row>
        <row r="2008">
          <cell r="A2008" t="str">
            <v>KHF-00-104265-QA-6050-01706-0000-3</v>
          </cell>
          <cell r="B2008" t="str">
            <v>AIP-PDO-P1701009-T-1370</v>
          </cell>
          <cell r="C2008">
            <v>43705</v>
          </cell>
          <cell r="D2008" t="str">
            <v>KHF-00-104265-QA-6050-01706-0000</v>
          </cell>
          <cell r="E2008" t="str">
            <v>POSITIVE MATERIAL IDENTIFICATION PROCEDURE</v>
          </cell>
          <cell r="F2008">
            <v>3</v>
          </cell>
          <cell r="G2008" t="str">
            <v>IFA</v>
          </cell>
        </row>
        <row r="2009">
          <cell r="A2009" t="str">
            <v>resubmitted via T-1395</v>
          </cell>
          <cell r="B2009" t="str">
            <v>AIP-PDO-P1701009-T-1371</v>
          </cell>
          <cell r="C2009">
            <v>43710</v>
          </cell>
          <cell r="D2009" t="str">
            <v>KHF-00-104265-RA-8241-51236-0000</v>
          </cell>
          <cell r="E2009" t="str">
            <v>MATERIAL APPROVAL SHEET FOR 150 MM WADI STONE</v>
          </cell>
          <cell r="F2009">
            <v>1</v>
          </cell>
          <cell r="G2009" t="str">
            <v>IFA</v>
          </cell>
        </row>
        <row r="2010">
          <cell r="A2010" t="str">
            <v>resubmitted via T-1395</v>
          </cell>
          <cell r="B2010" t="str">
            <v>AIP-PDO-P1701009-T-1371</v>
          </cell>
          <cell r="C2010">
            <v>43710</v>
          </cell>
          <cell r="D2010" t="str">
            <v>KHF-00-104265-RA-8241-51237-0000</v>
          </cell>
          <cell r="E2010" t="str">
            <v>MATERIAL APPROVAL SHEET FOR SAFETY SIGNAGE BOARD (FOR POWER PLANT - GIS, GTG AND BoP)</v>
          </cell>
          <cell r="F2010">
            <v>1</v>
          </cell>
          <cell r="G2010" t="str">
            <v>IFA</v>
          </cell>
        </row>
        <row r="2011">
          <cell r="A2011" t="str">
            <v>KHF-00-104265-BA-6070-43014-0000-2</v>
          </cell>
          <cell r="B2011" t="str">
            <v>AIP-PDO-P1701009-T-1372</v>
          </cell>
          <cell r="C2011">
            <v>43710</v>
          </cell>
          <cell r="D2011" t="str">
            <v>KHF-00-104265-BA-6070-43014-0000</v>
          </cell>
          <cell r="E2011" t="str">
            <v>METHOD STATEMENT FOR 33KV SINGLE ELM OHL CONSTRUCTION (CONCRETE POLE)</v>
          </cell>
          <cell r="F2011">
            <v>2</v>
          </cell>
          <cell r="G2011" t="str">
            <v>IFA</v>
          </cell>
        </row>
        <row r="2012">
          <cell r="A2012" t="str">
            <v>KHF-00-104265-BA-6070-42043-0000-1</v>
          </cell>
          <cell r="B2012" t="str">
            <v>AIP-PDO-P1701009-T-1373</v>
          </cell>
          <cell r="C2012">
            <v>43710</v>
          </cell>
          <cell r="D2012" t="str">
            <v>KHF-00-104265-BA-6070-42043-0000</v>
          </cell>
          <cell r="E2012" t="str">
            <v>METHOD STATEMENT FOR LIFTING AND PLACEMENT OF DUCT BANKS</v>
          </cell>
          <cell r="F2012">
            <v>1</v>
          </cell>
          <cell r="G2012" t="str">
            <v>IFR</v>
          </cell>
        </row>
        <row r="2013">
          <cell r="A2013" t="str">
            <v>KHF-00-104265-BA-6070-42045-0000-1</v>
          </cell>
          <cell r="B2013" t="str">
            <v>AIP-PDO-P1701009-T-1373</v>
          </cell>
          <cell r="C2013">
            <v>43710</v>
          </cell>
          <cell r="D2013" t="str">
            <v>KHF-00-104265-BA-6070-42045-0000</v>
          </cell>
          <cell r="E2013" t="str">
            <v>METHOD STATEMENT FOR LIFTING AND PLACEMENT OF MODULAR SKID</v>
          </cell>
          <cell r="F2013">
            <v>1</v>
          </cell>
          <cell r="G2013" t="str">
            <v>IFR</v>
          </cell>
        </row>
        <row r="2014">
          <cell r="A2014" t="str">
            <v>KHF-00-104265-RA-6038-01312-0000-4</v>
          </cell>
          <cell r="B2014" t="str">
            <v>AIP-PDO-P1701009-T-1374</v>
          </cell>
          <cell r="C2014">
            <v>43710</v>
          </cell>
          <cell r="D2014" t="str">
            <v>KHF-00-104265-RA-6038-01312-0000</v>
          </cell>
          <cell r="E2014" t="str">
            <v>VISUAL TESTING PROCEDURE BY HITECH</v>
          </cell>
          <cell r="F2014">
            <v>4</v>
          </cell>
          <cell r="G2014" t="str">
            <v>IFA</v>
          </cell>
        </row>
        <row r="2015">
          <cell r="A2015" t="str">
            <v>KHF-00-104265-AA-3341-60160-0000-2</v>
          </cell>
          <cell r="B2015" t="str">
            <v>AIP-PDO-P1701009-T-1375</v>
          </cell>
          <cell r="C2015">
            <v>43710</v>
          </cell>
          <cell r="D2015" t="str">
            <v>KHF-00-104265-AA-3341-60160-0000</v>
          </cell>
          <cell r="E2015" t="str">
            <v>CV OF MR. MANJUNATHAN. A - LEAD QC ENGINEER</v>
          </cell>
          <cell r="F2015">
            <v>2</v>
          </cell>
          <cell r="G2015" t="str">
            <v>IFA</v>
          </cell>
        </row>
        <row r="2016">
          <cell r="A2016" t="str">
            <v>KHF-00-104265-AA-3341-60162-0000-2</v>
          </cell>
          <cell r="B2016" t="str">
            <v>AIP-PDO-P1701009-T-1375</v>
          </cell>
          <cell r="C2016">
            <v>43710</v>
          </cell>
          <cell r="D2016" t="str">
            <v>KHF-00-104265-AA-3341-60162-0000</v>
          </cell>
          <cell r="E2016" t="str">
            <v>CV OF MR. SUNIL VYAS RAMANLAL - QC INSPECTOR - PIPING</v>
          </cell>
          <cell r="F2016">
            <v>2</v>
          </cell>
          <cell r="G2016" t="str">
            <v>IFA</v>
          </cell>
        </row>
        <row r="2017">
          <cell r="A2017" t="str">
            <v>KHF-00-104265-AA-3341-60163-0000-2</v>
          </cell>
          <cell r="B2017" t="str">
            <v>AIP-PDO-P1701009-T-1375</v>
          </cell>
          <cell r="C2017">
            <v>43710</v>
          </cell>
          <cell r="D2017" t="str">
            <v>KHF-00-104265-AA-3341-60163-0000</v>
          </cell>
          <cell r="E2017" t="str">
            <v>CV OF MR. PANIADIMAI REPHEAL - QC INSPECTOR - CIVIL</v>
          </cell>
          <cell r="F2017">
            <v>2</v>
          </cell>
          <cell r="G2017" t="str">
            <v>IFA</v>
          </cell>
        </row>
        <row r="2018">
          <cell r="A2018" t="str">
            <v>KHF-00-104265-AA-3341-60151-0000-2</v>
          </cell>
          <cell r="B2018" t="str">
            <v>AIP-PDO-P1701009-T-1376</v>
          </cell>
          <cell r="C2018">
            <v>43710</v>
          </cell>
          <cell r="D2018" t="str">
            <v>KHF-00-104265-AA-3341-60151-0000</v>
          </cell>
          <cell r="E2018" t="str">
            <v>CV of Mr. K. Naganathan, QC Inspector - Painting &amp; Coating</v>
          </cell>
          <cell r="F2018">
            <v>2</v>
          </cell>
          <cell r="G2018" t="str">
            <v>IFA</v>
          </cell>
        </row>
        <row r="2019">
          <cell r="A2019" t="str">
            <v>KHF-00-104265-AA-3347-30055-0000-1</v>
          </cell>
          <cell r="B2019" t="str">
            <v>AIP-PDO-P1701009-T-1377</v>
          </cell>
          <cell r="C2019">
            <v>43710</v>
          </cell>
          <cell r="D2019" t="str">
            <v>KHF-00-104265-AA-3347-30055-0000</v>
          </cell>
          <cell r="E2019" t="str">
            <v>MINUTES OF WEEKLY REVIEW MEETING (SITE) NO. 55</v>
          </cell>
          <cell r="F2019">
            <v>1</v>
          </cell>
          <cell r="G2019" t="str">
            <v>IFI</v>
          </cell>
        </row>
        <row r="2020">
          <cell r="A2020" t="str">
            <v>KHF-00-104265-BA-6070-42044-0000-1</v>
          </cell>
          <cell r="B2020" t="str">
            <v>AIP-PDO-P1701009-T-1378</v>
          </cell>
          <cell r="C2020">
            <v>43710</v>
          </cell>
          <cell r="D2020" t="str">
            <v>KHF-00-104265-BA-6070-42044-0000</v>
          </cell>
          <cell r="E2020" t="str">
            <v>METHOD STATEMENT FOR LIFTING AND PLACEMENT OF TANKS (11 TON) BY TANDEM LIFT</v>
          </cell>
          <cell r="F2020">
            <v>1</v>
          </cell>
          <cell r="G2020" t="str">
            <v>IFR</v>
          </cell>
        </row>
        <row r="2021">
          <cell r="A2021" t="str">
            <v>KHF-00-104265-RA-8241-51196-0000-2</v>
          </cell>
          <cell r="B2021" t="str">
            <v>AIP-PDO-P1701009-T-1379</v>
          </cell>
          <cell r="C2021">
            <v>43710</v>
          </cell>
          <cell r="D2021" t="str">
            <v>KHF-00-104265-RA-8241-51196-0000</v>
          </cell>
          <cell r="E2021" t="str">
            <v>MATERIAL APPROVAL SHEET FOR MASTER SEAL PG470 AND GG470 &amp; MASTER SEAL P 101 SEALANT PRIMER</v>
          </cell>
          <cell r="F2021">
            <v>2</v>
          </cell>
          <cell r="G2021" t="str">
            <v>IFA</v>
          </cell>
        </row>
        <row r="2022">
          <cell r="A2022" t="str">
            <v>KHF-00-104265-AA-6944-10095-0000-1</v>
          </cell>
          <cell r="B2022" t="str">
            <v>AIP-PDO-P1701009-T-1380</v>
          </cell>
          <cell r="C2022">
            <v>43711</v>
          </cell>
          <cell r="D2022" t="str">
            <v>KHF-00-104265-AA-6944-10095-0000</v>
          </cell>
          <cell r="E2022" t="str">
            <v>WEEKLY PROGRESS REPORT NO. 095</v>
          </cell>
          <cell r="F2022">
            <v>1</v>
          </cell>
          <cell r="G2022" t="str">
            <v>IFR</v>
          </cell>
        </row>
        <row r="2023">
          <cell r="A2023" t="str">
            <v>KHF-00-104265-RA-8241-51238-0000-1</v>
          </cell>
          <cell r="B2023" t="str">
            <v>AIP-PDO-P1701009-T-1381</v>
          </cell>
          <cell r="C2023">
            <v>43712</v>
          </cell>
          <cell r="D2023" t="str">
            <v>KHF-00-104265-RA-8241-51238-0000</v>
          </cell>
          <cell r="E2023" t="str">
            <v>MATERIAL APPROVAL SHEET FOR GEOTEXTILE MEMBRANE TERRAM 1000</v>
          </cell>
          <cell r="F2023">
            <v>1</v>
          </cell>
          <cell r="G2023" t="str">
            <v>IFA</v>
          </cell>
        </row>
        <row r="2024">
          <cell r="A2024" t="str">
            <v>KHF-00-104265-RA-8241-51239-0000-1</v>
          </cell>
          <cell r="B2024" t="str">
            <v>AIP-PDO-P1701009-T-1381</v>
          </cell>
          <cell r="C2024">
            <v>43712</v>
          </cell>
          <cell r="D2024" t="str">
            <v>KHF-00-104265-RA-8241-51239-0000</v>
          </cell>
          <cell r="E2024" t="str">
            <v>MATERIAL APPROVAL SHEET FOR HYDROPHILIC SEALANT FOSROC SUPERCAST SW 30</v>
          </cell>
          <cell r="F2024">
            <v>1</v>
          </cell>
          <cell r="G2024" t="str">
            <v>IFA</v>
          </cell>
        </row>
        <row r="2025">
          <cell r="A2025" t="str">
            <v>KHF-00-104265-RA-8241-51241-0000-1</v>
          </cell>
          <cell r="B2025" t="str">
            <v>AIP-PDO-P1701009-T-1381</v>
          </cell>
          <cell r="C2025">
            <v>43712</v>
          </cell>
          <cell r="D2025" t="str">
            <v>KHF-00-104265-RA-8241-51241-0000</v>
          </cell>
          <cell r="E2025" t="str">
            <v>MATERIAL APPROVAL SHEET FOR FOSROC NITOMORTAR S</v>
          </cell>
          <cell r="F2025">
            <v>1</v>
          </cell>
          <cell r="G2025" t="str">
            <v>IFA</v>
          </cell>
        </row>
        <row r="2026">
          <cell r="A2026" t="str">
            <v>KHF-00-104265-AA-3347-30053-0000-1</v>
          </cell>
          <cell r="B2026" t="str">
            <v>AIP-PDO-P1701009-T-1382</v>
          </cell>
          <cell r="C2026">
            <v>43712</v>
          </cell>
          <cell r="D2026" t="str">
            <v>KHF-00-104265-AA-3347-30053-0000</v>
          </cell>
          <cell r="E2026" t="str">
            <v>MINUTES OF WEEKLY REVIEW MEETING (SITE) NO. 53</v>
          </cell>
          <cell r="F2026">
            <v>1</v>
          </cell>
          <cell r="G2026" t="str">
            <v>IFI</v>
          </cell>
        </row>
        <row r="2027">
          <cell r="A2027" t="str">
            <v>KHF-00-104265-BA-6070-41023-0000-1</v>
          </cell>
          <cell r="B2027" t="str">
            <v>AIP-PDO-P1701009-T-1383</v>
          </cell>
          <cell r="C2027">
            <v>43716</v>
          </cell>
          <cell r="D2027" t="str">
            <v>KHF-00-104265-BA-6070-41023-0000</v>
          </cell>
          <cell r="E2027" t="str">
            <v>Method Statement for Equipment Foundation and Tank-T Foundation Grouting (Non Shrink Cementitious Based Grout)</v>
          </cell>
          <cell r="F2027">
            <v>1</v>
          </cell>
          <cell r="G2027" t="str">
            <v>IFR</v>
          </cell>
        </row>
        <row r="2028">
          <cell r="A2028" t="str">
            <v>KHF-00-104265-AA-6944-20023-0000-1</v>
          </cell>
          <cell r="B2028" t="str">
            <v>AIP-PDO-P1701009-T-1384</v>
          </cell>
          <cell r="C2028">
            <v>43716</v>
          </cell>
          <cell r="D2028" t="str">
            <v>KHF-00-104265-AA-6944-20023-0000</v>
          </cell>
          <cell r="E2028" t="str">
            <v>MONTHLY PROGRESS REPORT NO.023 (AUGUST 2019)</v>
          </cell>
          <cell r="F2028">
            <v>1</v>
          </cell>
          <cell r="G2028" t="str">
            <v>IFR</v>
          </cell>
        </row>
        <row r="2029">
          <cell r="A2029" t="str">
            <v>KHF-00-104265-QA-6050-10101-0000-1</v>
          </cell>
          <cell r="B2029" t="str">
            <v>AIP-PDO-P1701009-T-1385</v>
          </cell>
          <cell r="C2029">
            <v>43716</v>
          </cell>
          <cell r="D2029" t="str">
            <v>KHF-00-104265-QA-6050-10101-0000</v>
          </cell>
          <cell r="E2029" t="str">
            <v>Flawless Project Delivery Monthly Report No. 009 (August 2019)</v>
          </cell>
          <cell r="F2029">
            <v>1</v>
          </cell>
          <cell r="G2029" t="str">
            <v>IFR</v>
          </cell>
        </row>
        <row r="2030">
          <cell r="A2030" t="str">
            <v>KHF-23-104265-CB-2307-10082-0001-1</v>
          </cell>
          <cell r="B2030" t="str">
            <v>AIP-PDO-P1701009-T-1386</v>
          </cell>
          <cell r="C2030">
            <v>43716</v>
          </cell>
          <cell r="D2030" t="str">
            <v>KHF-23-104265-CB-2307-10082-0001</v>
          </cell>
          <cell r="E2030" t="str">
            <v>Wooden False Ceiling in Control Room</v>
          </cell>
          <cell r="F2030">
            <v>1</v>
          </cell>
          <cell r="G2030" t="str">
            <v>IFI</v>
          </cell>
        </row>
        <row r="2031">
          <cell r="A2031" t="str">
            <v>KHF-00-104265-QA-6050-32009-0000-1</v>
          </cell>
          <cell r="B2031" t="str">
            <v>AIP-PDO-P1701009-T-1387</v>
          </cell>
          <cell r="C2031">
            <v>43716</v>
          </cell>
          <cell r="D2031" t="str">
            <v>KHF-00-104265-QA-6050-32009-0000</v>
          </cell>
          <cell r="E2031" t="str">
            <v>Quality Control Procedure for Hydro Static Testing of Stainless Steel Corrosion Inhibitor Tanks @ YKP Site</v>
          </cell>
          <cell r="F2031">
            <v>1</v>
          </cell>
          <cell r="G2031" t="str">
            <v>IFR</v>
          </cell>
        </row>
        <row r="2032">
          <cell r="A2032" t="str">
            <v>resubmitted via T-1396</v>
          </cell>
          <cell r="B2032" t="str">
            <v>AIP-PDO-P1701009-T-1388</v>
          </cell>
          <cell r="C2032">
            <v>43717</v>
          </cell>
          <cell r="D2032" t="str">
            <v>KHF-00-104265-LA-5880-10085-0000</v>
          </cell>
          <cell r="E2032" t="str">
            <v>Preservation Plan for Pipeline PL-5</v>
          </cell>
          <cell r="F2032">
            <v>1</v>
          </cell>
          <cell r="G2032" t="str">
            <v>IFR</v>
          </cell>
        </row>
        <row r="2033">
          <cell r="A2033" t="str">
            <v>KHF-00-104265-BA-6070-44011-0000-1</v>
          </cell>
          <cell r="B2033" t="str">
            <v>AIP-PDO-P1701009-T-1389</v>
          </cell>
          <cell r="C2033">
            <v>43717</v>
          </cell>
          <cell r="D2033" t="str">
            <v>KHF-00-104265-BA-6070-44011-0000</v>
          </cell>
          <cell r="E2033" t="str">
            <v>Method Statement for Control Valve Testing ( Shell Test &amp; Seat Leak Tests)</v>
          </cell>
          <cell r="F2033">
            <v>1</v>
          </cell>
          <cell r="G2033" t="str">
            <v>IFR</v>
          </cell>
        </row>
        <row r="2034">
          <cell r="A2034" t="str">
            <v>KHF-00-104265-BA-6070-44012-0000-1</v>
          </cell>
          <cell r="B2034" t="str">
            <v>AIP-PDO-P1701009-T-1389</v>
          </cell>
          <cell r="C2034">
            <v>43717</v>
          </cell>
          <cell r="D2034" t="str">
            <v>KHF-00-104265-BA-6070-44012-0000</v>
          </cell>
          <cell r="E2034" t="str">
            <v>Method Statement for On - Off Valves / IPF Valves Testing (Shell Test &amp; Seat Leak Tests)</v>
          </cell>
          <cell r="F2034">
            <v>1</v>
          </cell>
          <cell r="G2034" t="str">
            <v>IFR</v>
          </cell>
        </row>
        <row r="2035">
          <cell r="A2035" t="str">
            <v>KHF-00-104265-QA-0880-10086-0000-1</v>
          </cell>
          <cell r="B2035" t="str">
            <v>AIP-PDO-P1701009-T-1390</v>
          </cell>
          <cell r="C2035">
            <v>43717</v>
          </cell>
          <cell r="D2035" t="str">
            <v>KHF-00-104265-QA-0880-10086-0000</v>
          </cell>
          <cell r="E2035" t="str">
            <v>EXTERNAL AUDIT REPORT - SIEVERT TECHNICAL INSPECTION LLC - YKP PROJECT SITE</v>
          </cell>
          <cell r="F2035">
            <v>1</v>
          </cell>
          <cell r="G2035" t="str">
            <v>IFI</v>
          </cell>
        </row>
        <row r="2036">
          <cell r="A2036" t="str">
            <v>KHF-00-104265-AA-3341-60180-0000-1</v>
          </cell>
          <cell r="B2036" t="str">
            <v>AIP-PDO-P1701009-T-1391</v>
          </cell>
          <cell r="C2036">
            <v>43717</v>
          </cell>
          <cell r="D2036" t="str">
            <v>KHF-00-104265-AA-3341-60180-0000</v>
          </cell>
          <cell r="E2036" t="str">
            <v>CV OF MR.MANIAR PAVAN ASHOKKUMAR - WELDING ENGINEER</v>
          </cell>
          <cell r="F2036">
            <v>1</v>
          </cell>
          <cell r="G2036" t="str">
            <v>IFA</v>
          </cell>
        </row>
        <row r="2037">
          <cell r="A2037" t="str">
            <v>KHF-00-104265-AA-6944-10096-0000-1</v>
          </cell>
          <cell r="B2037" t="str">
            <v>AIP-PDO-P1701009-T-1392</v>
          </cell>
          <cell r="C2037">
            <v>43718</v>
          </cell>
          <cell r="D2037" t="str">
            <v>KHF-00-104265-AA-6944-10096-0000</v>
          </cell>
          <cell r="E2037" t="str">
            <v>WEEKLY PROGRESS REPORT NO. 096</v>
          </cell>
          <cell r="F2037">
            <v>1</v>
          </cell>
          <cell r="G2037" t="str">
            <v>IFR</v>
          </cell>
        </row>
        <row r="2038">
          <cell r="A2038" t="str">
            <v>KHF-00-104265-RA-8241-51240-0000-1</v>
          </cell>
          <cell r="B2038" t="str">
            <v>AIP-PDO-P1701009-T-1393</v>
          </cell>
          <cell r="C2038">
            <v>43718</v>
          </cell>
          <cell r="D2038" t="str">
            <v>KHF-00-104265-RA-8241-51240-0000</v>
          </cell>
          <cell r="E2038" t="str">
            <v>Material Approval Sheet for 6mm Mirror</v>
          </cell>
          <cell r="F2038">
            <v>1</v>
          </cell>
          <cell r="G2038" t="str">
            <v>IFA</v>
          </cell>
        </row>
        <row r="2039">
          <cell r="A2039" t="str">
            <v>KHF-00-104265-LA-5880-10087-0000-1</v>
          </cell>
          <cell r="B2039" t="str">
            <v>AIP-PDO-P1701009-T-1394</v>
          </cell>
          <cell r="C2039">
            <v>43718</v>
          </cell>
          <cell r="D2039" t="str">
            <v>KHF-00-104265-LA-5880-10087-0000</v>
          </cell>
          <cell r="E2039" t="str">
            <v>Preservation Plan for Pipeline PL-8</v>
          </cell>
          <cell r="F2039">
            <v>1</v>
          </cell>
          <cell r="G2039" t="str">
            <v>IFR</v>
          </cell>
        </row>
        <row r="2040">
          <cell r="A2040" t="str">
            <v>KHF-00-104265-LA-5880-10088-0000-1</v>
          </cell>
          <cell r="B2040" t="str">
            <v>AIP-PDO-P1701009-T-1394</v>
          </cell>
          <cell r="C2040">
            <v>43718</v>
          </cell>
          <cell r="D2040" t="str">
            <v>KHF-00-104265-LA-5880-10088-0000</v>
          </cell>
          <cell r="E2040" t="str">
            <v>Preservation Plan for Pipeline PL-1</v>
          </cell>
          <cell r="F2040">
            <v>1</v>
          </cell>
          <cell r="G2040" t="str">
            <v>IFR</v>
          </cell>
        </row>
        <row r="2041">
          <cell r="A2041" t="str">
            <v>KHF-00-104265-LA-5880-10089-0000-1</v>
          </cell>
          <cell r="B2041" t="str">
            <v>AIP-PDO-P1701009-T-1394</v>
          </cell>
          <cell r="C2041">
            <v>43718</v>
          </cell>
          <cell r="D2041" t="str">
            <v>KHF-00-104265-LA-5880-10089-0000</v>
          </cell>
          <cell r="E2041" t="str">
            <v>Preservation Plan for Pipeline PL-7</v>
          </cell>
          <cell r="F2041">
            <v>1</v>
          </cell>
          <cell r="G2041" t="str">
            <v>IFR</v>
          </cell>
        </row>
        <row r="2042">
          <cell r="A2042" t="str">
            <v>KHF-00-104265-RA-8241-51236-0000-1</v>
          </cell>
          <cell r="B2042" t="str">
            <v>AIP-PDO-P1701009-T-1395</v>
          </cell>
          <cell r="C2042">
            <v>43718</v>
          </cell>
          <cell r="D2042" t="str">
            <v>KHF-00-104265-RA-8241-51236-0000</v>
          </cell>
          <cell r="E2042" t="str">
            <v>MATERIAL APPROVAL SHEET FOR 150 MM WADI STONE</v>
          </cell>
          <cell r="F2042">
            <v>1</v>
          </cell>
          <cell r="G2042" t="str">
            <v>IFA</v>
          </cell>
        </row>
        <row r="2043">
          <cell r="A2043" t="str">
            <v>KHF-00-104265-RA-8241-51237-0000-1</v>
          </cell>
          <cell r="B2043" t="str">
            <v>AIP-PDO-P1701009-T-1395</v>
          </cell>
          <cell r="C2043">
            <v>43718</v>
          </cell>
          <cell r="D2043" t="str">
            <v>KHF-00-104265-RA-8241-51237-0000</v>
          </cell>
          <cell r="E2043" t="str">
            <v>MATERIAL APPROVAL SHEET FOR SAFETY SIGNAGE BOARD (FOR POWER PLANT - GIS, GTG AND BoP)</v>
          </cell>
          <cell r="F2043">
            <v>1</v>
          </cell>
          <cell r="G2043" t="str">
            <v>IFA</v>
          </cell>
        </row>
        <row r="2044">
          <cell r="A2044" t="str">
            <v>KHF-00-104265-LA-5880-10085-0000-1</v>
          </cell>
          <cell r="B2044" t="str">
            <v>AIP-PDO-P1701009-T-1396</v>
          </cell>
          <cell r="C2044">
            <v>43718</v>
          </cell>
          <cell r="D2044" t="str">
            <v>KHF-00-104265-LA-5880-10085-0000</v>
          </cell>
          <cell r="E2044" t="str">
            <v>Preservation Plan for Pipeline PL-5</v>
          </cell>
          <cell r="F2044">
            <v>1</v>
          </cell>
          <cell r="G2044" t="str">
            <v>IFR</v>
          </cell>
        </row>
        <row r="2045">
          <cell r="A2045" t="str">
            <v>KHF-00-104265-RA-6038-10076-0000-4</v>
          </cell>
          <cell r="B2045" t="str">
            <v>AIP-PDO-P1701009-T-1397</v>
          </cell>
          <cell r="C2045">
            <v>43720</v>
          </cell>
          <cell r="D2045" t="str">
            <v>KHF-00-104265-RA-6038-10076-0000</v>
          </cell>
          <cell r="E2045" t="str">
            <v>Visual Inspection of Piping using Boroscope by M/s GTIS</v>
          </cell>
          <cell r="F2045">
            <v>4</v>
          </cell>
          <cell r="G2045" t="str">
            <v>IFA</v>
          </cell>
        </row>
        <row r="2046">
          <cell r="A2046" t="str">
            <v>KHF-00-104265-RA-6038-01305-0000-5</v>
          </cell>
          <cell r="B2046" t="str">
            <v>AIP-PDO-P1701009-T-1398</v>
          </cell>
          <cell r="C2046">
            <v>43720</v>
          </cell>
          <cell r="D2046" t="str">
            <v>KHF-00-104265-RA-6038-01305-0000</v>
          </cell>
          <cell r="E2046" t="str">
            <v>Procedure for Hardness Testing</v>
          </cell>
          <cell r="F2046">
            <v>5</v>
          </cell>
          <cell r="G2046" t="str">
            <v>IFA</v>
          </cell>
        </row>
        <row r="2047">
          <cell r="A2047" t="str">
            <v>KHF-00-104265-RA-6038-01306-0000-2</v>
          </cell>
          <cell r="B2047" t="str">
            <v>AIP-PDO-P1701009-T-1398</v>
          </cell>
          <cell r="C2047">
            <v>43720</v>
          </cell>
          <cell r="D2047" t="str">
            <v>KHF-00-104265-RA-6038-01306-0000</v>
          </cell>
          <cell r="E2047" t="str">
            <v>Procedure for Post Weld Heat Treatment for Piping</v>
          </cell>
          <cell r="F2047">
            <v>2</v>
          </cell>
          <cell r="G2047" t="str">
            <v>IFA</v>
          </cell>
        </row>
        <row r="2048">
          <cell r="A2048" t="str">
            <v>KHF-00-104265-RA-8241-51243-0000-1</v>
          </cell>
          <cell r="B2048" t="str">
            <v>AIP-PDO-P1701009-T-1399</v>
          </cell>
          <cell r="C2048">
            <v>43720</v>
          </cell>
          <cell r="D2048" t="str">
            <v>KHF-00-104265-RA-8241-51243-0000</v>
          </cell>
          <cell r="E2048" t="str">
            <v>Material Approval Sheet for LOKFIX-DUR Epoxy Resin Cartridge System for Anchoring, Bonding</v>
          </cell>
          <cell r="F2048">
            <v>1</v>
          </cell>
          <cell r="G2048" t="str">
            <v>IFA</v>
          </cell>
        </row>
        <row r="2049">
          <cell r="A2049" t="str">
            <v>KHF-00-104265-RA-8241-51244-0000-1</v>
          </cell>
          <cell r="B2049" t="str">
            <v>AIP-PDO-P1701009-T-1399</v>
          </cell>
          <cell r="C2049">
            <v>43720</v>
          </cell>
          <cell r="D2049" t="str">
            <v>KHF-00-104265-RA-8241-51244-0000</v>
          </cell>
          <cell r="E2049" t="str">
            <v>Material Approval Sheet for NITOCOTE ET 550- Tar Extended Coal Tar Epoxy for Manhole Covers</v>
          </cell>
          <cell r="F2049">
            <v>1</v>
          </cell>
          <cell r="G2049" t="str">
            <v>IFA</v>
          </cell>
        </row>
        <row r="2050">
          <cell r="A2050" t="str">
            <v>KHF-00-104265-QA-6050-10201-0000-1</v>
          </cell>
          <cell r="B2050" t="str">
            <v>AIP-PDO-P1701009-T-1400</v>
          </cell>
          <cell r="C2050">
            <v>43723</v>
          </cell>
          <cell r="D2050" t="str">
            <v>KHF-00-104265-QA-6050-10201-0000</v>
          </cell>
          <cell r="E2050" t="str">
            <v>Flawless Project Delivery Q Round Report (Q Round # AIP-Q-118)</v>
          </cell>
          <cell r="F2050">
            <v>1</v>
          </cell>
          <cell r="G2050" t="str">
            <v>IFR</v>
          </cell>
        </row>
        <row r="2051">
          <cell r="A2051" t="str">
            <v>KHF-00-104265-QA-6050-10202-0000-1</v>
          </cell>
          <cell r="B2051" t="str">
            <v>AIP-PDO-P1701009-T-1400</v>
          </cell>
          <cell r="C2051">
            <v>43723</v>
          </cell>
          <cell r="D2051" t="str">
            <v>KHF-00-104265-QA-6050-10202-0000</v>
          </cell>
          <cell r="E2051" t="str">
            <v>Flawless Project Delivery Q Round Report (Q Round # AIP-Q-119)</v>
          </cell>
          <cell r="F2051">
            <v>1</v>
          </cell>
          <cell r="G2051" t="str">
            <v>IFR</v>
          </cell>
        </row>
        <row r="2052">
          <cell r="A2052" t="str">
            <v>KHF-00-104265-QA-6050-10203-0000-1</v>
          </cell>
          <cell r="B2052" t="str">
            <v>AIP-PDO-P1701009-T-1400</v>
          </cell>
          <cell r="C2052">
            <v>43723</v>
          </cell>
          <cell r="D2052" t="str">
            <v>KHF-00-104265-QA-6050-10203-0000</v>
          </cell>
          <cell r="E2052" t="str">
            <v>Flawless Project Delivery Q Round Report (Q Round # AIP-Q-120)</v>
          </cell>
          <cell r="F2052">
            <v>1</v>
          </cell>
          <cell r="G2052" t="str">
            <v>IFR</v>
          </cell>
        </row>
        <row r="2053">
          <cell r="A2053" t="str">
            <v>KHF-00-104265-QA-6050-10204-0000-1</v>
          </cell>
          <cell r="B2053" t="str">
            <v>AIP-PDO-P1701009-T-1400</v>
          </cell>
          <cell r="C2053">
            <v>43723</v>
          </cell>
          <cell r="D2053" t="str">
            <v>KHF-00-104265-QA-6050-10204-0000</v>
          </cell>
          <cell r="E2053" t="str">
            <v>Flawless Project Delivery Q Round Report (Q Round # AIP-Q-121)</v>
          </cell>
          <cell r="F2053">
            <v>1</v>
          </cell>
          <cell r="G2053" t="str">
            <v>IFR</v>
          </cell>
        </row>
        <row r="2054">
          <cell r="A2054" t="str">
            <v>KHF-00-104265-RA-8241-51242-0000-1</v>
          </cell>
          <cell r="B2054" t="str">
            <v>AIP-PDO-P1701009-T-1401</v>
          </cell>
          <cell r="C2054">
            <v>43723</v>
          </cell>
          <cell r="D2054" t="str">
            <v>KHF-00-104265-RA-8241-51242-0000</v>
          </cell>
          <cell r="E2054" t="str">
            <v>Material Approval Sheet for Fosroc Expancell Backer-Rod (Back-up Cord)</v>
          </cell>
          <cell r="F2054">
            <v>1</v>
          </cell>
          <cell r="G2054" t="str">
            <v>IFA</v>
          </cell>
        </row>
        <row r="2055">
          <cell r="A2055" t="str">
            <v>KHF-00-104265-AA-3347-30056-0000-1</v>
          </cell>
          <cell r="B2055" t="str">
            <v>AIP-PDO-P1701009-T-1402</v>
          </cell>
          <cell r="C2055">
            <v>43723</v>
          </cell>
          <cell r="D2055" t="str">
            <v>KHF-00-104265-AA-3347-30056-0000</v>
          </cell>
          <cell r="E2055" t="str">
            <v>MINUTES OF WEEKLY REVIEW MEETING (SITE) NO. 56</v>
          </cell>
          <cell r="F2055">
            <v>1</v>
          </cell>
          <cell r="G2055" t="str">
            <v>IFI</v>
          </cell>
        </row>
        <row r="2056">
          <cell r="A2056" t="str">
            <v>KHF-00-104265-AA-6944-10097-0000-1</v>
          </cell>
          <cell r="B2056" t="str">
            <v>AIP-PDO-P1701009-T-1403</v>
          </cell>
          <cell r="C2056">
            <v>43723</v>
          </cell>
          <cell r="D2056" t="str">
            <v>KHF-00-104265-AA-6944-10097-0000</v>
          </cell>
          <cell r="E2056" t="str">
            <v>WEEKLY PROGRESS REPORT NO. 097</v>
          </cell>
          <cell r="F2056">
            <v>1</v>
          </cell>
          <cell r="G2056" t="str">
            <v>IFR</v>
          </cell>
        </row>
        <row r="2057">
          <cell r="A2057" t="str">
            <v>KHF-00-104265-QA-5733-23001-0000-3</v>
          </cell>
          <cell r="B2057" t="str">
            <v>AIP-PDO-P1701009-T-1404</v>
          </cell>
          <cell r="C2057">
            <v>43723</v>
          </cell>
          <cell r="D2057" t="str">
            <v>KHF-00-104265-QA-5733-23001-0000</v>
          </cell>
          <cell r="E2057" t="str">
            <v>Inspection &amp; Test Plan - HV/LV Cable Laying &amp; Testing</v>
          </cell>
          <cell r="F2057">
            <v>3</v>
          </cell>
          <cell r="G2057" t="str">
            <v>IFA</v>
          </cell>
        </row>
        <row r="2058">
          <cell r="A2058" t="str">
            <v>KHF-00-104265-QA-5733-23002-0000-4</v>
          </cell>
          <cell r="B2058" t="str">
            <v>AIP-PDO-P1701009-T-1404</v>
          </cell>
          <cell r="C2058">
            <v>43723</v>
          </cell>
          <cell r="D2058" t="str">
            <v>KHF-00-104265-QA-5733-23002-0000</v>
          </cell>
          <cell r="E2058" t="str">
            <v>Inspection &amp; Test Plan - HV/LV Cable Glanding &amp; Termination</v>
          </cell>
          <cell r="F2058">
            <v>4</v>
          </cell>
          <cell r="G2058" t="str">
            <v>IFA</v>
          </cell>
        </row>
        <row r="2059">
          <cell r="A2059" t="str">
            <v>KHF-00-104265-QA-5733-23003-0000-4</v>
          </cell>
          <cell r="B2059" t="str">
            <v>AIP-PDO-P1701009-T-1404</v>
          </cell>
          <cell r="C2059">
            <v>43723</v>
          </cell>
          <cell r="D2059" t="str">
            <v>KHF-00-104265-QA-5733-23003-0000</v>
          </cell>
          <cell r="E2059" t="str">
            <v>Inspection &amp; Test Plan - Switchgear Installation Works</v>
          </cell>
          <cell r="F2059">
            <v>4</v>
          </cell>
          <cell r="G2059" t="str">
            <v>IFA</v>
          </cell>
        </row>
        <row r="2060">
          <cell r="A2060" t="str">
            <v>KHF-00-104265-QA-5733-23005-0000-3</v>
          </cell>
          <cell r="B2060" t="str">
            <v>AIP-PDO-P1701009-T-1404</v>
          </cell>
          <cell r="C2060">
            <v>43723</v>
          </cell>
          <cell r="D2060" t="str">
            <v>KHF-00-104265-QA-5733-23005-0000</v>
          </cell>
          <cell r="E2060" t="str">
            <v>Inspection &amp; Test Plan - Earthing Works</v>
          </cell>
          <cell r="F2060">
            <v>3</v>
          </cell>
          <cell r="G2060" t="str">
            <v>IFA</v>
          </cell>
        </row>
        <row r="2061">
          <cell r="A2061" t="str">
            <v>KHF-00-104265-QA-5733-23007-0000-2</v>
          </cell>
          <cell r="B2061" t="str">
            <v>AIP-PDO-P1701009-T-1404</v>
          </cell>
          <cell r="C2061">
            <v>43723</v>
          </cell>
          <cell r="D2061" t="str">
            <v>KHF-00-104265-QA-5733-23007-0000</v>
          </cell>
          <cell r="E2061" t="str">
            <v>Inspection &amp; Test Plan - Transformer Installation and Testing</v>
          </cell>
          <cell r="F2061">
            <v>2</v>
          </cell>
          <cell r="G2061" t="str">
            <v>IFA</v>
          </cell>
        </row>
        <row r="2062">
          <cell r="A2062" t="str">
            <v>KHF-00-104265-QA-5733-23008-0000-5</v>
          </cell>
          <cell r="B2062" t="str">
            <v>AIP-PDO-P1701009-T-1404</v>
          </cell>
          <cell r="C2062">
            <v>43723</v>
          </cell>
          <cell r="D2062" t="str">
            <v>KHF-00-104265-QA-5733-23008-0000</v>
          </cell>
          <cell r="E2062" t="str">
            <v>Inspection &amp; Test Plan - Lighting &amp; Small Power works</v>
          </cell>
          <cell r="F2062">
            <v>5</v>
          </cell>
          <cell r="G2062" t="str">
            <v>IFA</v>
          </cell>
        </row>
        <row r="2063">
          <cell r="A2063" t="str">
            <v>KHF-00-104265-QA-5733-23009-0000-3</v>
          </cell>
          <cell r="B2063" t="str">
            <v>AIP-PDO-P1701009-T-1404</v>
          </cell>
          <cell r="C2063">
            <v>43723</v>
          </cell>
          <cell r="D2063" t="str">
            <v>KHF-00-104265-QA-5733-23009-0000</v>
          </cell>
          <cell r="E2063" t="str">
            <v>Inspection &amp; Test Plan - 33KV OHL Installation (Concrete Pole)</v>
          </cell>
          <cell r="F2063">
            <v>3</v>
          </cell>
          <cell r="G2063" t="str">
            <v>IFA</v>
          </cell>
        </row>
        <row r="2064">
          <cell r="A2064" t="str">
            <v>KHF-00-104265-QA-5733-24001-0000-4</v>
          </cell>
          <cell r="B2064" t="str">
            <v>AIP-PDO-P1701009-T-1405</v>
          </cell>
          <cell r="C2064">
            <v>43725</v>
          </cell>
          <cell r="D2064" t="str">
            <v>KHF-00-104265-QA-5733-24001-0000</v>
          </cell>
          <cell r="E2064" t="str">
            <v>Inspection &amp; Test Plan - Instrument Cable Laying &amp; Cable Tray Installation</v>
          </cell>
          <cell r="F2064">
            <v>4</v>
          </cell>
          <cell r="G2064" t="str">
            <v>IFA</v>
          </cell>
        </row>
        <row r="2065">
          <cell r="A2065" t="str">
            <v>KHF-00-104265-QA-5733-24002-0000-3</v>
          </cell>
          <cell r="B2065" t="str">
            <v>AIP-PDO-P1701009-T-1405</v>
          </cell>
          <cell r="C2065">
            <v>43725</v>
          </cell>
          <cell r="D2065" t="str">
            <v>KHF-00-104265-QA-5733-24002-0000</v>
          </cell>
          <cell r="E2065" t="str">
            <v>Inspection &amp; Test Plan - Cable Glanding, Termination and Earthing</v>
          </cell>
          <cell r="F2065">
            <v>3</v>
          </cell>
          <cell r="G2065" t="str">
            <v>IFA</v>
          </cell>
        </row>
        <row r="2066">
          <cell r="A2066" t="str">
            <v>KHF-00-104265-QA-5733-24003-0000-3</v>
          </cell>
          <cell r="B2066" t="str">
            <v>AIP-PDO-P1701009-T-1405</v>
          </cell>
          <cell r="C2066">
            <v>43725</v>
          </cell>
          <cell r="D2066" t="str">
            <v>KHF-00-104265-QA-5733-24003-0000</v>
          </cell>
          <cell r="E2066" t="str">
            <v>Inspection &amp; Test Plan - Installation of Field Instruments, Instrument Panels, JB's &amp; Supports</v>
          </cell>
          <cell r="F2066">
            <v>3</v>
          </cell>
          <cell r="G2066" t="str">
            <v>IFA</v>
          </cell>
        </row>
        <row r="2067">
          <cell r="A2067" t="str">
            <v>KHF-00-104265-QA-5733-24008-0000-3</v>
          </cell>
          <cell r="B2067" t="str">
            <v>AIP-PDO-P1701009-T-1405</v>
          </cell>
          <cell r="C2067">
            <v>43725</v>
          </cell>
          <cell r="D2067" t="str">
            <v>KHF-00-104265-QA-5733-24008-0000</v>
          </cell>
          <cell r="E2067" t="str">
            <v>Inspection &amp; Test Plan - FOC Installation &amp; Testing</v>
          </cell>
          <cell r="F2067">
            <v>3</v>
          </cell>
          <cell r="G2067" t="str">
            <v>IFA</v>
          </cell>
        </row>
        <row r="2068">
          <cell r="A2068" t="str">
            <v>KHF-00-104265-RA-6038-01314-0000-4</v>
          </cell>
          <cell r="B2068" t="str">
            <v>AIP-PDO-P1701009-T-1406</v>
          </cell>
          <cell r="C2068">
            <v>43726</v>
          </cell>
          <cell r="D2068" t="str">
            <v>KHF-00-104265-RA-6038-01314-0000</v>
          </cell>
          <cell r="E2068" t="str">
            <v>Ferrite Testing Procedure</v>
          </cell>
          <cell r="F2068">
            <v>4</v>
          </cell>
          <cell r="G2068" t="str">
            <v>IFA</v>
          </cell>
        </row>
        <row r="2069">
          <cell r="A2069" t="str">
            <v>KHF-00-104265-RA-8241-51245-0000-1</v>
          </cell>
          <cell r="B2069" t="str">
            <v>AIP-PDO-P1701009-T-1407</v>
          </cell>
          <cell r="C2069">
            <v>43726</v>
          </cell>
          <cell r="D2069" t="str">
            <v>KHF-00-104265-RA-8241-51245-0000</v>
          </cell>
          <cell r="E2069" t="str">
            <v>MATERIAL APPROVAL SHEET FOR WOODEN FALSE CEILING WITH OAK VENEER FINISH TO CONTROL ROOM IN GTG SUBSTATION</v>
          </cell>
          <cell r="F2069">
            <v>1</v>
          </cell>
          <cell r="G2069" t="str">
            <v>IFA</v>
          </cell>
        </row>
        <row r="2070">
          <cell r="A2070" t="str">
            <v>KHF-00-104265-RA-8241-51229-0000-2</v>
          </cell>
          <cell r="B2070" t="str">
            <v>AIP-PDO-P1701009-T-1408</v>
          </cell>
          <cell r="C2070">
            <v>43726</v>
          </cell>
          <cell r="D2070" t="str">
            <v>KHF-00-104265-RA-8241-51229-0000</v>
          </cell>
          <cell r="E2070" t="str">
            <v>MATERIAL APPROVAL SHEET FOR NAME PLATES IN SS WITH ENGRAVED BLACK TEXT IN ENGLISH FOR SUBSTATION BUILDINGS</v>
          </cell>
          <cell r="F2070">
            <v>2</v>
          </cell>
          <cell r="G2070" t="str">
            <v>IFA</v>
          </cell>
        </row>
        <row r="2071">
          <cell r="A2071" t="str">
            <v>KHF-00-104265-MP-6180-00138-0000-2</v>
          </cell>
          <cell r="B2071" t="str">
            <v>AIP-PDO-P1701009-T-1409</v>
          </cell>
          <cell r="C2071">
            <v>43730</v>
          </cell>
          <cell r="D2071" t="str">
            <v>KHF-00-104265-MP-6180-00138-0000</v>
          </cell>
          <cell r="E2071" t="str">
            <v>Method Statement for Repair Works (FGS)</v>
          </cell>
          <cell r="F2071">
            <v>2</v>
          </cell>
          <cell r="G2071" t="str">
            <v>IFA</v>
          </cell>
        </row>
        <row r="2072">
          <cell r="A2072" t="str">
            <v>KHF-00-104265-RA-8241-51093-0000-2</v>
          </cell>
          <cell r="B2072" t="str">
            <v>AIP-PDO-P1701009-T-1410</v>
          </cell>
          <cell r="C2072">
            <v>43730</v>
          </cell>
          <cell r="D2072" t="str">
            <v>KHF-00-104265-RA-8241-51093-0000</v>
          </cell>
          <cell r="E2072" t="str">
            <v>MATERIAL APPROVAL SHEET FOR GLASS DOOR AND FIXED GLASS WINDOW / VENTILATORS</v>
          </cell>
          <cell r="F2072">
            <v>2</v>
          </cell>
          <cell r="G2072" t="str">
            <v>IFA</v>
          </cell>
        </row>
        <row r="2073">
          <cell r="A2073" t="str">
            <v>KHF-00-104265-AA-6944-10098-0000-1</v>
          </cell>
          <cell r="B2073" t="str">
            <v>AIP-PDO-P1701009-T-1411</v>
          </cell>
          <cell r="C2073">
            <v>43731</v>
          </cell>
          <cell r="D2073" t="str">
            <v>KHF-00-104265-AA-6944-10098-0000</v>
          </cell>
          <cell r="E2073" t="str">
            <v>WEEKLY PROGRESS REPORT NO. 098</v>
          </cell>
          <cell r="F2073">
            <v>1</v>
          </cell>
          <cell r="G2073" t="str">
            <v>IFR</v>
          </cell>
        </row>
        <row r="2074">
          <cell r="A2074" t="str">
            <v>KHF-00-104265-RA-8241-51114-0000-2</v>
          </cell>
          <cell r="B2074" t="str">
            <v>AIP-PDO-P1701009-T-1412</v>
          </cell>
          <cell r="C2074">
            <v>43731</v>
          </cell>
          <cell r="D2074" t="str">
            <v>KHF-00-104265-RA-8241-51114-0000</v>
          </cell>
          <cell r="E2074" t="str">
            <v>MATERIAL APPROVAL SHEET FOR SUSPENDED CEILING</v>
          </cell>
          <cell r="F2074">
            <v>2</v>
          </cell>
          <cell r="G2074" t="str">
            <v>IFA</v>
          </cell>
        </row>
        <row r="2075">
          <cell r="A2075" t="str">
            <v>KHF-00-104265-QA-6050-10205-0000-1</v>
          </cell>
          <cell r="B2075" t="str">
            <v>AIP-PDO-P1701009-T-1413</v>
          </cell>
          <cell r="C2075">
            <v>43731</v>
          </cell>
          <cell r="D2075" t="str">
            <v>KHF-00-104265-QA-6050-10205-0000</v>
          </cell>
          <cell r="E2075" t="str">
            <v>FLAWLESS PROJECT DELIVERY Q ROUND REPORT (Q ROUND # AIP-Q-122)</v>
          </cell>
          <cell r="F2075">
            <v>1</v>
          </cell>
          <cell r="G2075" t="str">
            <v>IFR</v>
          </cell>
        </row>
        <row r="2076">
          <cell r="A2076" t="str">
            <v>KHF-00-104265-QA-6050-10206-0000-1</v>
          </cell>
          <cell r="B2076" t="str">
            <v>AIP-PDO-P1701009-T-1414</v>
          </cell>
          <cell r="C2076">
            <v>43732</v>
          </cell>
          <cell r="D2076" t="str">
            <v>KHF-00-104265-QA-6050-10206-0000</v>
          </cell>
          <cell r="E2076" t="str">
            <v>FLAWLESS PROJECT DELIVERY Q ROUND REPORT (Q ROUND # AIP-Q-123)</v>
          </cell>
          <cell r="F2076">
            <v>1</v>
          </cell>
          <cell r="G2076" t="str">
            <v>IFR</v>
          </cell>
        </row>
        <row r="2077">
          <cell r="A2077" t="str">
            <v>KHF-00-104265-QA-6050-10207-0000-1</v>
          </cell>
          <cell r="B2077" t="str">
            <v>AIP-PDO-P1701009-T-1414</v>
          </cell>
          <cell r="C2077">
            <v>43732</v>
          </cell>
          <cell r="D2077" t="str">
            <v>KHF-00-104265-QA-6050-10207-0000</v>
          </cell>
          <cell r="E2077" t="str">
            <v>FLAWLESS PROJECT DELIVERY Q ROUND REPORT (Q ROUND # AIP-Q-124)</v>
          </cell>
          <cell r="F2077">
            <v>1</v>
          </cell>
          <cell r="G2077" t="str">
            <v>IFR</v>
          </cell>
        </row>
        <row r="2078">
          <cell r="A2078" t="str">
            <v>KHF-00-104265-QA-6050-10208-0000-1</v>
          </cell>
          <cell r="B2078" t="str">
            <v>AIP-PDO-P1701009-T-1414</v>
          </cell>
          <cell r="C2078">
            <v>43732</v>
          </cell>
          <cell r="D2078" t="str">
            <v>KHF-00-104265-QA-6050-10208-0000</v>
          </cell>
          <cell r="E2078" t="str">
            <v>FLAWLESS PROJECT DELIVERY Q ROUND REPORT (Q ROUND # AIP-Q-125)</v>
          </cell>
          <cell r="F2078">
            <v>1</v>
          </cell>
          <cell r="G2078" t="str">
            <v>IFR</v>
          </cell>
        </row>
        <row r="2079">
          <cell r="A2079" t="str">
            <v>KHF-00-104265-QA-6050-10209-0000-1</v>
          </cell>
          <cell r="B2079" t="str">
            <v>AIP-PDO-P1701009-T-1414</v>
          </cell>
          <cell r="C2079">
            <v>43732</v>
          </cell>
          <cell r="D2079" t="str">
            <v>KHF-00-104265-QA-6050-10209-0000</v>
          </cell>
          <cell r="E2079" t="str">
            <v>FLAWLESS PROJECT DELIVERY Q ROUND REPORT (Q ROUND # AIP-Q-126)</v>
          </cell>
          <cell r="F2079">
            <v>1</v>
          </cell>
          <cell r="G2079" t="str">
            <v>IFR</v>
          </cell>
        </row>
        <row r="2080">
          <cell r="A2080" t="str">
            <v>KHF-00-104265-BA-6065-01312-0000-2</v>
          </cell>
          <cell r="B2080" t="str">
            <v>AIP-PDO-P1701009-T-1415</v>
          </cell>
          <cell r="C2080">
            <v>43732</v>
          </cell>
          <cell r="D2080" t="str">
            <v>KHF-00-104265-BA-6065-01312-0000</v>
          </cell>
          <cell r="E2080" t="str">
            <v>PWPS - HDPE pipe Butt fusion jointing (AIP-WPS-HDPE-001)</v>
          </cell>
          <cell r="F2080">
            <v>2</v>
          </cell>
          <cell r="G2080" t="str">
            <v>IFA</v>
          </cell>
        </row>
        <row r="2081">
          <cell r="A2081" t="str">
            <v>KHF-00-104265-MP-6180-01801-0000-2</v>
          </cell>
          <cell r="B2081" t="str">
            <v>AIP-PDO-P1701009-T-1416</v>
          </cell>
          <cell r="C2081">
            <v>43734</v>
          </cell>
          <cell r="D2081" t="str">
            <v>KHF-00-104265-MP-6180-01801-0000</v>
          </cell>
          <cell r="E2081" t="str">
            <v>NITROGEN HELIUM LEAK TESTING PROCEDURE</v>
          </cell>
          <cell r="F2081">
            <v>2</v>
          </cell>
          <cell r="G2081" t="str">
            <v>IFA</v>
          </cell>
        </row>
        <row r="2082">
          <cell r="A2082" t="str">
            <v>KHF-00-104265-MP-7180-01801-0000-2</v>
          </cell>
          <cell r="B2082" t="str">
            <v>AIP-PDO-P1701009-T-1416</v>
          </cell>
          <cell r="C2082">
            <v>43734</v>
          </cell>
          <cell r="D2082" t="str">
            <v>KHF-00-104265-MP-7180-01801-0000</v>
          </cell>
          <cell r="E2082" t="str">
            <v>TEST PACK FOR TEST LOOP TP-083</v>
          </cell>
          <cell r="F2082">
            <v>2</v>
          </cell>
          <cell r="G2082" t="str">
            <v>IFA</v>
          </cell>
        </row>
        <row r="2083">
          <cell r="A2083" t="str">
            <v>KHF-00-104265-MP-7180-01803-0000-2</v>
          </cell>
          <cell r="B2083" t="str">
            <v>AIP-PDO-P1701009-T-1416</v>
          </cell>
          <cell r="C2083">
            <v>43734</v>
          </cell>
          <cell r="D2083" t="str">
            <v>KHF-00-104265-MP-7180-01803-0000</v>
          </cell>
          <cell r="E2083" t="str">
            <v>TEST PACK FOR TEST LOOP TP-085</v>
          </cell>
          <cell r="F2083">
            <v>2</v>
          </cell>
          <cell r="G2083" t="str">
            <v>IFA</v>
          </cell>
        </row>
        <row r="2084">
          <cell r="A2084" t="str">
            <v>KHF-00-104265-AA-3341-60094-0000-2</v>
          </cell>
          <cell r="B2084" t="str">
            <v>AIP-PDO-P1701009-T-1417</v>
          </cell>
          <cell r="C2084">
            <v>43737</v>
          </cell>
          <cell r="D2084" t="str">
            <v>KHF-00-104265-AA-3341-60094-0000</v>
          </cell>
          <cell r="E2084" t="str">
            <v>CV of Mr. K. Ravikumar, QC Inspector – Welding &amp; Painting</v>
          </cell>
          <cell r="F2084">
            <v>2</v>
          </cell>
          <cell r="G2084" t="str">
            <v>IFA</v>
          </cell>
        </row>
        <row r="2085">
          <cell r="A2085" t="str">
            <v>KHF-00-104265-AA-3341-60117-0000-3</v>
          </cell>
          <cell r="B2085" t="str">
            <v>AIP-PDO-P1701009-T-1417</v>
          </cell>
          <cell r="C2085">
            <v>43737</v>
          </cell>
          <cell r="D2085" t="str">
            <v>KHF-00-104265-AA-3341-60117-0000</v>
          </cell>
          <cell r="E2085" t="str">
            <v>CV of Mr. Mohamed Mansoor, QC Inspector – Instrument &amp; Telecom</v>
          </cell>
          <cell r="F2085">
            <v>3</v>
          </cell>
          <cell r="G2085" t="str">
            <v>IFA</v>
          </cell>
        </row>
        <row r="2086">
          <cell r="A2086" t="str">
            <v>KHF-00-104265-AA-3341-60171-0000-2</v>
          </cell>
          <cell r="B2086" t="str">
            <v>AIP-PDO-P1701009-T-1417</v>
          </cell>
          <cell r="C2086">
            <v>43737</v>
          </cell>
          <cell r="D2086" t="str">
            <v>KHF-00-104265-AA-3341-60171-0000</v>
          </cell>
          <cell r="E2086" t="str">
            <v>CV of Mr. Harter Ben A, QC Inspector – Instrumentation</v>
          </cell>
          <cell r="F2086">
            <v>2</v>
          </cell>
          <cell r="G2086" t="str">
            <v>IFA</v>
          </cell>
        </row>
        <row r="2087">
          <cell r="A2087" t="str">
            <v>KHF-00-104265-AA-3341-60175-0000-2</v>
          </cell>
          <cell r="B2087" t="str">
            <v>AIP-PDO-P1701009-T-1417</v>
          </cell>
          <cell r="C2087">
            <v>43737</v>
          </cell>
          <cell r="D2087" t="str">
            <v>KHF-00-104265-AA-3341-60175-0000</v>
          </cell>
          <cell r="E2087" t="str">
            <v>CV of Mr. K. Naganathan, Welding Inspector - Piping</v>
          </cell>
          <cell r="F2087">
            <v>2</v>
          </cell>
          <cell r="G2087" t="str">
            <v>IFA</v>
          </cell>
        </row>
        <row r="2088">
          <cell r="A2088" t="str">
            <v>KHF-00-104265-QA-5733-23001-0000-4</v>
          </cell>
          <cell r="B2088" t="str">
            <v>AIP-PDO-P1701009-T-1418</v>
          </cell>
          <cell r="C2088">
            <v>43737</v>
          </cell>
          <cell r="D2088" t="str">
            <v>KHF-00-104265-QA-5733-23001-0000</v>
          </cell>
          <cell r="E2088" t="str">
            <v>Inspection &amp; Test Plan - HV/LV Cable Laying &amp; Testing</v>
          </cell>
          <cell r="F2088">
            <v>4</v>
          </cell>
          <cell r="G2088" t="str">
            <v>IFA</v>
          </cell>
        </row>
        <row r="2089">
          <cell r="A2089" t="str">
            <v>KHF-00-104265-QA-5733-23002-0000-5</v>
          </cell>
          <cell r="B2089" t="str">
            <v>AIP-PDO-P1701009-T-1418</v>
          </cell>
          <cell r="C2089">
            <v>43737</v>
          </cell>
          <cell r="D2089" t="str">
            <v>KHF-00-104265-QA-5733-23002-0000</v>
          </cell>
          <cell r="E2089" t="str">
            <v>Inspection &amp; Test Plan - HV/LV Cable Glanding &amp; Termination</v>
          </cell>
          <cell r="F2089">
            <v>5</v>
          </cell>
          <cell r="G2089" t="str">
            <v>IFA</v>
          </cell>
        </row>
        <row r="2090">
          <cell r="A2090" t="str">
            <v>KHF-00-104265-QA-5733-24003-0000-4</v>
          </cell>
          <cell r="B2090" t="str">
            <v>AIP-PDO-P1701009-T-1418</v>
          </cell>
          <cell r="C2090">
            <v>43737</v>
          </cell>
          <cell r="D2090" t="str">
            <v>KHF-00-104265-QA-5733-24003-0000</v>
          </cell>
          <cell r="E2090" t="str">
            <v>Inspection &amp; Test Plan - Installation of Field Instruments, Instrument Panels, JB's &amp; Supports</v>
          </cell>
          <cell r="F2090">
            <v>4</v>
          </cell>
          <cell r="G2090" t="str">
            <v>IFA</v>
          </cell>
        </row>
        <row r="2091">
          <cell r="A2091" t="str">
            <v>KHF-00-104265-QA-5733-24008-0000-4</v>
          </cell>
          <cell r="B2091" t="str">
            <v>AIP-PDO-P1701009-T-1418</v>
          </cell>
          <cell r="C2091">
            <v>43737</v>
          </cell>
          <cell r="D2091" t="str">
            <v>KHF-00-104265-QA-5733-24008-0000</v>
          </cell>
          <cell r="E2091" t="str">
            <v>Inspection &amp; Test Plan for Fiber Optic Cable (FOC) Installation &amp; Testing</v>
          </cell>
          <cell r="F2091">
            <v>4</v>
          </cell>
          <cell r="G2091" t="str">
            <v>IFA</v>
          </cell>
        </row>
        <row r="2092">
          <cell r="A2092" t="str">
            <v>KHF-00-104265-BA-6070-42028-0000-4</v>
          </cell>
          <cell r="B2092" t="str">
            <v>AIP-PDO-P1701009-T-1419</v>
          </cell>
          <cell r="C2092">
            <v>43738</v>
          </cell>
          <cell r="D2092" t="str">
            <v>KHF-00-104265-BA-6070-42028-0000</v>
          </cell>
          <cell r="E2092" t="str">
            <v>METHOD STATEMENT FOR ABOVE GROUND SECTIONS HYDROTESTING OF CS PIPELINES</v>
          </cell>
          <cell r="F2092">
            <v>4</v>
          </cell>
          <cell r="G2092" t="str">
            <v>IFA</v>
          </cell>
        </row>
        <row r="2093">
          <cell r="A2093" t="str">
            <v>KHF-00-104265-QA-6050-10065-0000-2</v>
          </cell>
          <cell r="B2093" t="str">
            <v>AIP-PDO-P1701009-T-1420</v>
          </cell>
          <cell r="C2093">
            <v>43738</v>
          </cell>
          <cell r="D2093" t="str">
            <v>KHF-00-104265-QA-6050-10065-0000</v>
          </cell>
          <cell r="E2093" t="str">
            <v>FLAWLESS PROJECT DELIVERY IMPLEMENTATION PLAN</v>
          </cell>
          <cell r="F2093">
            <v>2</v>
          </cell>
          <cell r="G2093" t="str">
            <v>IFA</v>
          </cell>
        </row>
        <row r="2094">
          <cell r="A2094" t="str">
            <v>KHF-00-104265-AA-3347-30058-0000-1</v>
          </cell>
          <cell r="B2094" t="str">
            <v>AIP-PDO-P1701009-T-1421</v>
          </cell>
          <cell r="C2094">
            <v>43738</v>
          </cell>
          <cell r="D2094" t="str">
            <v>KHF-00-104265-AA-3347-30058-0000</v>
          </cell>
          <cell r="E2094" t="str">
            <v>MINUTES OF WEEKLY REVIEW MEETING (SITE) NO. 58</v>
          </cell>
          <cell r="F2094">
            <v>1</v>
          </cell>
          <cell r="G2094" t="str">
            <v>IFI</v>
          </cell>
        </row>
        <row r="2095">
          <cell r="A2095" t="str">
            <v>KHF-00-104265-QA-6050-10210-0000-1</v>
          </cell>
          <cell r="B2095" t="str">
            <v>AIP-PDO-P1701009-T-1422</v>
          </cell>
          <cell r="C2095">
            <v>43738</v>
          </cell>
          <cell r="D2095" t="str">
            <v>KHF-00-104265-QA-6050-10210-0000</v>
          </cell>
          <cell r="E2095" t="str">
            <v>FLAWLESS PROJECT DELIVERY Q ROUND REPORT (Q ROUND # AIP-Q-127)</v>
          </cell>
          <cell r="F2095">
            <v>1</v>
          </cell>
          <cell r="G2095" t="str">
            <v>IFR</v>
          </cell>
        </row>
        <row r="2096">
          <cell r="A2096" t="str">
            <v>KHF-00-104265-QA-6050-10211-0000-1</v>
          </cell>
          <cell r="B2096" t="str">
            <v>AIP-PDO-P1701009-T-1422</v>
          </cell>
          <cell r="C2096">
            <v>43738</v>
          </cell>
          <cell r="D2096" t="str">
            <v>KHF-00-104265-QA-6050-10211-0000</v>
          </cell>
          <cell r="E2096" t="str">
            <v>FLAWLESS PROJECT DELIVERY Q ROUND REPORT (Q ROUND # AIP-Q-128)</v>
          </cell>
          <cell r="F2096">
            <v>1</v>
          </cell>
          <cell r="G2096" t="str">
            <v>IFR</v>
          </cell>
        </row>
        <row r="2097">
          <cell r="A2097" t="str">
            <v>KHF-00-104265-QA-6050-10212-0000-1</v>
          </cell>
          <cell r="B2097" t="str">
            <v>AIP-PDO-P1701009-T-1422</v>
          </cell>
          <cell r="C2097">
            <v>43738</v>
          </cell>
          <cell r="D2097" t="str">
            <v>KHF-00-104265-QA-6050-10212-0000</v>
          </cell>
          <cell r="E2097" t="str">
            <v>FLAWLESS PROJECT DELIVERY Q ROUND REPORT (Q ROUND # AIP-Q-129)</v>
          </cell>
          <cell r="F2097">
            <v>1</v>
          </cell>
          <cell r="G2097" t="str">
            <v>IFR</v>
          </cell>
        </row>
        <row r="2098">
          <cell r="A2098" t="str">
            <v>KHF-00-104265-HX-6019-10017-0000-4</v>
          </cell>
          <cell r="B2098" t="str">
            <v>AIP-PDO-P1701009-T-1423</v>
          </cell>
          <cell r="C2098">
            <v>43739</v>
          </cell>
          <cell r="D2098" t="str">
            <v>KHF-00-104265-HX-6019-10017-0000</v>
          </cell>
          <cell r="E2098" t="str">
            <v>EMERGENCY RESPONSE PROCEDURE</v>
          </cell>
          <cell r="F2098">
            <v>4</v>
          </cell>
          <cell r="G2098" t="str">
            <v>IFA</v>
          </cell>
        </row>
        <row r="2099">
          <cell r="A2099" t="str">
            <v>KHF-00-104265-BA-6070-01602-0000-2</v>
          </cell>
          <cell r="B2099" t="str">
            <v>AIP-PDO-P1701009-T-1424</v>
          </cell>
          <cell r="C2099">
            <v>43739</v>
          </cell>
          <cell r="D2099" t="str">
            <v>KHF-00-104265-BA-6070-01602-0000</v>
          </cell>
          <cell r="E2099" t="str">
            <v>Method Statement for Surface Preparation and Painting Procedure of Small Bore Pipes (PCS-1, PCS-3, PCS-5 and PCS-6)</v>
          </cell>
          <cell r="F2099">
            <v>2</v>
          </cell>
          <cell r="G2099" t="str">
            <v>IFA</v>
          </cell>
        </row>
        <row r="2100">
          <cell r="A2100" t="str">
            <v>KHF-00-104265-AA-6944-10099-0000-1</v>
          </cell>
          <cell r="B2100" t="str">
            <v>AIP-PDO-P1701009-T-1425</v>
          </cell>
          <cell r="C2100">
            <v>43739</v>
          </cell>
          <cell r="D2100" t="str">
            <v>KHF-00-104265-AA-6944-10099-0000</v>
          </cell>
          <cell r="E2100" t="str">
            <v>WEEKLY PROGRESS REPORT NO. 099</v>
          </cell>
          <cell r="F2100">
            <v>1</v>
          </cell>
          <cell r="G2100" t="str">
            <v>IFR</v>
          </cell>
        </row>
        <row r="2101">
          <cell r="A2101" t="str">
            <v>KHF-00-104265-AA-3341-01304-0000-2</v>
          </cell>
          <cell r="B2101" t="str">
            <v>AIP-PDO-P1701009-T-1426</v>
          </cell>
          <cell r="C2101">
            <v>43740</v>
          </cell>
          <cell r="D2101" t="str">
            <v>KHF-00-104265-AA-3341-01304-0000</v>
          </cell>
          <cell r="E2101" t="str">
            <v>CV OF MR. KIRUBAKARAN K - HYDROTEST ENGINEER</v>
          </cell>
          <cell r="F2101">
            <v>2</v>
          </cell>
          <cell r="G2101" t="str">
            <v>IFA</v>
          </cell>
        </row>
        <row r="2102">
          <cell r="A2102" t="str">
            <v>KHF-00-104265-QA-6050-32009-0000-2</v>
          </cell>
          <cell r="B2102" t="str">
            <v>AIP-PDO-P1701009-T-1427</v>
          </cell>
          <cell r="C2102">
            <v>43740</v>
          </cell>
          <cell r="D2102" t="str">
            <v>KHF-00-104265-QA-6050-32009-0000</v>
          </cell>
          <cell r="E2102" t="str">
            <v>QCP for Hydrostatic Testing of SS Corrosion Inhibitor Tanks @ YKP Site</v>
          </cell>
          <cell r="F2102">
            <v>2</v>
          </cell>
          <cell r="G2102" t="str">
            <v>IFA</v>
          </cell>
        </row>
        <row r="2103">
          <cell r="A2103" t="str">
            <v>KHF-00-104265-BA-6065-01313-0000-4</v>
          </cell>
          <cell r="B2103" t="str">
            <v>AIP-PDO-P1701009-T-1428</v>
          </cell>
          <cell r="C2103">
            <v>43740</v>
          </cell>
          <cell r="D2103" t="str">
            <v>KHF-00-104265-BA-6065-01313-0000</v>
          </cell>
          <cell r="E2103" t="str">
            <v>WPS &amp; PQR REGISTER - NON BOILER EXTERNAL AND GENERAL PIPING (Non-Sour Service)</v>
          </cell>
          <cell r="F2103">
            <v>4</v>
          </cell>
          <cell r="G2103" t="str">
            <v>IFA</v>
          </cell>
        </row>
        <row r="2104">
          <cell r="A2104" t="str">
            <v>KHF-00-104265-BA-6070-01303-0000-2</v>
          </cell>
          <cell r="B2104" t="str">
            <v>AIP-PDO-P1701009-T-1428</v>
          </cell>
          <cell r="C2104">
            <v>43740</v>
          </cell>
          <cell r="D2104" t="str">
            <v>KHF-00-104265-BA-6070-01303-0000</v>
          </cell>
          <cell r="E2104" t="str">
            <v>Method Statement for Mechanical Installation of HRSG pressure parts, piping, steam drum and HRSG auxiliaries</v>
          </cell>
          <cell r="F2104">
            <v>2</v>
          </cell>
          <cell r="G2104" t="str">
            <v>IFA</v>
          </cell>
        </row>
        <row r="2105">
          <cell r="A2105" t="str">
            <v>KHF-00-104265-BA-6070-01304-0000-2</v>
          </cell>
          <cell r="B2105" t="str">
            <v>AIP-PDO-P1701009-T-1428</v>
          </cell>
          <cell r="C2105">
            <v>43740</v>
          </cell>
          <cell r="D2105" t="str">
            <v>KHF-00-104265-BA-6070-01304-0000</v>
          </cell>
          <cell r="E2105" t="str">
            <v>Method Statement for Mechanical installation of GTG and HRSG Steel Structure Installation Works</v>
          </cell>
          <cell r="F2105">
            <v>2</v>
          </cell>
          <cell r="G2105" t="str">
            <v>IFA</v>
          </cell>
        </row>
        <row r="2106">
          <cell r="A2106" t="str">
            <v>KHF-00-104265-QA-5733-24001-0000-5</v>
          </cell>
          <cell r="B2106" t="str">
            <v>AIP-PDO-P1701009-T-1429</v>
          </cell>
          <cell r="C2106">
            <v>43740</v>
          </cell>
          <cell r="D2106" t="str">
            <v>KHF-00-104265-QA-5733-24001-0000</v>
          </cell>
          <cell r="E2106" t="str">
            <v>Inspection &amp; Test Plan - Instrument Cable Laying &amp; Cable Tray Installation</v>
          </cell>
          <cell r="F2106">
            <v>5</v>
          </cell>
          <cell r="G2106" t="str">
            <v>IFA</v>
          </cell>
        </row>
        <row r="2107">
          <cell r="A2107" t="str">
            <v>KHF-00-104265-QA-5733-24002-0000-4</v>
          </cell>
          <cell r="B2107" t="str">
            <v>AIP-PDO-P1701009-T-1429</v>
          </cell>
          <cell r="C2107">
            <v>43740</v>
          </cell>
          <cell r="D2107" t="str">
            <v>KHF-00-104265-QA-5733-24002-0000</v>
          </cell>
          <cell r="E2107" t="str">
            <v>Inspection &amp; Test Plan - Cable Glanding, Termination and Earthing</v>
          </cell>
          <cell r="F2107">
            <v>4</v>
          </cell>
          <cell r="G2107" t="str">
            <v>IFA</v>
          </cell>
        </row>
        <row r="2108">
          <cell r="A2108" t="str">
            <v>KHF-00-104265-AA-3347-30059-0000-1</v>
          </cell>
          <cell r="B2108" t="str">
            <v>AIP-PDO-P1701009-T-1430</v>
          </cell>
          <cell r="C2108">
            <v>43741</v>
          </cell>
          <cell r="D2108" t="str">
            <v>KHF-00-104265-AA-3347-30059-0000</v>
          </cell>
          <cell r="E2108" t="str">
            <v>MINUTES OF WEEKLY REVIEW MEETING (SITE) NO. 59</v>
          </cell>
          <cell r="F2108">
            <v>1</v>
          </cell>
          <cell r="G2108" t="str">
            <v>IFI</v>
          </cell>
        </row>
        <row r="2109">
          <cell r="A2109" t="str">
            <v>KHF-00-104265-AA-6944-20024-0000-1</v>
          </cell>
          <cell r="B2109" t="str">
            <v>AIP-PDO-P1701009-T-1431</v>
          </cell>
          <cell r="C2109">
            <v>43744</v>
          </cell>
          <cell r="D2109" t="str">
            <v>KHF-00-104265-AA-6944-20024-0000</v>
          </cell>
          <cell r="E2109" t="str">
            <v>MONTHLY PROGRESS REPORT NO.024 (SEP 2019)</v>
          </cell>
          <cell r="F2109">
            <v>1</v>
          </cell>
          <cell r="G2109" t="str">
            <v>IFR</v>
          </cell>
        </row>
        <row r="2110">
          <cell r="A2110" t="str">
            <v>KHF-00-104265-RA-6038-00609-0000-5</v>
          </cell>
          <cell r="B2110" t="str">
            <v>AIP-PDO-P1701009-T-1432</v>
          </cell>
          <cell r="C2110">
            <v>43744</v>
          </cell>
          <cell r="D2110" t="str">
            <v>KHF-00-104265-RA-6038-00609-0000</v>
          </cell>
          <cell r="E2110" t="str">
            <v>VISUAL EXAMINATION PROCEDURE FOR CS / LTCS PIPING SPOOLS</v>
          </cell>
          <cell r="F2110">
            <v>5</v>
          </cell>
          <cell r="G2110" t="str">
            <v>IFA</v>
          </cell>
        </row>
        <row r="2111">
          <cell r="A2111" t="str">
            <v>cancelled</v>
          </cell>
          <cell r="B2111" t="str">
            <v>AIP-PDO-P1701009-T-1433</v>
          </cell>
          <cell r="C2111">
            <v>43744</v>
          </cell>
          <cell r="D2111" t="str">
            <v>KHF-00-104265-BA-6070-01602-0000</v>
          </cell>
          <cell r="E2111" t="str">
            <v>Method Statement for Surface Preparation and External Painting of Small Bore Pipes (PCS-1, PCS-3, PCS-5 &amp; PCS-6)</v>
          </cell>
          <cell r="F2111">
            <v>2</v>
          </cell>
          <cell r="G2111" t="str">
            <v>Cancelled</v>
          </cell>
        </row>
        <row r="2112">
          <cell r="A2112" t="str">
            <v>KHF-00-104265-RA-8241-51246-0000-1</v>
          </cell>
          <cell r="B2112" t="str">
            <v>AIP-PDO-P1701009-T-1434</v>
          </cell>
          <cell r="C2112">
            <v>43744</v>
          </cell>
          <cell r="D2112" t="str">
            <v>KHF-00-104265-RA-8241-51246-0000</v>
          </cell>
          <cell r="E2112" t="str">
            <v>MATERIAL APPROVAL SHEET FOR HILTI HSA STUD ANCHOR-M20 FOR MODULAR SKID INSTALLATION IN WELLHEADS</v>
          </cell>
          <cell r="F2112">
            <v>1</v>
          </cell>
          <cell r="G2112" t="str">
            <v>IFA</v>
          </cell>
        </row>
        <row r="2113">
          <cell r="A2113" t="str">
            <v>KHF-00-104265-QA-6050-10102-0000-1</v>
          </cell>
          <cell r="B2113" t="str">
            <v>AIP-PDO-P1701009-T-1435</v>
          </cell>
          <cell r="C2113">
            <v>43744</v>
          </cell>
          <cell r="D2113" t="str">
            <v>KHF-00-104265-QA-6050-10102-0000</v>
          </cell>
          <cell r="E2113" t="str">
            <v>FLAWLESS PROJECT DELIVERY MONTHLY REPORT NO.010  (SEPTEMBER 2019)</v>
          </cell>
          <cell r="F2113">
            <v>1</v>
          </cell>
          <cell r="G2113" t="str">
            <v>IFR</v>
          </cell>
        </row>
        <row r="2114">
          <cell r="A2114" t="str">
            <v>KHF-00-104265-AA-6944-10100-0000-1</v>
          </cell>
          <cell r="B2114" t="str">
            <v>AIP-PDO-P1701009-T-1436</v>
          </cell>
          <cell r="C2114">
            <v>43744</v>
          </cell>
          <cell r="D2114" t="str">
            <v>KHF-00-104265-AA-6944-10100-0000</v>
          </cell>
          <cell r="E2114" t="str">
            <v>WEEKLY PROGRESS REPORT NO. 100</v>
          </cell>
          <cell r="F2114">
            <v>1</v>
          </cell>
          <cell r="G2114" t="str">
            <v>IFR</v>
          </cell>
        </row>
        <row r="2115">
          <cell r="A2115" t="str">
            <v>KHF-00-104265-BA-6070-41024-0000-1</v>
          </cell>
          <cell r="B2115" t="str">
            <v>AIP-PDO-P1701009-T-1437</v>
          </cell>
          <cell r="C2115">
            <v>43745</v>
          </cell>
          <cell r="D2115" t="str">
            <v>KHF-00-104265-BA-6070-41024-0000</v>
          </cell>
          <cell r="E2115" t="str">
            <v>METHOD STATEMENT FOR INSTALLATION &amp; TESTING OF SEWAGE WATER DRAIN PIPES</v>
          </cell>
          <cell r="F2115">
            <v>1</v>
          </cell>
          <cell r="G2115" t="str">
            <v>IFR</v>
          </cell>
        </row>
        <row r="2116">
          <cell r="A2116" t="str">
            <v>KHF-00-104265-QA-6050-10213-0000-1</v>
          </cell>
          <cell r="B2116" t="str">
            <v>AIP-PDO-P1701009-T-1438</v>
          </cell>
          <cell r="C2116">
            <v>43747</v>
          </cell>
          <cell r="D2116" t="str">
            <v>KHF-00-104265-QA-6050-10213-0000</v>
          </cell>
          <cell r="E2116" t="str">
            <v>FLAWLESS PROJECT DELIVERY Q ROUND REPORT (Q ROUND # AIP-Q-130)</v>
          </cell>
          <cell r="F2116">
            <v>1</v>
          </cell>
          <cell r="G2116" t="str">
            <v>IFR</v>
          </cell>
        </row>
        <row r="2117">
          <cell r="A2117" t="str">
            <v>KHF-00-104265-QA-6050-10214-0000-1</v>
          </cell>
          <cell r="B2117" t="str">
            <v>AIP-PDO-P1701009-T-1438</v>
          </cell>
          <cell r="C2117">
            <v>43747</v>
          </cell>
          <cell r="D2117" t="str">
            <v>KHF-00-104265-QA-6050-10214-0000</v>
          </cell>
          <cell r="E2117" t="str">
            <v>FLAWLESS PROJECT DELIVERY Q ROUND REPORT (Q ROUND # AIP-Q-131)</v>
          </cell>
          <cell r="F2117">
            <v>1</v>
          </cell>
          <cell r="G2117" t="str">
            <v>IFR</v>
          </cell>
        </row>
        <row r="2118">
          <cell r="A2118" t="str">
            <v>KHF-00-104265-QA-6050-10215-0000-1</v>
          </cell>
          <cell r="B2118" t="str">
            <v>AIP-PDO-P1701009-T-1438</v>
          </cell>
          <cell r="C2118">
            <v>43747</v>
          </cell>
          <cell r="D2118" t="str">
            <v>KHF-00-104265-QA-6050-10215-0000</v>
          </cell>
          <cell r="E2118" t="str">
            <v>FLAWLESS PROJECT DELIVERY Q ROUND REPORT (Q ROUND # AIP-Q-132)</v>
          </cell>
          <cell r="F2118">
            <v>1</v>
          </cell>
          <cell r="G2118" t="str">
            <v>IFR</v>
          </cell>
        </row>
        <row r="2119">
          <cell r="A2119" t="str">
            <v>KHF-00-104265-QA-6050-10216-0000-1</v>
          </cell>
          <cell r="B2119" t="str">
            <v>AIP-PDO-P1701009-T-1438</v>
          </cell>
          <cell r="C2119">
            <v>43747</v>
          </cell>
          <cell r="D2119" t="str">
            <v>KHF-00-104265-QA-6050-10216-0000</v>
          </cell>
          <cell r="E2119" t="str">
            <v>FLAWLESS PROJECT DELIVERY Q ROUND REPORT (Q ROUND # AIP-Q-133)</v>
          </cell>
          <cell r="F2119">
            <v>1</v>
          </cell>
          <cell r="G2119" t="str">
            <v>IFR</v>
          </cell>
        </row>
        <row r="2120">
          <cell r="A2120" t="str">
            <v>KHF-00-104265-BA-6070-01401-0000-2</v>
          </cell>
          <cell r="B2120" t="str">
            <v>AIP-PDO-P1701009-T-1439</v>
          </cell>
          <cell r="C2120">
            <v>43747</v>
          </cell>
          <cell r="D2120" t="str">
            <v>KHF-00-104265-BA-6070-01401-0000</v>
          </cell>
          <cell r="E2120" t="str">
            <v>Procedure for the Application of Fusion Bonded Epoxy Coating To the Internal Surface of Individual Bends, Fittings and spool pieces</v>
          </cell>
          <cell r="F2120">
            <v>2</v>
          </cell>
          <cell r="G2120" t="str">
            <v>IFA</v>
          </cell>
        </row>
        <row r="2121">
          <cell r="A2121" t="str">
            <v>KHF-00-104265-RA-8241-51247-0000-1</v>
          </cell>
          <cell r="B2121" t="str">
            <v>AIP-PDO-P1701009-T-1440</v>
          </cell>
          <cell r="C2121">
            <v>43748</v>
          </cell>
          <cell r="D2121" t="str">
            <v>KHF-00-104265-RA-8241-51247-0000</v>
          </cell>
          <cell r="E2121" t="str">
            <v>MATERIAL APPROVAL SHEET FOR BENCHMARK NON-FERROUS IDENTIFICATION TABLET</v>
          </cell>
          <cell r="F2121">
            <v>1</v>
          </cell>
          <cell r="G2121" t="str">
            <v>IFA</v>
          </cell>
        </row>
        <row r="2122">
          <cell r="A2122" t="str">
            <v>KHF-00-104265-RA-8241-51248-0000-1</v>
          </cell>
          <cell r="B2122" t="str">
            <v>AIP-PDO-P1701009-T-1440</v>
          </cell>
          <cell r="C2122">
            <v>43748</v>
          </cell>
          <cell r="D2122" t="str">
            <v>KHF-00-104265-RA-8241-51248-0000</v>
          </cell>
          <cell r="E2122" t="str">
            <v>MATERIAL APPROVAL SHEET FOR LUMINOUS PAINT</v>
          </cell>
          <cell r="F2122">
            <v>1</v>
          </cell>
          <cell r="G2122" t="str">
            <v>IFA</v>
          </cell>
        </row>
        <row r="2123">
          <cell r="A2123" t="str">
            <v>KHF-00-104265-AA-6944-10101-0000-1</v>
          </cell>
          <cell r="B2123" t="str">
            <v>AIP-PDO-P1701009-T-1441</v>
          </cell>
          <cell r="C2123">
            <v>43751</v>
          </cell>
          <cell r="D2123" t="str">
            <v>KHF-00-104265-AA-6944-10101-0000</v>
          </cell>
          <cell r="E2123" t="str">
            <v>WEEKLY PROGRESS REPORT NO. 101</v>
          </cell>
          <cell r="F2123">
            <v>1</v>
          </cell>
          <cell r="G2123" t="str">
            <v>IFR</v>
          </cell>
        </row>
        <row r="2124">
          <cell r="A2124" t="str">
            <v>KHF-00-104265-MP-6180-00137-0000-2</v>
          </cell>
          <cell r="B2124" t="str">
            <v>AIP-PDO-P1701009-T-1442</v>
          </cell>
          <cell r="C2124">
            <v>43752</v>
          </cell>
          <cell r="D2124" t="str">
            <v>KHF-00-104265-MP-6180-00137-0000</v>
          </cell>
          <cell r="E2124" t="str">
            <v>Method Statement for Field Thread Fabrication of GRE Pipes &amp; Fittings</v>
          </cell>
          <cell r="F2124">
            <v>2</v>
          </cell>
          <cell r="G2124" t="str">
            <v>IFA</v>
          </cell>
        </row>
        <row r="2125">
          <cell r="A2125" t="str">
            <v>KHF-00-104265-QA-6050-10217-0000-1</v>
          </cell>
          <cell r="B2125" t="str">
            <v>AIP-PDO-P1701009-T-1443</v>
          </cell>
          <cell r="C2125">
            <v>43752</v>
          </cell>
          <cell r="D2125" t="str">
            <v>KHF-00-104265-QA-6050-10217-0000</v>
          </cell>
          <cell r="E2125" t="str">
            <v>FLAWLESS PROJECT DELIVERY Q ROUND REPORT (Q ROUND # AIP-Q-134)</v>
          </cell>
          <cell r="F2125">
            <v>1</v>
          </cell>
          <cell r="G2125" t="str">
            <v>IFR</v>
          </cell>
        </row>
        <row r="2126">
          <cell r="A2126" t="str">
            <v>KHF-00-104265-QA-6050-10218-0000-1</v>
          </cell>
          <cell r="B2126" t="str">
            <v>AIP-PDO-P1701009-T-1443</v>
          </cell>
          <cell r="C2126">
            <v>43752</v>
          </cell>
          <cell r="D2126" t="str">
            <v>KHF-00-104265-QA-6050-10218-0000</v>
          </cell>
          <cell r="E2126" t="str">
            <v>FLAWLESS PROJECT DELIVERY Q ROUND REPORT (Q ROUND # AIP-Q-135)</v>
          </cell>
          <cell r="F2126">
            <v>1</v>
          </cell>
          <cell r="G2126" t="str">
            <v>IFR</v>
          </cell>
        </row>
        <row r="2127">
          <cell r="A2127" t="str">
            <v>KHF-00-104265-QA-6050-10219-0000-1</v>
          </cell>
          <cell r="B2127" t="str">
            <v>AIP-PDO-P1701009-T-1443</v>
          </cell>
          <cell r="C2127">
            <v>43752</v>
          </cell>
          <cell r="D2127" t="str">
            <v>KHF-00-104265-QA-6050-10219-0000</v>
          </cell>
          <cell r="E2127" t="str">
            <v>FLAWLESS PROJECT DELIVERY Q ROUND REPORT (Q ROUND # AIP-Q-136)</v>
          </cell>
          <cell r="F2127">
            <v>1</v>
          </cell>
          <cell r="G2127" t="str">
            <v>IFR</v>
          </cell>
        </row>
        <row r="2128">
          <cell r="A2128" t="str">
            <v>KHF-00-104265-QA-6050-10220-0000-1</v>
          </cell>
          <cell r="B2128" t="str">
            <v>AIP-PDO-P1701009-T-1443</v>
          </cell>
          <cell r="C2128">
            <v>43752</v>
          </cell>
          <cell r="D2128" t="str">
            <v>KHF-00-104265-QA-6050-10220-0000</v>
          </cell>
          <cell r="E2128" t="str">
            <v>FLAWLESS PROJECT DELIVERY Q ROUND REPORT (Q ROUND # AIP-Q-137)</v>
          </cell>
          <cell r="F2128">
            <v>1</v>
          </cell>
          <cell r="G2128" t="str">
            <v>IFR</v>
          </cell>
        </row>
        <row r="2129">
          <cell r="A2129" t="str">
            <v>KHF-00-104265-RA-8241-51250-0000-1</v>
          </cell>
          <cell r="B2129" t="str">
            <v>AIP-PDO-P1701009-T-1444</v>
          </cell>
          <cell r="C2129">
            <v>43754</v>
          </cell>
          <cell r="D2129" t="str">
            <v>KHF-00-104265-RA-8241-51250-0000</v>
          </cell>
          <cell r="E2129" t="str">
            <v>MATERIAL APPROVAL SHEET FOR FREE FLOWING MICRO CONCRETE</v>
          </cell>
          <cell r="F2129">
            <v>1</v>
          </cell>
          <cell r="G2129" t="str">
            <v>IFA</v>
          </cell>
        </row>
        <row r="2130">
          <cell r="A2130" t="str">
            <v>KHF-00-104265-AA-3341-00164-0000-2</v>
          </cell>
          <cell r="B2130" t="str">
            <v>AIP-PDO-P1701009-T-1445</v>
          </cell>
          <cell r="C2130">
            <v>43754</v>
          </cell>
          <cell r="D2130" t="str">
            <v>KHF-00-104265-AA-3341-00164-0000</v>
          </cell>
          <cell r="E2130" t="str">
            <v>CV OF MR. VASIM ALIJI VAHORA - HYDRO TEST ENGINEER</v>
          </cell>
          <cell r="F2130">
            <v>2</v>
          </cell>
          <cell r="G2130" t="str">
            <v>IFA</v>
          </cell>
        </row>
        <row r="2131">
          <cell r="A2131" t="str">
            <v>KHF-00-104265-AA-3347-20021-0000-1</v>
          </cell>
          <cell r="B2131" t="str">
            <v>AIP-PDO-P1701009-T-1446</v>
          </cell>
          <cell r="C2131">
            <v>43755</v>
          </cell>
          <cell r="D2131" t="str">
            <v>KHF-00-104265-AA-3347-20021-0000</v>
          </cell>
          <cell r="E2131" t="str">
            <v>Minutes of Monthly Review Meeting  No.21</v>
          </cell>
          <cell r="F2131">
            <v>1</v>
          </cell>
          <cell r="G2131" t="str">
            <v>IFI</v>
          </cell>
        </row>
        <row r="2132">
          <cell r="A2132" t="str">
            <v>KHF-00-104265-HX-5880-10032-0000-2</v>
          </cell>
          <cell r="B2132" t="str">
            <v>AIP-PDO-P1701009-T-1447</v>
          </cell>
          <cell r="C2132">
            <v>43755</v>
          </cell>
          <cell r="D2132" t="str">
            <v>KHF-00-104265-HX-5880-10032-0000</v>
          </cell>
          <cell r="E2132" t="str">
            <v>PROJECT AND HSE INDUCTION FOR YIBAL KHUFF PROJECT</v>
          </cell>
          <cell r="F2132">
            <v>2</v>
          </cell>
          <cell r="G2132" t="str">
            <v>IFA</v>
          </cell>
        </row>
        <row r="2133">
          <cell r="A2133" t="str">
            <v>rejected by PDO</v>
          </cell>
          <cell r="B2133" t="str">
            <v>AIP-PDO-P1701009-T-1448</v>
          </cell>
          <cell r="C2133">
            <v>43758</v>
          </cell>
          <cell r="D2133" t="str">
            <v>KHF-00-104265-HX-6180-10012-0000</v>
          </cell>
          <cell r="E2133" t="str">
            <v>Permit to Work Procedure (Greenfield)</v>
          </cell>
          <cell r="F2133">
            <v>8</v>
          </cell>
          <cell r="G2133" t="str">
            <v>IFA</v>
          </cell>
        </row>
        <row r="2134">
          <cell r="A2134" t="str">
            <v>KHF-00-104265-BA-6070-42046-0000-1</v>
          </cell>
          <cell r="B2134" t="str">
            <v>AIP-PDO-P1701009-T-1449</v>
          </cell>
          <cell r="C2134">
            <v>43758</v>
          </cell>
          <cell r="D2134" t="str">
            <v>KHF-00-104265-BA-6070-42046-0000</v>
          </cell>
          <cell r="E2134" t="str">
            <v>Method Statement for GTG Cooling Water system flushing</v>
          </cell>
          <cell r="F2134">
            <v>1</v>
          </cell>
          <cell r="G2134" t="str">
            <v>IFR</v>
          </cell>
        </row>
        <row r="2135">
          <cell r="A2135" t="str">
            <v>KHF-00-104265-HX-6180-10012-0000-8</v>
          </cell>
          <cell r="B2135" t="str">
            <v>AIP-PDO-P1701009-T-1450</v>
          </cell>
          <cell r="C2135">
            <v>43758</v>
          </cell>
          <cell r="D2135" t="str">
            <v>KHF-00-104265-HX-6180-10012-0000</v>
          </cell>
          <cell r="E2135" t="str">
            <v>Permit to Work Procedure (Greenfield)</v>
          </cell>
          <cell r="F2135">
            <v>8</v>
          </cell>
          <cell r="G2135" t="str">
            <v>IFA</v>
          </cell>
        </row>
        <row r="2136">
          <cell r="A2136" t="str">
            <v>KHF-00-104265-HX-5798-10004-0000-5</v>
          </cell>
          <cell r="B2136" t="str">
            <v>AIP-PDO-P1701009-T-1451</v>
          </cell>
          <cell r="C2136">
            <v>43759</v>
          </cell>
          <cell r="D2136" t="str">
            <v>KHF-00-104265-HX-5798-10004-0000</v>
          </cell>
          <cell r="E2136" t="str">
            <v>Contract HSE Plan</v>
          </cell>
          <cell r="F2136">
            <v>5</v>
          </cell>
          <cell r="G2136" t="str">
            <v>IFA</v>
          </cell>
        </row>
        <row r="2137">
          <cell r="A2137" t="str">
            <v>KHF-00-104265-AA-3341-60176-0000-2</v>
          </cell>
          <cell r="B2137" t="str">
            <v>AIP-PDO-P1701009-T-1452</v>
          </cell>
          <cell r="C2137">
            <v>43759</v>
          </cell>
          <cell r="D2137" t="str">
            <v>KHF-00-104265-AA-3341-60176-0000</v>
          </cell>
          <cell r="E2137" t="str">
            <v>CV of Mr. Abdullah Al Hinai - QC Inspector - Civil</v>
          </cell>
          <cell r="F2137">
            <v>2</v>
          </cell>
          <cell r="G2137" t="str">
            <v>IFA</v>
          </cell>
        </row>
        <row r="2138">
          <cell r="A2138" t="str">
            <v>rejected by PDO</v>
          </cell>
          <cell r="B2138" t="str">
            <v>AIP-PDO-P1701009-T-1453</v>
          </cell>
          <cell r="C2138">
            <v>43759</v>
          </cell>
          <cell r="D2138" t="str">
            <v>KHF-00-104265-BA-6065-01701-0000</v>
          </cell>
          <cell r="E2138" t="str">
            <v>WPS/Weld map</v>
          </cell>
          <cell r="F2138">
            <v>3</v>
          </cell>
          <cell r="G2138" t="str">
            <v>IFA</v>
          </cell>
        </row>
        <row r="2139">
          <cell r="A2139" t="str">
            <v>rejected by PDO</v>
          </cell>
          <cell r="B2139" t="str">
            <v>AIP-PDO-P1701009-T-1453</v>
          </cell>
          <cell r="C2139">
            <v>43759</v>
          </cell>
          <cell r="D2139" t="str">
            <v>KHF-00-104265-BA-6065-01705-0000</v>
          </cell>
          <cell r="E2139" t="str">
            <v>WELDING PROCEDURE SPECIFICATIONS (WPS)</v>
          </cell>
          <cell r="F2139">
            <v>3</v>
          </cell>
          <cell r="G2139" t="str">
            <v>IFA</v>
          </cell>
        </row>
        <row r="2140">
          <cell r="A2140" t="str">
            <v>rejected by PDO</v>
          </cell>
          <cell r="B2140" t="str">
            <v>AIP-PDO-P1701009-T-1453</v>
          </cell>
          <cell r="C2140">
            <v>43759</v>
          </cell>
          <cell r="D2140" t="str">
            <v>KHF-00-104265-BA-6065-01707-0000</v>
          </cell>
          <cell r="E2140" t="str">
            <v>WELDING PROCEDURE SPECIFICATIONS (WPS)</v>
          </cell>
          <cell r="F2140">
            <v>3</v>
          </cell>
          <cell r="G2140" t="str">
            <v>IFA</v>
          </cell>
        </row>
        <row r="2141">
          <cell r="A2141" t="str">
            <v>KHF-00-104265-BA-6065-01701-0000-3</v>
          </cell>
          <cell r="B2141" t="str">
            <v>AIP-PDO-P1701009-T-1454</v>
          </cell>
          <cell r="C2141">
            <v>43759</v>
          </cell>
          <cell r="D2141" t="str">
            <v>KHF-00-104265-BA-6065-01701-0000</v>
          </cell>
          <cell r="E2141" t="str">
            <v>WPS/Weld map</v>
          </cell>
          <cell r="F2141">
            <v>3</v>
          </cell>
          <cell r="G2141" t="str">
            <v>IFA</v>
          </cell>
        </row>
        <row r="2142">
          <cell r="A2142" t="str">
            <v>KHF-00-104265-BA-6065-01705-0000-3</v>
          </cell>
          <cell r="B2142" t="str">
            <v>AIP-PDO-P1701009-T-1454</v>
          </cell>
          <cell r="C2142">
            <v>43759</v>
          </cell>
          <cell r="D2142" t="str">
            <v>KHF-00-104265-BA-6065-01705-0000</v>
          </cell>
          <cell r="E2142" t="str">
            <v>WELDING PROCEDURE SPECIFICATIONS (WPS)</v>
          </cell>
          <cell r="F2142">
            <v>3</v>
          </cell>
          <cell r="G2142" t="str">
            <v>IFA</v>
          </cell>
        </row>
        <row r="2143">
          <cell r="A2143" t="str">
            <v>KHF-00-104265-BA-6065-01707-0000-3</v>
          </cell>
          <cell r="B2143" t="str">
            <v>AIP-PDO-P1701009-T-1454</v>
          </cell>
          <cell r="C2143">
            <v>43759</v>
          </cell>
          <cell r="D2143" t="str">
            <v>KHF-00-104265-BA-6065-01707-0000</v>
          </cell>
          <cell r="E2143" t="str">
            <v>WELDING PROCEDURE SPECIFICATIONS (WPS)</v>
          </cell>
          <cell r="F2143">
            <v>3</v>
          </cell>
          <cell r="G2143" t="str">
            <v>IFA</v>
          </cell>
        </row>
        <row r="2144">
          <cell r="A2144" t="str">
            <v>KHF-00-104265-AA-6944-10102-0000-1</v>
          </cell>
          <cell r="B2144" t="str">
            <v>AIP-PDO-P1701009-T-1455</v>
          </cell>
          <cell r="C2144">
            <v>43761</v>
          </cell>
          <cell r="D2144" t="str">
            <v>KHF-00-104265-AA-6944-10102-0000</v>
          </cell>
          <cell r="E2144" t="str">
            <v>WEEKLY PROGRESS REPORT NO. 102</v>
          </cell>
          <cell r="F2144">
            <v>1</v>
          </cell>
          <cell r="G2144" t="str">
            <v>IFR</v>
          </cell>
        </row>
        <row r="2145">
          <cell r="A2145" t="str">
            <v>KHF-00-104265-QA-6050-10221-0000-1</v>
          </cell>
          <cell r="B2145" t="str">
            <v>AIP-PDO-P1701009-T-1456</v>
          </cell>
          <cell r="C2145">
            <v>43761</v>
          </cell>
          <cell r="D2145" t="str">
            <v>KHF-00-104265-QA-6050-10221-0000</v>
          </cell>
          <cell r="E2145" t="str">
            <v>FLAWLESS PROJECT DELIVERY Q ROUND REPORT (Q ROUND # AIP-Q-138)</v>
          </cell>
          <cell r="F2145">
            <v>1</v>
          </cell>
          <cell r="G2145" t="str">
            <v>IFR</v>
          </cell>
        </row>
        <row r="2146">
          <cell r="A2146" t="str">
            <v>KHF-00-104265-QA-6050-10222-0000-1</v>
          </cell>
          <cell r="B2146" t="str">
            <v>AIP-PDO-P1701009-T-1456</v>
          </cell>
          <cell r="C2146">
            <v>43761</v>
          </cell>
          <cell r="D2146" t="str">
            <v>KHF-00-104265-QA-6050-10222-0000</v>
          </cell>
          <cell r="E2146" t="str">
            <v>FLAWLESS PROJECT DELIVERY Q ROUND REPORT (Q ROUND # AIP-Q-139)</v>
          </cell>
          <cell r="F2146">
            <v>1</v>
          </cell>
          <cell r="G2146" t="str">
            <v>IFR</v>
          </cell>
        </row>
        <row r="2147">
          <cell r="A2147" t="str">
            <v>KHF-00-104265-QA-6050-10223-0000-1</v>
          </cell>
          <cell r="B2147" t="str">
            <v>AIP-PDO-P1701009-T-1456</v>
          </cell>
          <cell r="C2147">
            <v>43761</v>
          </cell>
          <cell r="D2147" t="str">
            <v>KHF-00-104265-QA-6050-10223-0000</v>
          </cell>
          <cell r="E2147" t="str">
            <v>FLAWLESS PROJECT DELIVERY Q ROUND REPORT (Q ROUND # AIP-Q-140)</v>
          </cell>
          <cell r="F2147">
            <v>1</v>
          </cell>
          <cell r="G2147" t="str">
            <v>IFR</v>
          </cell>
        </row>
        <row r="2148">
          <cell r="A2148" t="str">
            <v>KHF-00-104265-QA-6050-10224-0000-1</v>
          </cell>
          <cell r="B2148" t="str">
            <v>AIP-PDO-P1701009-T-1456</v>
          </cell>
          <cell r="C2148">
            <v>43761</v>
          </cell>
          <cell r="D2148" t="str">
            <v>KHF-00-104265-QA-6050-10224-0000</v>
          </cell>
          <cell r="E2148" t="str">
            <v>FLAWLESS PROJECT DELIVERY Q ROUND REPORT (Q ROUND # AIP-Q-141)</v>
          </cell>
          <cell r="F2148">
            <v>1</v>
          </cell>
          <cell r="G2148" t="str">
            <v>IFR</v>
          </cell>
        </row>
        <row r="2149">
          <cell r="A2149" t="str">
            <v>KHF-00-104265-CX-6070-10051-0000-2</v>
          </cell>
          <cell r="B2149" t="str">
            <v>AIP-PDO-P1701009-T-1457</v>
          </cell>
          <cell r="C2149">
            <v>43761</v>
          </cell>
          <cell r="D2149" t="str">
            <v>KHF-00-104265-CX-6070-10051-0000</v>
          </cell>
          <cell r="E2149" t="str">
            <v>Test Procedure for Measuring Concrete Temperature with Thermocouple</v>
          </cell>
          <cell r="F2149">
            <v>2</v>
          </cell>
          <cell r="G2149" t="str">
            <v>IFA</v>
          </cell>
        </row>
        <row r="2150">
          <cell r="A2150" t="str">
            <v>KHF-00-104265-BA-6070-43011-0000-3</v>
          </cell>
          <cell r="B2150" t="str">
            <v>AIP-PDO-P1701009-T-1458</v>
          </cell>
          <cell r="C2150">
            <v>43761</v>
          </cell>
          <cell r="D2150" t="str">
            <v>KHF-00-104265-BA-6070-43011-0000</v>
          </cell>
          <cell r="E2150" t="str">
            <v>METHOD STATEMENT FOR MODIFICATION WORKS IN G94100-GIS TAMCO SWITCHBOARD TYPE GV3 AT GGP-IV SUBSTATION</v>
          </cell>
          <cell r="F2150">
            <v>3</v>
          </cell>
          <cell r="G2150" t="str">
            <v>IFA</v>
          </cell>
        </row>
        <row r="2151">
          <cell r="A2151" t="str">
            <v>KHF-00-104265-BA-6070-00113-0000-3</v>
          </cell>
          <cell r="B2151" t="str">
            <v>AIP-PDO-P1701009-T-1459</v>
          </cell>
          <cell r="C2151">
            <v>43762</v>
          </cell>
          <cell r="D2151" t="str">
            <v>KHF-00-104265-BA-6070-00113-0000</v>
          </cell>
          <cell r="E2151" t="str">
            <v>Method Statement for Wadi Crossing Carbon Steel Pipeline</v>
          </cell>
          <cell r="F2151">
            <v>3</v>
          </cell>
          <cell r="G2151" t="str">
            <v>IFA</v>
          </cell>
        </row>
        <row r="2152">
          <cell r="A2152" t="str">
            <v>KHF-00-104265-MP-6180-00138-0000-3</v>
          </cell>
          <cell r="B2152" t="str">
            <v>AIP-PDO-P1701009-T-1459</v>
          </cell>
          <cell r="C2152">
            <v>43762</v>
          </cell>
          <cell r="D2152" t="str">
            <v>KHF-00-104265-MP-6180-00138-0000</v>
          </cell>
          <cell r="E2152" t="str">
            <v>Method Statement For Repair Work (FGS)</v>
          </cell>
          <cell r="F2152">
            <v>3</v>
          </cell>
          <cell r="G2152" t="str">
            <v>IFA</v>
          </cell>
        </row>
        <row r="2153">
          <cell r="A2153" t="str">
            <v>KHF-00-104265-BA-6070-00146-0000-2</v>
          </cell>
          <cell r="B2153" t="str">
            <v>AIP-PDO-P1701009-T-1459</v>
          </cell>
          <cell r="C2153">
            <v>43762</v>
          </cell>
          <cell r="D2153" t="str">
            <v>KHF-00-104265-BA-6070-00146-0000</v>
          </cell>
          <cell r="E2153" t="str">
            <v>Method Statement for Fabrication, Painting and Installation of Markers and Barriers</v>
          </cell>
          <cell r="F2153">
            <v>2</v>
          </cell>
          <cell r="G2153" t="str">
            <v>IFA</v>
          </cell>
        </row>
        <row r="2154">
          <cell r="A2154" t="str">
            <v>KHF-00-104265-BA-6070-00148-0000-2</v>
          </cell>
          <cell r="B2154" t="str">
            <v>AIP-PDO-P1701009-T-1459</v>
          </cell>
          <cell r="C2154">
            <v>43762</v>
          </cell>
          <cell r="D2154" t="str">
            <v>KHF-00-104265-BA-6070-00148-0000</v>
          </cell>
          <cell r="E2154" t="str">
            <v>Method Statement for Determination of Water (Moisture) Content of Soil by the Calcium Carbide Gas Pressure Teater Method</v>
          </cell>
          <cell r="F2154">
            <v>2</v>
          </cell>
          <cell r="G2154" t="str">
            <v>IFA</v>
          </cell>
        </row>
        <row r="2155">
          <cell r="A2155" t="str">
            <v>KHF-00-104265-BA-6070-00149-0000-2</v>
          </cell>
          <cell r="B2155" t="str">
            <v>AIP-PDO-P1701009-T-1459</v>
          </cell>
          <cell r="C2155">
            <v>43762</v>
          </cell>
          <cell r="D2155" t="str">
            <v>KHF-00-104265-BA-6070-00149-0000</v>
          </cell>
          <cell r="E2155" t="str">
            <v>Method Statement for Determination of In-Situ Density of Soil</v>
          </cell>
          <cell r="F2155">
            <v>2</v>
          </cell>
          <cell r="G2155" t="str">
            <v>IFA</v>
          </cell>
        </row>
        <row r="2156">
          <cell r="A2156" t="str">
            <v>KHF-00-104265-BA-6070-00150-0000-2</v>
          </cell>
          <cell r="B2156" t="str">
            <v>AIP-PDO-P1701009-T-1459</v>
          </cell>
          <cell r="C2156">
            <v>43762</v>
          </cell>
          <cell r="D2156" t="str">
            <v>KHF-00-104265-BA-6070-00150-0000</v>
          </cell>
          <cell r="E2156" t="str">
            <v>Method Statement for Concrete works for GRE Pipeline (Split Casing)</v>
          </cell>
          <cell r="F2156">
            <v>2</v>
          </cell>
          <cell r="G2156" t="str">
            <v>IFA</v>
          </cell>
        </row>
        <row r="2157">
          <cell r="A2157" t="str">
            <v>KHF-00-104265-MP-6180-00141-0000-3</v>
          </cell>
          <cell r="B2157" t="str">
            <v>AIP-PDO-P1701009-T-1459</v>
          </cell>
          <cell r="C2157">
            <v>43762</v>
          </cell>
          <cell r="D2157" t="str">
            <v>KHF-00-104265-MP-6180-00141-0000</v>
          </cell>
          <cell r="E2157" t="str">
            <v>Method Statement for Road &amp; Wadi Crossing of GRE Pipeline (Threaded)</v>
          </cell>
          <cell r="F2157">
            <v>3</v>
          </cell>
          <cell r="G2157" t="str">
            <v>IFA</v>
          </cell>
        </row>
        <row r="2158">
          <cell r="A2158" t="str">
            <v>KHF-00-104265-QA-0880-10091-0000-1</v>
          </cell>
          <cell r="B2158" t="str">
            <v>AIP-PDO-P1701009-T-1460</v>
          </cell>
          <cell r="C2158">
            <v>43765</v>
          </cell>
          <cell r="D2158" t="str">
            <v>KHF-00-104265-QA-0880-10091-0000</v>
          </cell>
          <cell r="E2158" t="str">
            <v>INTERNAL AUDIT REPORT - DOCUMENT CONTROL</v>
          </cell>
          <cell r="F2158">
            <v>1</v>
          </cell>
          <cell r="G2158" t="str">
            <v>IFI</v>
          </cell>
        </row>
        <row r="2159">
          <cell r="A2159" t="str">
            <v>KHF-00-104265-AA-3341-60181-0000-1</v>
          </cell>
          <cell r="B2159" t="str">
            <v>AIP-PDO-P1701009-T-1461</v>
          </cell>
          <cell r="C2159">
            <v>43765</v>
          </cell>
          <cell r="D2159" t="str">
            <v>KHF-00-104265-AA-3341-60181-0000</v>
          </cell>
          <cell r="E2159" t="str">
            <v>CV OF MR. S SAMPATH - HYDROTEST ENGINEER (PIPELINE)</v>
          </cell>
          <cell r="F2159">
            <v>1</v>
          </cell>
          <cell r="G2159" t="str">
            <v>IFA</v>
          </cell>
        </row>
        <row r="2160">
          <cell r="A2160" t="str">
            <v>KHF-00-104265-BA-6070-42030-0000-2</v>
          </cell>
          <cell r="B2160" t="str">
            <v>AIP-PDO-P1701009-T-1462</v>
          </cell>
          <cell r="C2160">
            <v>43765</v>
          </cell>
          <cell r="D2160" t="str">
            <v>KHF-00-104265-BA-6070-42030-0000</v>
          </cell>
          <cell r="E2160" t="str">
            <v>METHOD STATEMENT FOR LIFTING AND PLACEMENT OF TRANSFORMERS (G23002-TX, G23003)</v>
          </cell>
          <cell r="F2160">
            <v>2</v>
          </cell>
          <cell r="G2160" t="str">
            <v>IFA</v>
          </cell>
        </row>
        <row r="2161">
          <cell r="A2161" t="str">
            <v>KHF-00-104265-QA-5733-01201-0000-3</v>
          </cell>
          <cell r="B2161" t="str">
            <v>AIP-PDO-P1701009-T-1463</v>
          </cell>
          <cell r="C2161">
            <v>43765</v>
          </cell>
          <cell r="D2161" t="str">
            <v>KHF-00-104265-QA-5733-01201-0000</v>
          </cell>
          <cell r="E2161" t="str">
            <v>INSPECTION TEST PLAN FOR PRECAST CONCRETE ELEMENTS</v>
          </cell>
          <cell r="F2161">
            <v>3</v>
          </cell>
          <cell r="G2161" t="str">
            <v>IFA</v>
          </cell>
        </row>
        <row r="2162">
          <cell r="A2162" t="str">
            <v>KHF-00-104265-JA-4372-10090-0000-1</v>
          </cell>
          <cell r="B2162" t="str">
            <v>AIP-PDO-P1701009-T-1464</v>
          </cell>
          <cell r="C2162">
            <v>43765</v>
          </cell>
          <cell r="D2162" t="str">
            <v>KHF-00-104265-JA-4372-10090-0000</v>
          </cell>
          <cell r="E2162" t="str">
            <v>Final Documentation Handover Index - Off Plot YKP</v>
          </cell>
          <cell r="F2162">
            <v>1</v>
          </cell>
          <cell r="G2162" t="str">
            <v>IFR</v>
          </cell>
        </row>
        <row r="2163">
          <cell r="A2163" t="str">
            <v>KHF-00-104265-RA-8241-51027-0000-3</v>
          </cell>
          <cell r="B2163" t="str">
            <v>AIP-PDO-P1701009-T-1465</v>
          </cell>
          <cell r="C2163">
            <v>43766</v>
          </cell>
          <cell r="D2163" t="str">
            <v>KHF-00-104265-RA-8241-51027-0000</v>
          </cell>
          <cell r="E2163" t="str">
            <v>MATERIAL APPROVAL SHEET FOR WATER PROOF MEMBRANE / TANKING SYSTEM</v>
          </cell>
          <cell r="F2163">
            <v>3</v>
          </cell>
          <cell r="G2163" t="str">
            <v>IFA</v>
          </cell>
        </row>
        <row r="2164">
          <cell r="A2164" t="str">
            <v>KHF-00-104265-RA-8241-51039-0000-2</v>
          </cell>
          <cell r="B2164" t="str">
            <v>AIP-PDO-P1701009-T-1465</v>
          </cell>
          <cell r="C2164">
            <v>43766</v>
          </cell>
          <cell r="D2164" t="str">
            <v>KHF-00-104265-RA-8241-51039-0000</v>
          </cell>
          <cell r="E2164" t="str">
            <v>MATERIAL APPROVAL SHEET FOR 200 MM &amp; 100 MM THICK SOLID BLOCKS (OPC) - 10.50 N/MM2</v>
          </cell>
          <cell r="F2164">
            <v>2</v>
          </cell>
          <cell r="G2164" t="str">
            <v>IFA</v>
          </cell>
        </row>
        <row r="2165">
          <cell r="A2165" t="str">
            <v>KHF-00-104265-AA-6944-10103-0000-1</v>
          </cell>
          <cell r="B2165" t="str">
            <v>AIP-PDO-P1701009-T-1466</v>
          </cell>
          <cell r="C2165">
            <v>43766</v>
          </cell>
          <cell r="D2165" t="str">
            <v>KHF-00-104265-AA-6944-10103-0000</v>
          </cell>
          <cell r="E2165" t="str">
            <v>WEEKLY PROGRESS REPORT NO. 103</v>
          </cell>
          <cell r="F2165">
            <v>1</v>
          </cell>
          <cell r="G2165" t="str">
            <v>IFR</v>
          </cell>
        </row>
        <row r="2166">
          <cell r="A2166" t="str">
            <v>KHF-00-104265-QA-5733-23013-0000-1</v>
          </cell>
          <cell r="B2166" t="str">
            <v>AIP-PDO-P1701009-T-1467</v>
          </cell>
          <cell r="C2166">
            <v>43766</v>
          </cell>
          <cell r="D2166" t="str">
            <v>KHF-00-104265-QA-5733-23013-0000</v>
          </cell>
          <cell r="E2166" t="str">
            <v>Inspection &amp; Test Plan for Electrical Heat Tracing System</v>
          </cell>
          <cell r="F2166">
            <v>1</v>
          </cell>
          <cell r="G2166" t="str">
            <v>IFR</v>
          </cell>
        </row>
        <row r="2167">
          <cell r="A2167" t="str">
            <v>KHF-00-104265-AA-3347-30061-0000-1</v>
          </cell>
          <cell r="B2167" t="str">
            <v>AIP-PDO-P1701009-T-1468</v>
          </cell>
          <cell r="C2167">
            <v>43766</v>
          </cell>
          <cell r="D2167" t="str">
            <v>KHF-00-104265-AA-3347-30061-0000</v>
          </cell>
          <cell r="E2167" t="str">
            <v>MINUTES OF WEEKLY REVIEW MEETING (SITE) NO. 61</v>
          </cell>
          <cell r="F2167">
            <v>1</v>
          </cell>
          <cell r="G2167" t="str">
            <v>IFI</v>
          </cell>
        </row>
        <row r="2168">
          <cell r="A2168" t="str">
            <v>KHF-00-104265-QA-6050-10225-0000-1</v>
          </cell>
          <cell r="B2168" t="str">
            <v>AIP-PDO-P1701009-T-1469</v>
          </cell>
          <cell r="C2168">
            <v>43766</v>
          </cell>
          <cell r="D2168" t="str">
            <v>KHF-00-104265-QA-6050-10225-0000</v>
          </cell>
          <cell r="E2168" t="str">
            <v>FLAWLESS PROJECT DELIVERY Q ROUND REPORT (Q ROUND # AIP-Q-142)</v>
          </cell>
          <cell r="F2168">
            <v>1</v>
          </cell>
          <cell r="G2168" t="str">
            <v>IFR</v>
          </cell>
        </row>
        <row r="2169">
          <cell r="A2169" t="str">
            <v>KHF-00-104265-QA-6050-10226-0000-1</v>
          </cell>
          <cell r="B2169" t="str">
            <v>AIP-PDO-P1701009-T-1469</v>
          </cell>
          <cell r="C2169">
            <v>43766</v>
          </cell>
          <cell r="D2169" t="str">
            <v>KHF-00-104265-QA-6050-10226-0000</v>
          </cell>
          <cell r="E2169" t="str">
            <v>FLAWLESS PROJECT DELIVERY Q ROUND REPORT (Q ROUND # AIP-Q-143)</v>
          </cell>
          <cell r="F2169">
            <v>1</v>
          </cell>
          <cell r="G2169" t="str">
            <v>IFR</v>
          </cell>
        </row>
        <row r="2170">
          <cell r="A2170" t="str">
            <v>KHF-00-104265-QA-6050-10227-0000-1</v>
          </cell>
          <cell r="B2170" t="str">
            <v>AIP-PDO-P1701009-T-1469</v>
          </cell>
          <cell r="C2170">
            <v>43766</v>
          </cell>
          <cell r="D2170" t="str">
            <v>KHF-00-104265-QA-6050-10227-0000</v>
          </cell>
          <cell r="E2170" t="str">
            <v>FLAWLESS PROJECT DELIVERY Q ROUND REPORT (Q ROUND # AIP-Q-144)</v>
          </cell>
          <cell r="F2170">
            <v>1</v>
          </cell>
          <cell r="G2170" t="str">
            <v>IFR</v>
          </cell>
        </row>
        <row r="2171">
          <cell r="A2171" t="str">
            <v>KHF-00-104265-QA-6050-10228-0000-1</v>
          </cell>
          <cell r="B2171" t="str">
            <v>AIP-PDO-P1701009-T-1469</v>
          </cell>
          <cell r="C2171">
            <v>43766</v>
          </cell>
          <cell r="D2171" t="str">
            <v>KHF-00-104265-QA-6050-10228-0000</v>
          </cell>
          <cell r="E2171" t="str">
            <v>FLAWLESS PROJECT DELIVERY Q ROUND REPORT (Q ROUND # AIP-Q-145)</v>
          </cell>
          <cell r="F2171">
            <v>1</v>
          </cell>
          <cell r="G2171" t="str">
            <v>IFR</v>
          </cell>
        </row>
        <row r="2172">
          <cell r="A2172" t="str">
            <v>KHF-00-104265-RA-8241-51046-0000-2</v>
          </cell>
          <cell r="B2172" t="str">
            <v>AIP-PDO-P1701009-T-1470</v>
          </cell>
          <cell r="C2172">
            <v>43767</v>
          </cell>
          <cell r="D2172" t="str">
            <v>KHF-00-104265-RA-8241-51046-0000</v>
          </cell>
          <cell r="E2172" t="str">
            <v>MATERIAL APPROVAL SHEET - UPVC SLEEVES</v>
          </cell>
          <cell r="F2172">
            <v>2</v>
          </cell>
          <cell r="G2172" t="str">
            <v>IFA</v>
          </cell>
        </row>
        <row r="2173">
          <cell r="A2173" t="str">
            <v>KHF-00-104265-RA-8241-51053-0000-2</v>
          </cell>
          <cell r="B2173" t="str">
            <v>AIP-PDO-P1701009-T-1470</v>
          </cell>
          <cell r="C2173">
            <v>43767</v>
          </cell>
          <cell r="D2173" t="str">
            <v>KHF-00-104265-RA-8241-51053-0000</v>
          </cell>
          <cell r="E2173" t="str">
            <v>MATERIAL APPROVAL SHEET FOR UPVC/HPVC/GI/PPR &amp; ELECTRICAL CONDUITS/ FITTINGS</v>
          </cell>
          <cell r="F2173">
            <v>2</v>
          </cell>
          <cell r="G2173" t="str">
            <v>IFA</v>
          </cell>
        </row>
        <row r="2174">
          <cell r="A2174" t="str">
            <v>KHF-00-104265-RA-8241-51055-0000-2</v>
          </cell>
          <cell r="B2174" t="str">
            <v>AIP-PDO-P1701009-T-1470</v>
          </cell>
          <cell r="C2174">
            <v>43767</v>
          </cell>
          <cell r="D2174" t="str">
            <v>KHF-00-104265-RA-8241-51055-0000</v>
          </cell>
          <cell r="E2174" t="str">
            <v>MATERIAL APPROVAL SHEET FOR WELDED STEEL FABRIC</v>
          </cell>
          <cell r="F2174">
            <v>2</v>
          </cell>
          <cell r="G2174" t="str">
            <v>IFA</v>
          </cell>
        </row>
        <row r="2175">
          <cell r="A2175" t="str">
            <v>KHF-00-104265-QA-0880-10094-0000-1</v>
          </cell>
          <cell r="B2175" t="str">
            <v>AIP-PDO-P1701009-T-1471</v>
          </cell>
          <cell r="C2175">
            <v>43768</v>
          </cell>
          <cell r="D2175" t="str">
            <v>KHF-00-104265-QA-0880-10094-0000</v>
          </cell>
          <cell r="E2175" t="str">
            <v>INTERNAL AUDIT REPORT - CONSTRUCTION PHASE-75% - YKP SITE</v>
          </cell>
          <cell r="F2175">
            <v>1</v>
          </cell>
          <cell r="G2175" t="str">
            <v>IFI</v>
          </cell>
        </row>
        <row r="2176">
          <cell r="A2176" t="str">
            <v>KHF-00-104265-BA-6070-43019-0000-1</v>
          </cell>
          <cell r="B2176" t="str">
            <v>AIP-PDO-P1701009-T-1472</v>
          </cell>
          <cell r="C2176">
            <v>43768</v>
          </cell>
          <cell r="D2176" t="str">
            <v>KHF-00-104265-BA-6070-43019-0000</v>
          </cell>
          <cell r="E2176" t="str">
            <v>METHOD STATEMENT FOR INSTALLATION OF ELECTRICAL HEAT TRACING</v>
          </cell>
          <cell r="F2176">
            <v>1</v>
          </cell>
          <cell r="G2176" t="str">
            <v>IFR</v>
          </cell>
        </row>
        <row r="2177">
          <cell r="A2177" t="str">
            <v>KHF-00-104265-BA-6070-00152-0000-2</v>
          </cell>
          <cell r="B2177" t="str">
            <v>AIP-PDO-P1701009-T-1473</v>
          </cell>
          <cell r="C2177">
            <v>43772</v>
          </cell>
          <cell r="D2177" t="str">
            <v>KHF-00-104265-BA-6070-00152-0000</v>
          </cell>
          <cell r="E2177" t="str">
            <v>Method Statement For Maintenance Road Construction</v>
          </cell>
          <cell r="F2177">
            <v>2</v>
          </cell>
          <cell r="G2177" t="str">
            <v>IFA</v>
          </cell>
        </row>
        <row r="2178">
          <cell r="A2178" t="str">
            <v>KHF-00-104265-BA-6070-45001-0000-1</v>
          </cell>
          <cell r="B2178" t="str">
            <v>AIP-PDO-P1701009-T-1474</v>
          </cell>
          <cell r="C2178">
            <v>43773</v>
          </cell>
          <cell r="D2178" t="str">
            <v>KHF-00-104265-BA-6070-45001-0000</v>
          </cell>
          <cell r="E2178" t="str">
            <v>METHOD STATEMENT FOR TRENCHING, POST PADDING &amp; BACK FILLING - GRE FLOW LINE - XINDA</v>
          </cell>
          <cell r="F2178">
            <v>1</v>
          </cell>
          <cell r="G2178" t="str">
            <v>IFR</v>
          </cell>
        </row>
        <row r="2179">
          <cell r="A2179" t="str">
            <v>KHF-00-104265-BA-6070-45002-0000-1</v>
          </cell>
          <cell r="B2179" t="str">
            <v>AIP-PDO-P1701009-T-1474</v>
          </cell>
          <cell r="C2179">
            <v>43773</v>
          </cell>
          <cell r="D2179" t="str">
            <v>KHF-00-104265-BA-6070-45002-0000</v>
          </cell>
          <cell r="E2179" t="str">
            <v>METHOD STATEMENT OF FLANGE TIGHTENING - GRE FLOW LINE - XINDA</v>
          </cell>
          <cell r="F2179">
            <v>1</v>
          </cell>
          <cell r="G2179" t="str">
            <v>IFR</v>
          </cell>
        </row>
        <row r="2180">
          <cell r="A2180" t="str">
            <v>KHF-00-104265-BA-6070-45003-0000-1</v>
          </cell>
          <cell r="B2180" t="str">
            <v>AIP-PDO-P1701009-T-1474</v>
          </cell>
          <cell r="C2180">
            <v>43773</v>
          </cell>
          <cell r="D2180" t="str">
            <v>KHF-00-104265-BA-6070-45003-0000</v>
          </cell>
          <cell r="E2180" t="str">
            <v>METHOD STATEMENT FOR FIELD THREAD FABRICATION - GRE FLOW LINE- XINDA</v>
          </cell>
          <cell r="F2180">
            <v>1</v>
          </cell>
          <cell r="G2180" t="str">
            <v>IFR</v>
          </cell>
        </row>
        <row r="2181">
          <cell r="A2181" t="str">
            <v>KHF-00-104265-BA-6070-45004-0000-1</v>
          </cell>
          <cell r="B2181" t="str">
            <v>AIP-PDO-P1701009-T-1474</v>
          </cell>
          <cell r="C2181">
            <v>43773</v>
          </cell>
          <cell r="D2181" t="str">
            <v>KHF-00-104265-BA-6070-45004-0000</v>
          </cell>
          <cell r="E2181" t="str">
            <v>METHOD STATEMENT FOR FIELD JOINTING - GRE FLOW LINE- XINDA</v>
          </cell>
          <cell r="F2181">
            <v>1</v>
          </cell>
          <cell r="G2181" t="str">
            <v>IFR</v>
          </cell>
        </row>
        <row r="2182">
          <cell r="A2182" t="str">
            <v>KHF-00-104265-BA-6070-45005-0000-1</v>
          </cell>
          <cell r="B2182" t="str">
            <v>AIP-PDO-P1701009-T-1474</v>
          </cell>
          <cell r="C2182">
            <v>43773</v>
          </cell>
          <cell r="D2182" t="str">
            <v>KHF-00-104265-BA-6070-45005-0000</v>
          </cell>
          <cell r="E2182" t="str">
            <v>METHOD STATEMENT- ROAD &amp; WADI CROSSING - GRE FLOW LINE- XINDA</v>
          </cell>
          <cell r="F2182">
            <v>1</v>
          </cell>
          <cell r="G2182" t="str">
            <v>IFR</v>
          </cell>
        </row>
        <row r="2183">
          <cell r="A2183" t="str">
            <v>KHF-00-104265-BA-6070-45006-0000-1</v>
          </cell>
          <cell r="B2183" t="str">
            <v>AIP-PDO-P1701009-T-1474</v>
          </cell>
          <cell r="C2183">
            <v>43773</v>
          </cell>
          <cell r="D2183" t="str">
            <v>KHF-00-104265-BA-6070-45006-0000</v>
          </cell>
          <cell r="E2183" t="str">
            <v>METHOD STATEMENT FOR FIELD HYDROSTATIC TEST-GRE FLOW LINE- XINDA</v>
          </cell>
          <cell r="F2183">
            <v>1</v>
          </cell>
          <cell r="G2183" t="str">
            <v>IFR</v>
          </cell>
        </row>
        <row r="2184">
          <cell r="A2184" t="str">
            <v>KHF-00-104265-QA-5733-01303-0000-2</v>
          </cell>
          <cell r="B2184" t="str">
            <v>AIP-PDO-P1701009-T-1475</v>
          </cell>
          <cell r="C2184">
            <v>43773</v>
          </cell>
          <cell r="D2184" t="str">
            <v>KHF-00-104265-QA-5733-01303-0000</v>
          </cell>
          <cell r="E2184" t="str">
            <v>ITP for the Surface Preparation &amp; Painting of field welded Joints</v>
          </cell>
          <cell r="F2184">
            <v>2</v>
          </cell>
          <cell r="G2184" t="str">
            <v>IFA</v>
          </cell>
        </row>
        <row r="2185">
          <cell r="A2185" t="str">
            <v>KHF-00-104265-AA-3347-30062-0000-1</v>
          </cell>
          <cell r="B2185" t="str">
            <v>AIP-PDO-P1701009-T-1476</v>
          </cell>
          <cell r="C2185">
            <v>43774</v>
          </cell>
          <cell r="D2185" t="str">
            <v>KHF-00-104265-AA-3347-30062-0000</v>
          </cell>
          <cell r="E2185" t="str">
            <v>MINUTES OF WEEKLY REVIEW MEETING (SITE) NO. 62</v>
          </cell>
          <cell r="F2185">
            <v>1</v>
          </cell>
          <cell r="G2185" t="str">
            <v>IFI</v>
          </cell>
        </row>
        <row r="2186">
          <cell r="A2186" t="str">
            <v>KHF-00-104265-QA-0880-10095-0000-1</v>
          </cell>
          <cell r="B2186" t="str">
            <v>AIP-PDO-P1701009-T-1477</v>
          </cell>
          <cell r="C2186">
            <v>43774</v>
          </cell>
          <cell r="D2186" t="str">
            <v>KHF-00-104265-QA-0880-10095-0000</v>
          </cell>
          <cell r="E2186" t="str">
            <v>EXTERNAL AUDIT NOTIFICATION - AL TASNIM - YKP PRECAST WORKS</v>
          </cell>
          <cell r="F2186">
            <v>1</v>
          </cell>
          <cell r="G2186" t="str">
            <v>IFI</v>
          </cell>
        </row>
        <row r="2187">
          <cell r="A2187" t="str">
            <v>KHF-00-104265-BA-6065-50066-0000-3</v>
          </cell>
          <cell r="B2187" t="str">
            <v>AIP-PDO-P1701009-T-1478</v>
          </cell>
          <cell r="C2187">
            <v>43774</v>
          </cell>
          <cell r="D2187" t="str">
            <v>KHF-00-104265-BA-6065-50066-0000</v>
          </cell>
          <cell r="E2187" t="str">
            <v>Welding, NDT &amp; GRE PCAP Control ID Index (Control IDs - 170,176 &amp; 488)</v>
          </cell>
          <cell r="F2187">
            <v>3</v>
          </cell>
          <cell r="G2187" t="str">
            <v>IFA</v>
          </cell>
        </row>
        <row r="2188">
          <cell r="A2188" t="str">
            <v>KHF-00-104265-RA-8241-51247-0000-2</v>
          </cell>
          <cell r="B2188" t="str">
            <v>AIP-PDO-P1701009-T-1479</v>
          </cell>
          <cell r="C2188">
            <v>43774</v>
          </cell>
          <cell r="D2188" t="str">
            <v>KHF-00-104265-RA-8241-51247-0000</v>
          </cell>
          <cell r="E2188" t="str">
            <v xml:space="preserve">MATERIAL APPROVAL SHEET FOR BENCHMARK NON-FERROUS IDENTIFICATION TABLET </v>
          </cell>
          <cell r="F2188">
            <v>2</v>
          </cell>
          <cell r="G2188" t="str">
            <v>IFA</v>
          </cell>
        </row>
        <row r="2189">
          <cell r="A2189" t="str">
            <v>KHF-00-104265-QA-5733-22016-0000-1</v>
          </cell>
          <cell r="B2189" t="str">
            <v>AIP-PDO-P1701009-T-1480</v>
          </cell>
          <cell r="C2189">
            <v>43774</v>
          </cell>
          <cell r="D2189" t="str">
            <v>KHF-00-104265-QA-5733-22016-0000</v>
          </cell>
          <cell r="E2189" t="str">
            <v>INSPECTION AND TEST PLAN FOR INSTALLATION OF GRE THREADED PIPE LINE - XINDA</v>
          </cell>
          <cell r="F2189">
            <v>1</v>
          </cell>
          <cell r="G2189" t="str">
            <v>IFR</v>
          </cell>
        </row>
        <row r="2190">
          <cell r="A2190" t="str">
            <v>KHF-00-104265-AA-6944-10104-0000-1</v>
          </cell>
          <cell r="B2190" t="str">
            <v>AIP-PDO-P1701009-T-1481</v>
          </cell>
          <cell r="C2190">
            <v>43775</v>
          </cell>
          <cell r="D2190" t="str">
            <v>KHF-00-104265-AA-6944-10104-0000</v>
          </cell>
          <cell r="E2190" t="str">
            <v>WEEKLY PROGRESS REPORT NO. 104</v>
          </cell>
          <cell r="F2190">
            <v>1</v>
          </cell>
          <cell r="G2190" t="str">
            <v>IFR</v>
          </cell>
        </row>
        <row r="2191">
          <cell r="A2191" t="str">
            <v>KHF-00-104265-QA-6050-10103-0000-1</v>
          </cell>
          <cell r="B2191" t="str">
            <v>AIP-PDO-P1701009-T-1482</v>
          </cell>
          <cell r="C2191">
            <v>43775</v>
          </cell>
          <cell r="D2191" t="str">
            <v>KHF-00-104265-QA-6050-10103-0000</v>
          </cell>
          <cell r="E2191" t="str">
            <v>FLAWLESS PROJECT DELIVERY MONTHLY REPORT NO.011 (OCTOBER 2019)</v>
          </cell>
          <cell r="F2191">
            <v>1</v>
          </cell>
          <cell r="G2191" t="str">
            <v>IFR</v>
          </cell>
        </row>
        <row r="2192">
          <cell r="A2192" t="str">
            <v>KHF-00-104265-RA-8241-51178-0000-2</v>
          </cell>
          <cell r="B2192" t="str">
            <v>AIP-PDO-P1701009-T-1483</v>
          </cell>
          <cell r="C2192">
            <v>43776</v>
          </cell>
          <cell r="D2192" t="str">
            <v>KHF-00-104265-RA-8241-51178-0000</v>
          </cell>
          <cell r="E2192" t="str">
            <v>MATERIAL APPROVAL SHEET FOR DUST PROOF EPOXY WITH SELF LEVELLING COMPOUND</v>
          </cell>
          <cell r="F2192">
            <v>2</v>
          </cell>
          <cell r="G2192" t="str">
            <v>IFA</v>
          </cell>
        </row>
        <row r="2193">
          <cell r="A2193" t="str">
            <v>KHF-00-104265-RA-8241-51202-0000-2</v>
          </cell>
          <cell r="B2193" t="str">
            <v>AIP-PDO-P1701009-T-1483</v>
          </cell>
          <cell r="C2193">
            <v>43776</v>
          </cell>
          <cell r="D2193" t="str">
            <v>KHF-00-104265-RA-8241-51202-0000</v>
          </cell>
          <cell r="E2193" t="str">
            <v>MATERIAL APPROVAL SHEET FOR CARBON steel pipes (2 1/2”, 3”, &amp; 5”) for Safety Post, Fire Extinguisher post &amp; Roof Mounted Lighting Protection (Power Plant &amp; off Plot)</v>
          </cell>
          <cell r="F2193">
            <v>2</v>
          </cell>
          <cell r="G2193" t="str">
            <v>IFA</v>
          </cell>
        </row>
        <row r="2194">
          <cell r="A2194" t="str">
            <v>KHF-00-104265-RA-8241-51215-0000-2</v>
          </cell>
          <cell r="B2194" t="str">
            <v>AIP-PDO-P1701009-T-1483</v>
          </cell>
          <cell r="C2194">
            <v>43776</v>
          </cell>
          <cell r="D2194" t="str">
            <v>KHF-00-104265-RA-8241-51215-0000</v>
          </cell>
          <cell r="E2194" t="str">
            <v>MATERIAL APPROVAL SHEET FOR DAMP TOLERANT EPOXY FLOOR COATING TO EXTERNAL CORRIDOR IN 132KV GIS SUBSTATION</v>
          </cell>
          <cell r="F2194">
            <v>2</v>
          </cell>
          <cell r="G2194" t="str">
            <v>IFA</v>
          </cell>
        </row>
        <row r="2195">
          <cell r="A2195" t="str">
            <v>KHF-00-104265-QA-0880-10096-0000-1</v>
          </cell>
          <cell r="B2195" t="str">
            <v>AIP-PDO-P1701009-T-1484</v>
          </cell>
          <cell r="C2195">
            <v>43780</v>
          </cell>
          <cell r="D2195" t="str">
            <v>KHF-00-104265-QA-0880-10096-0000</v>
          </cell>
          <cell r="E2195" t="str">
            <v>INTERNAL AUDIT REPORT - PROJECT MANAGEMENT</v>
          </cell>
          <cell r="F2195">
            <v>1</v>
          </cell>
          <cell r="G2195" t="str">
            <v>IFI</v>
          </cell>
        </row>
        <row r="2196">
          <cell r="A2196" t="str">
            <v>KHF-00-104265-BA-6070-45007-0000-1</v>
          </cell>
          <cell r="B2196" t="str">
            <v>AIP-PDO-P1701009-T-1485</v>
          </cell>
          <cell r="C2196">
            <v>43780</v>
          </cell>
          <cell r="D2196" t="str">
            <v>KHF-00-104265-BA-6070-45007-0000</v>
          </cell>
          <cell r="E2196" t="str">
            <v>TRAINING &amp; CREW QUALIFICATION PROCEDURE - GRE FLOW LINE - XINDA</v>
          </cell>
          <cell r="F2196">
            <v>1</v>
          </cell>
          <cell r="G2196" t="str">
            <v>IFR</v>
          </cell>
        </row>
        <row r="2197">
          <cell r="A2197" t="str">
            <v>rejected by PDO</v>
          </cell>
          <cell r="B2197" t="str">
            <v>AIP-PDO-P1701009-T-1486</v>
          </cell>
          <cell r="C2197">
            <v>43780</v>
          </cell>
          <cell r="D2197" t="str">
            <v>KHF-00-104265-RA-8241-51224-0000</v>
          </cell>
          <cell r="E2197" t="str">
            <v>MATERIAL APPROVAL SHEET FOR SENSOR OPERATED TISSUE DISPENSER &amp; WASTE BIN</v>
          </cell>
          <cell r="F2197">
            <v>2</v>
          </cell>
          <cell r="G2197" t="str">
            <v>IFA</v>
          </cell>
        </row>
        <row r="2198">
          <cell r="A2198" t="str">
            <v>KHF-00-104265-AA-3347-20022-0000-1</v>
          </cell>
          <cell r="B2198" t="str">
            <v>AIP-PDO-P1701009-T-1487</v>
          </cell>
          <cell r="C2198">
            <v>43780</v>
          </cell>
          <cell r="D2198" t="str">
            <v>KHF-00-104265-AA-3347-20022-0000</v>
          </cell>
          <cell r="E2198" t="str">
            <v>Minutes of Monthly Review Meeting  No.22</v>
          </cell>
          <cell r="F2198">
            <v>1</v>
          </cell>
          <cell r="G2198" t="str">
            <v>IFI</v>
          </cell>
        </row>
        <row r="2199">
          <cell r="A2199" t="str">
            <v>KHF-00-104265-AA-3347-20023-0000-1</v>
          </cell>
          <cell r="B2199" t="str">
            <v>AIP-PDO-P1701009-T-1487</v>
          </cell>
          <cell r="C2199">
            <v>43780</v>
          </cell>
          <cell r="D2199" t="str">
            <v>KHF-00-104265-AA-3347-20023-0000</v>
          </cell>
          <cell r="E2199" t="str">
            <v>Minutes of Monthly Review Meeting  No.23</v>
          </cell>
          <cell r="F2199">
            <v>1</v>
          </cell>
          <cell r="G2199" t="str">
            <v>IFI</v>
          </cell>
        </row>
        <row r="2200">
          <cell r="A2200" t="str">
            <v>KHF-00-104265-RA-8241-51224-0000-2</v>
          </cell>
          <cell r="B2200" t="str">
            <v>AIP-PDO-P1701009-T-1488</v>
          </cell>
          <cell r="C2200">
            <v>43781</v>
          </cell>
          <cell r="D2200" t="str">
            <v>KHF-00-104265-RA-8241-51224-0000</v>
          </cell>
          <cell r="E2200" t="str">
            <v>MATERIAL APPROVAL SHEET FOR SENSOR OPERATED TISSUE DISPENSER &amp; WASTE BIN</v>
          </cell>
          <cell r="F2200">
            <v>2</v>
          </cell>
          <cell r="G2200" t="str">
            <v>IFA</v>
          </cell>
        </row>
        <row r="2201">
          <cell r="A2201" t="str">
            <v>rejected by PDO</v>
          </cell>
          <cell r="B2201" t="str">
            <v>AIP-PDO-P1701009-T-1489</v>
          </cell>
          <cell r="C2201">
            <v>43781</v>
          </cell>
          <cell r="D2201" t="str">
            <v>KHF-00-104265-BA-6070-01314-0000</v>
          </cell>
          <cell r="E2201" t="str">
            <v>METHOD STATEMENT FOR GTG AND ITS AUXILIARIES PIPING HYDROSTATIC PRESSURE TEST</v>
          </cell>
          <cell r="F2201">
            <v>2</v>
          </cell>
          <cell r="G2201" t="str">
            <v>IFA</v>
          </cell>
        </row>
        <row r="2202">
          <cell r="A2202" t="str">
            <v>KHF-00-104265-BA-6070-01315-0000-1</v>
          </cell>
          <cell r="B2202" t="str">
            <v>AIP-PDO-P1701009-T-1490</v>
          </cell>
          <cell r="C2202">
            <v>43781</v>
          </cell>
          <cell r="D2202" t="str">
            <v>KHF-00-104265-BA-6070-01315-0000</v>
          </cell>
          <cell r="E2202" t="str">
            <v>METHOD STATEMENT FOR INSULATION WORKS OF PIPING AND EQUIPMENTS</v>
          </cell>
          <cell r="F2202">
            <v>1</v>
          </cell>
          <cell r="G2202" t="str">
            <v>IFR</v>
          </cell>
        </row>
        <row r="2203">
          <cell r="A2203" t="str">
            <v>KHF-00-104265-BA-6070-01314-0000-2</v>
          </cell>
          <cell r="B2203" t="str">
            <v>AIP-PDO-P1701009-T-1491</v>
          </cell>
          <cell r="C2203">
            <v>43781</v>
          </cell>
          <cell r="D2203" t="str">
            <v>KHF-00-104265-BA-6070-01314-0000</v>
          </cell>
          <cell r="E2203" t="str">
            <v>METHOD STATEMENT FOR GTG AND ITS AUXILIARIES PIPING HYDROSTATIC PRESSURE TEST</v>
          </cell>
          <cell r="F2203">
            <v>2</v>
          </cell>
          <cell r="G2203" t="str">
            <v>IFA</v>
          </cell>
        </row>
        <row r="2204">
          <cell r="A2204" t="str">
            <v>KHF-00-104265-AA-6944-10105-0000-1</v>
          </cell>
          <cell r="B2204" t="str">
            <v>AIP-PDO-P1701009-T-1492</v>
          </cell>
          <cell r="C2204">
            <v>43781</v>
          </cell>
          <cell r="D2204" t="str">
            <v>KHF-00-104265-AA-6944-10105-0000</v>
          </cell>
          <cell r="E2204" t="str">
            <v>WEEKLY PROGRESS REPORT NO. 105</v>
          </cell>
          <cell r="F2204">
            <v>1</v>
          </cell>
          <cell r="G2204" t="str">
            <v>IFR</v>
          </cell>
        </row>
        <row r="2205">
          <cell r="A2205" t="str">
            <v>KHF-00-104265-AA-3347-30060-0000-1</v>
          </cell>
          <cell r="B2205" t="str">
            <v>AIP-PDO-P1701009-T-1493</v>
          </cell>
          <cell r="C2205">
            <v>43782</v>
          </cell>
          <cell r="D2205" t="str">
            <v>KHF-00-104265-AA-3347-30060-0000</v>
          </cell>
          <cell r="E2205" t="str">
            <v>MINUTES OF WEEKLY REVIEW MEETING (SITE) NO. 60</v>
          </cell>
          <cell r="F2205">
            <v>1</v>
          </cell>
          <cell r="G2205" t="str">
            <v>IFI</v>
          </cell>
        </row>
        <row r="2206">
          <cell r="A2206" t="str">
            <v>KHF-00-104265-AA-3347-30063-0000-1</v>
          </cell>
          <cell r="B2206" t="str">
            <v>AIP-PDO-P1701009-T-1493</v>
          </cell>
          <cell r="C2206">
            <v>43782</v>
          </cell>
          <cell r="D2206" t="str">
            <v>KHF-00-104265-AA-3347-30063-0000</v>
          </cell>
          <cell r="E2206" t="str">
            <v>MINUTES OF WEEKLY REVIEW MEETING (SITE) NO. 63</v>
          </cell>
          <cell r="F2206">
            <v>1</v>
          </cell>
          <cell r="G2206" t="str">
            <v>IFI</v>
          </cell>
        </row>
        <row r="2207">
          <cell r="A2207" t="str">
            <v>KHF-00-104265-QA-6050-10229-0000-1</v>
          </cell>
          <cell r="B2207" t="str">
            <v>AIP-PDO-P1701009-T-1494</v>
          </cell>
          <cell r="C2207">
            <v>43782</v>
          </cell>
          <cell r="D2207" t="str">
            <v>KHF-00-104265-QA-6050-10229-0000</v>
          </cell>
          <cell r="E2207" t="str">
            <v>FLAWLESS PROJECT DELIVERY Q ROUND REPORT (Q ROUND # AIP-Q-150)</v>
          </cell>
          <cell r="F2207">
            <v>1</v>
          </cell>
          <cell r="G2207" t="str">
            <v>IFR</v>
          </cell>
        </row>
        <row r="2208">
          <cell r="A2208" t="str">
            <v>KHF-00-104265-QA-6050-10230-0000-1</v>
          </cell>
          <cell r="B2208" t="str">
            <v>AIP-PDO-P1701009-T-1494</v>
          </cell>
          <cell r="C2208">
            <v>43782</v>
          </cell>
          <cell r="D2208" t="str">
            <v>KHF-00-104265-QA-6050-10230-0000</v>
          </cell>
          <cell r="E2208" t="str">
            <v>FLAWLESS PROJECT DELIVERY Q ROUND REPORT (Q ROUND # AIP-Q-151)</v>
          </cell>
          <cell r="F2208">
            <v>1</v>
          </cell>
          <cell r="G2208" t="str">
            <v>IFR</v>
          </cell>
        </row>
        <row r="2209">
          <cell r="A2209" t="str">
            <v>KHF-00-104265-QA-6050-10231-0000-1</v>
          </cell>
          <cell r="B2209" t="str">
            <v>AIP-PDO-P1701009-T-1494</v>
          </cell>
          <cell r="C2209">
            <v>43782</v>
          </cell>
          <cell r="D2209" t="str">
            <v>KHF-00-104265-QA-6050-10231-0000</v>
          </cell>
          <cell r="E2209" t="str">
            <v>FLAWLESS PROJECT DELIVERY Q ROUND REPORT (Q ROUND # AIP-Q-152)</v>
          </cell>
          <cell r="F2209">
            <v>1</v>
          </cell>
          <cell r="G2209" t="str">
            <v>IFR</v>
          </cell>
        </row>
        <row r="2210">
          <cell r="A2210" t="str">
            <v>KHF-00-104265-QA-6050-10232-0000-1</v>
          </cell>
          <cell r="B2210" t="str">
            <v>AIP-PDO-P1701009-T-1494</v>
          </cell>
          <cell r="C2210">
            <v>43782</v>
          </cell>
          <cell r="D2210" t="str">
            <v>KHF-00-104265-QA-6050-10232-0000</v>
          </cell>
          <cell r="E2210" t="str">
            <v>FLAWLESS PROJECT DELIVERY Q ROUND REPORT (Q ROUND # AIP-Q-153)</v>
          </cell>
          <cell r="F2210">
            <v>1</v>
          </cell>
          <cell r="G2210" t="str">
            <v>IFR</v>
          </cell>
        </row>
        <row r="2211">
          <cell r="A2211" t="str">
            <v>KHF-00-104265-AA-6944-20025-0000-1</v>
          </cell>
          <cell r="B2211" t="str">
            <v>AIP-PDO-P1701009-T-1495</v>
          </cell>
          <cell r="C2211">
            <v>43782</v>
          </cell>
          <cell r="D2211" t="str">
            <v>KHF-00-104265-AA-6944-20025-0000</v>
          </cell>
          <cell r="E2211" t="str">
            <v>MONTHLY PROGRESS REPORT NO.025 (OCT 2019)</v>
          </cell>
          <cell r="F2211">
            <v>1</v>
          </cell>
          <cell r="G2211" t="str">
            <v>IFR</v>
          </cell>
        </row>
        <row r="2212">
          <cell r="A2212" t="str">
            <v>KHF-00-104265-QA-6050-10233-0000-1</v>
          </cell>
          <cell r="B2212" t="str">
            <v>AIP-PDO-P1701009-T-1496</v>
          </cell>
          <cell r="C2212">
            <v>43782</v>
          </cell>
          <cell r="D2212" t="str">
            <v>KHF-00-104265-QA-6050-10233-0000</v>
          </cell>
          <cell r="E2212" t="str">
            <v>FLAWLESS PROJECT DELIVERY Q ROUND REPORT (Q ROUND # AIP-Q-146)</v>
          </cell>
          <cell r="F2212">
            <v>1</v>
          </cell>
          <cell r="G2212" t="str">
            <v>IFR</v>
          </cell>
        </row>
        <row r="2213">
          <cell r="A2213" t="str">
            <v>KHF-00-104265-QA-6050-10234-0000-1</v>
          </cell>
          <cell r="B2213" t="str">
            <v>AIP-PDO-P1701009-T-1496</v>
          </cell>
          <cell r="C2213">
            <v>43782</v>
          </cell>
          <cell r="D2213" t="str">
            <v>KHF-00-104265-QA-6050-10234-0000</v>
          </cell>
          <cell r="E2213" t="str">
            <v>FLAWLESS PROJECT DELIVERY Q ROUND REPORT (Q ROUND # AIP-Q-147)</v>
          </cell>
          <cell r="F2213">
            <v>1</v>
          </cell>
          <cell r="G2213" t="str">
            <v>IFR</v>
          </cell>
        </row>
        <row r="2214">
          <cell r="A2214" t="str">
            <v>KHF-00-104265-QA-6050-10235-0000-1</v>
          </cell>
          <cell r="B2214" t="str">
            <v>AIP-PDO-P1701009-T-1496</v>
          </cell>
          <cell r="C2214">
            <v>43782</v>
          </cell>
          <cell r="D2214" t="str">
            <v>KHF-00-104265-QA-6050-10235-0000</v>
          </cell>
          <cell r="E2214" t="str">
            <v>FLAWLESS PROJECT DELIVERY Q ROUND REPORT (Q ROUND # AIP-Q-148)</v>
          </cell>
          <cell r="F2214">
            <v>1</v>
          </cell>
          <cell r="G2214" t="str">
            <v>IFR</v>
          </cell>
        </row>
        <row r="2215">
          <cell r="A2215" t="str">
            <v>KHF-00-104265-QA-6050-10236-0000-1</v>
          </cell>
          <cell r="B2215" t="str">
            <v>AIP-PDO-P1701009-T-1496</v>
          </cell>
          <cell r="C2215">
            <v>43782</v>
          </cell>
          <cell r="D2215" t="str">
            <v>KHF-00-104265-QA-6050-10236-0000</v>
          </cell>
          <cell r="E2215" t="str">
            <v>FLAWLESS PROJECT DELIVERY Q ROUND REPORT (Q ROUND # AIP-Q-149)</v>
          </cell>
          <cell r="F2215">
            <v>1</v>
          </cell>
          <cell r="G2215" t="str">
            <v>IFR</v>
          </cell>
        </row>
        <row r="2216">
          <cell r="A2216" t="str">
            <v>KHF-00-104265-BA-6070-45008-0000-1</v>
          </cell>
          <cell r="B2216" t="str">
            <v>AIP-PDO-P1701009-T-1497</v>
          </cell>
          <cell r="C2216">
            <v>43786</v>
          </cell>
          <cell r="D2216" t="str">
            <v>KHF-00-104265-BA-6070-45008-0000</v>
          </cell>
          <cell r="E2216" t="str">
            <v>METHOD STATEMENT FOR HANDLING, STORAGE AND PRESERVATION - GRE PIPE - XINDA</v>
          </cell>
          <cell r="F2216">
            <v>1</v>
          </cell>
          <cell r="G2216" t="str">
            <v>IFR</v>
          </cell>
        </row>
        <row r="2217">
          <cell r="A2217" t="str">
            <v>rejected by PDO</v>
          </cell>
          <cell r="B2217" t="str">
            <v>AIP-PDO-P1701009-T-1498</v>
          </cell>
          <cell r="C2217">
            <v>43786</v>
          </cell>
          <cell r="D2217" t="str">
            <v>KHF-00-104265-RA-8241-51007-0000</v>
          </cell>
          <cell r="E2217" t="str">
            <v>MATERIAL APPROVAL SHEET FOR CONCRETE C-35 &amp; C-10</v>
          </cell>
          <cell r="F2217">
            <v>3</v>
          </cell>
          <cell r="G2217" t="str">
            <v>IFA</v>
          </cell>
        </row>
        <row r="2218">
          <cell r="A2218" t="str">
            <v>KHF-00-104265-RA-8241-51007-0000-3</v>
          </cell>
          <cell r="B2218" t="str">
            <v>AIP-PDO-P1701009-T-1499</v>
          </cell>
          <cell r="C2218">
            <v>43786</v>
          </cell>
          <cell r="D2218" t="str">
            <v>KHF-00-104265-RA-8241-51007-0000</v>
          </cell>
          <cell r="E2218" t="str">
            <v>MATERIAL APPROVAL SHEET FOR CONCRETE C-35 &amp; C-10</v>
          </cell>
          <cell r="F2218">
            <v>3</v>
          </cell>
          <cell r="G2218" t="str">
            <v>IFA</v>
          </cell>
        </row>
        <row r="2219">
          <cell r="A2219" t="str">
            <v>KHF-00-104265-BA-6070-00145-0000-3</v>
          </cell>
          <cell r="B2219" t="str">
            <v>AIP-PDO-P1701009-T-1500</v>
          </cell>
          <cell r="C2219">
            <v>43786</v>
          </cell>
          <cell r="D2219" t="str">
            <v>KHF-00-104265-BA-6070-00145-0000</v>
          </cell>
          <cell r="E2219" t="str">
            <v>Method Statement For Hydro testing of high pressure GRE flowlines (Threaded)</v>
          </cell>
          <cell r="F2219">
            <v>3</v>
          </cell>
          <cell r="G2219" t="str">
            <v>IFA</v>
          </cell>
        </row>
        <row r="2220">
          <cell r="A2220" t="str">
            <v>KHF-00-104265-RA-8241-51249-0000-1</v>
          </cell>
          <cell r="B2220" t="str">
            <v>AIP-PDO-P1701009-T-1501</v>
          </cell>
          <cell r="C2220">
            <v>43786</v>
          </cell>
          <cell r="D2220" t="str">
            <v>KHF-00-104265-RA-8241-51249-0000</v>
          </cell>
          <cell r="E2220" t="str">
            <v>MATERIAL APPROVAL SHEET FOR WADI BOULDERS STONES</v>
          </cell>
          <cell r="F2220">
            <v>1</v>
          </cell>
          <cell r="G2220" t="str">
            <v>IFA</v>
          </cell>
        </row>
        <row r="2221">
          <cell r="A2221" t="str">
            <v>KHF-00-104265-RA-8241-51251-0000-1</v>
          </cell>
          <cell r="B2221" t="str">
            <v>AIP-PDO-P1701009-T-1502</v>
          </cell>
          <cell r="C2221">
            <v>43787</v>
          </cell>
          <cell r="D2221" t="str">
            <v>KHF-00-104265-RA-8241-51251-0000</v>
          </cell>
          <cell r="E2221" t="str">
            <v>MATERIAL APPROVAL SHEET FOR FOSROC CONBEXTRA - P AND CONBEXTRA - HF PLUS</v>
          </cell>
          <cell r="F2221">
            <v>1</v>
          </cell>
          <cell r="G2221" t="str">
            <v>IFA</v>
          </cell>
        </row>
        <row r="2222">
          <cell r="A2222" t="str">
            <v>KHF-00-104265-AA-6944-10106-0000-1</v>
          </cell>
          <cell r="B2222" t="str">
            <v>AIP-PDO-P1701009-T-1503</v>
          </cell>
          <cell r="C2222">
            <v>43787</v>
          </cell>
          <cell r="D2222" t="str">
            <v>KHF-00-104265-AA-6944-10106-0000</v>
          </cell>
          <cell r="E2222" t="str">
            <v>WEEKLY PROGRESS REPORT NO. 106</v>
          </cell>
          <cell r="F2222">
            <v>1</v>
          </cell>
          <cell r="G2222" t="str">
            <v>IFR</v>
          </cell>
        </row>
        <row r="2223">
          <cell r="A2223" t="str">
            <v>KHF-00-104265-AA-3347-30064-0000-1</v>
          </cell>
          <cell r="B2223" t="str">
            <v>AIP-PDO-P1701009-T-1504</v>
          </cell>
          <cell r="C2223">
            <v>43789</v>
          </cell>
          <cell r="D2223" t="str">
            <v>KHF-00-104265-AA-3347-30064-0000</v>
          </cell>
          <cell r="E2223" t="str">
            <v>MINUTES OF WEEKLY REVIEW MEETING (SITE) NO. 64</v>
          </cell>
          <cell r="F2223">
            <v>1</v>
          </cell>
          <cell r="G2223" t="str">
            <v>IFI</v>
          </cell>
        </row>
        <row r="2224">
          <cell r="A2224" t="str">
            <v>KHF-00-104265-AA-3341-60182-0000-1</v>
          </cell>
          <cell r="B2224" t="str">
            <v>AIP-PDO-P1701009-T-1505</v>
          </cell>
          <cell r="C2224">
            <v>43790</v>
          </cell>
          <cell r="D2224" t="str">
            <v>KHF-00-104265-AA-3341-60182-0000</v>
          </cell>
          <cell r="E2224" t="str">
            <v>CV OF MR. HARDIK KUMAR DEVENDRA KUMAR BHAVSAR - INDUSTRIAL HYGIENIST</v>
          </cell>
          <cell r="F2224">
            <v>1</v>
          </cell>
          <cell r="G2224" t="str">
            <v>IFA</v>
          </cell>
        </row>
        <row r="2225">
          <cell r="A2225" t="str">
            <v>KHF-00-104265-BA-6070-42038-0000-2</v>
          </cell>
          <cell r="B2225" t="str">
            <v>AIP-PDO-P1701009-T-1506</v>
          </cell>
          <cell r="C2225">
            <v>43790</v>
          </cell>
          <cell r="D2225" t="str">
            <v>KHF-00-104265-BA-6070-42038-0000</v>
          </cell>
          <cell r="E2225" t="str">
            <v>METHOD STATEMENT FOR PIPING COLOR CODING</v>
          </cell>
          <cell r="F2225">
            <v>2</v>
          </cell>
          <cell r="G2225" t="str">
            <v>IFA</v>
          </cell>
        </row>
        <row r="2226">
          <cell r="A2226" t="str">
            <v>KHF-00-104265-QA-5733-01312-0000-1</v>
          </cell>
          <cell r="B2226" t="str">
            <v>AIP-PDO-P1701009-T-1507</v>
          </cell>
          <cell r="C2226">
            <v>43793</v>
          </cell>
          <cell r="D2226" t="str">
            <v>KHF-00-104265-QA-5733-01312-0000</v>
          </cell>
          <cell r="E2226" t="str">
            <v>INSPECTION &amp; TEST PLAN - INSULATION WORKS</v>
          </cell>
          <cell r="F2226">
            <v>1</v>
          </cell>
          <cell r="G2226" t="str">
            <v>IFR</v>
          </cell>
        </row>
        <row r="2227">
          <cell r="A2227" t="str">
            <v>KHF-00-104265-BA-6070-42040-0000-2</v>
          </cell>
          <cell r="B2227" t="str">
            <v>AIP-PDO-P1701009-T-1508</v>
          </cell>
          <cell r="C2227">
            <v>43793</v>
          </cell>
          <cell r="D2227" t="str">
            <v>KHF-00-104265-BA-6070-42040-0000</v>
          </cell>
          <cell r="E2227" t="str">
            <v>METHOD STATEMENT FOR ADDING AMMONIA TO RAISE PH VALUE OF DM WATER</v>
          </cell>
          <cell r="F2227">
            <v>2</v>
          </cell>
          <cell r="G2227" t="str">
            <v>IFA</v>
          </cell>
        </row>
        <row r="2228">
          <cell r="A2228" t="str">
            <v>KHF-00-104265-QA-6050-10237-0000-1</v>
          </cell>
          <cell r="B2228" t="str">
            <v>AIP-PDO-P1701009-T-1509</v>
          </cell>
          <cell r="C2228">
            <v>43793</v>
          </cell>
          <cell r="D2228" t="str">
            <v>KHF-00-104265-QA-6050-10237-0000</v>
          </cell>
          <cell r="E2228" t="str">
            <v>FLAWLESS PROJECT DELIVERY Q ROUND REPORT (Q ROUND # AIP-Q-154)</v>
          </cell>
          <cell r="F2228">
            <v>1</v>
          </cell>
          <cell r="G2228" t="str">
            <v>IFR</v>
          </cell>
        </row>
        <row r="2229">
          <cell r="A2229" t="str">
            <v>KHF-00-104265-QA-6050-10238-0000-1</v>
          </cell>
          <cell r="B2229" t="str">
            <v>AIP-PDO-P1701009-T-1509</v>
          </cell>
          <cell r="C2229">
            <v>43793</v>
          </cell>
          <cell r="D2229" t="str">
            <v>KHF-00-104265-QA-6050-10238-0000</v>
          </cell>
          <cell r="E2229" t="str">
            <v>FLAWLESS PROJECT DELIVERY Q ROUND REPORT (Q ROUND # AIP-Q-155)</v>
          </cell>
          <cell r="F2229">
            <v>1</v>
          </cell>
          <cell r="G2229" t="str">
            <v>IFR</v>
          </cell>
        </row>
        <row r="2230">
          <cell r="A2230" t="str">
            <v>KHF-00-104265-QA-6050-10239-0000-1</v>
          </cell>
          <cell r="B2230" t="str">
            <v>AIP-PDO-P1701009-T-1509</v>
          </cell>
          <cell r="C2230">
            <v>43793</v>
          </cell>
          <cell r="D2230" t="str">
            <v>KHF-00-104265-QA-6050-10239-0000</v>
          </cell>
          <cell r="E2230" t="str">
            <v>FLAWLESS PROJECT DELIVERY Q ROUND REPORT (Q ROUND # AIP-Q-156)</v>
          </cell>
          <cell r="F2230">
            <v>1</v>
          </cell>
          <cell r="G2230" t="str">
            <v>IFR</v>
          </cell>
        </row>
        <row r="2231">
          <cell r="A2231" t="str">
            <v>KHF-00-104265-QA-6050-10240-0000-1</v>
          </cell>
          <cell r="B2231" t="str">
            <v>AIP-PDO-P1701009-T-1509</v>
          </cell>
          <cell r="C2231">
            <v>43793</v>
          </cell>
          <cell r="D2231" t="str">
            <v>KHF-00-104265-QA-6050-10240-0000</v>
          </cell>
          <cell r="E2231" t="str">
            <v>FLAWLESS PROJECT DELIVERY Q ROUND REPORT (Q ROUND # AIP-Q-157)</v>
          </cell>
          <cell r="F2231">
            <v>1</v>
          </cell>
          <cell r="G2231" t="str">
            <v>IFR</v>
          </cell>
        </row>
        <row r="2232">
          <cell r="A2232" t="str">
            <v>KHF-00-104265-HX-5880-10032-0000-3</v>
          </cell>
          <cell r="B2232" t="str">
            <v>AIP-PDO-P1701009-T-1510</v>
          </cell>
          <cell r="C2232">
            <v>43793</v>
          </cell>
          <cell r="D2232" t="str">
            <v>KHF-00-104265-HX-5880-10032-0000</v>
          </cell>
          <cell r="E2232" t="str">
            <v>PROJECT AND HSE INDUCTION FOR YIBAL KHUFF PROJECT</v>
          </cell>
          <cell r="F2232">
            <v>3</v>
          </cell>
          <cell r="G2232" t="str">
            <v>IFA</v>
          </cell>
        </row>
        <row r="2233">
          <cell r="A2233" t="str">
            <v>KHF-00-104265-HX-5798-10004-0000-6</v>
          </cell>
          <cell r="B2233" t="str">
            <v>AIP-PDO-P1701009-T-1511</v>
          </cell>
          <cell r="C2233">
            <v>43793</v>
          </cell>
          <cell r="D2233" t="str">
            <v>KHF-00-104265-HX-5798-10004-0000</v>
          </cell>
          <cell r="E2233" t="str">
            <v>CONTRACT HSE PLAN</v>
          </cell>
          <cell r="F2233">
            <v>6</v>
          </cell>
          <cell r="G2233" t="str">
            <v>IFA</v>
          </cell>
        </row>
        <row r="2234">
          <cell r="A2234" t="str">
            <v>KHF-00-104265-AA-6944-10107-0000-1</v>
          </cell>
          <cell r="B2234" t="str">
            <v>AIP-PDO-P1701009-T-1512</v>
          </cell>
          <cell r="C2234">
            <v>43794</v>
          </cell>
          <cell r="D2234" t="str">
            <v>KHF-00-104265-AA-6944-10107-0000</v>
          </cell>
          <cell r="E2234" t="str">
            <v>WEEKLY PROGRESS REPORT NO. 107</v>
          </cell>
          <cell r="F2234">
            <v>1</v>
          </cell>
          <cell r="G2234" t="str">
            <v>IFR</v>
          </cell>
        </row>
        <row r="2235">
          <cell r="A2235" t="str">
            <v>KHF-00-104265-QA-7180-01301-0000-1</v>
          </cell>
          <cell r="B2235" t="str">
            <v>AIP-PDO-P1701009-T-1513</v>
          </cell>
          <cell r="C2235">
            <v>43795</v>
          </cell>
          <cell r="D2235" t="str">
            <v>KHF-00-104265-QA-7180-01301-0000</v>
          </cell>
          <cell r="E2235" t="str">
            <v xml:space="preserve">Submission of HRSG ASME Manufacturer’s Data Report (P Form : P3A, P4, P4B, P4A) </v>
          </cell>
          <cell r="F2235">
            <v>1</v>
          </cell>
          <cell r="G2235" t="str">
            <v>IFR</v>
          </cell>
        </row>
        <row r="2236">
          <cell r="A2236" t="str">
            <v>KHF-00-104265-AA-3341-60183-0000-1</v>
          </cell>
          <cell r="B2236" t="str">
            <v>AIP-PDO-P1701009-T-1514</v>
          </cell>
          <cell r="C2236">
            <v>43800</v>
          </cell>
          <cell r="D2236" t="str">
            <v>KHF-00-104265-AA-3341-60183-0000</v>
          </cell>
          <cell r="E2236" t="str">
            <v>CV OF MR. NIRMAL BALAJI - LEAD CIVIL CONSTRUCTION ENGINEER</v>
          </cell>
          <cell r="F2236">
            <v>1</v>
          </cell>
          <cell r="G2236" t="str">
            <v>IFA</v>
          </cell>
        </row>
        <row r="2237">
          <cell r="A2237" t="str">
            <v>KHF-00-104265-QA-6050-10241-0000-1</v>
          </cell>
          <cell r="B2237" t="str">
            <v>AIP-PDO-P1701009-T-1515</v>
          </cell>
          <cell r="C2237">
            <v>43800</v>
          </cell>
          <cell r="D2237" t="str">
            <v>KHF-00-104265-QA-6050-10241-0000</v>
          </cell>
          <cell r="E2237" t="str">
            <v>FLAWLESS PROJECT DELIVERY Q ROUND REPORT (Q ROUND # AIP-Q-158)</v>
          </cell>
          <cell r="F2237">
            <v>1</v>
          </cell>
          <cell r="G2237" t="str">
            <v>IFR</v>
          </cell>
        </row>
        <row r="2238">
          <cell r="A2238" t="str">
            <v>KHF-00-104265-QA-6050-10242-0000-1</v>
          </cell>
          <cell r="B2238" t="str">
            <v>AIP-PDO-P1701009-T-1515</v>
          </cell>
          <cell r="C2238">
            <v>43800</v>
          </cell>
          <cell r="D2238" t="str">
            <v>KHF-00-104265-QA-6050-10242-0000</v>
          </cell>
          <cell r="E2238" t="str">
            <v>FLAWLESS PROJECT DELIVERY Q ROUND REPORT (Q ROUND # AIP-Q-159)</v>
          </cell>
          <cell r="F2238">
            <v>1</v>
          </cell>
          <cell r="G2238" t="str">
            <v>IFR</v>
          </cell>
        </row>
        <row r="2239">
          <cell r="A2239" t="str">
            <v>KHF-00-104265-QA-6050-10243-0000-1</v>
          </cell>
          <cell r="B2239" t="str">
            <v>AIP-PDO-P1701009-T-1515</v>
          </cell>
          <cell r="C2239">
            <v>43800</v>
          </cell>
          <cell r="D2239" t="str">
            <v>KHF-00-104265-QA-6050-10243-0000</v>
          </cell>
          <cell r="E2239" t="str">
            <v>FLAWLESS PROJECT DELIVERY Q ROUND REPORT (Q ROUND # AIP-Q-160)</v>
          </cell>
          <cell r="F2239">
            <v>1</v>
          </cell>
          <cell r="G2239" t="str">
            <v>IFR</v>
          </cell>
        </row>
        <row r="2240">
          <cell r="A2240" t="str">
            <v>KHF-00-104265-QA-6050-10244-0000-1</v>
          </cell>
          <cell r="B2240" t="str">
            <v>AIP-PDO-P1701009-T-1515</v>
          </cell>
          <cell r="C2240">
            <v>43800</v>
          </cell>
          <cell r="D2240" t="str">
            <v>KHF-00-104265-QA-6050-10244-0000</v>
          </cell>
          <cell r="E2240" t="str">
            <v>FLAWLESS PROJECT DELIVERY Q ROUND REPORT (Q ROUND # AIP-Q-161)</v>
          </cell>
          <cell r="F2240">
            <v>1</v>
          </cell>
          <cell r="G2240" t="str">
            <v>IFR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ing Transmittals from PDO"/>
      <sheetName val="Incoming Letters from PDO"/>
    </sheetNames>
    <sheetDataSet>
      <sheetData sheetId="0">
        <row r="6">
          <cell r="A6" t="str">
            <v>"Only for DCC"</v>
          </cell>
          <cell r="B6" t="str">
            <v>PDO Transmittal No.</v>
          </cell>
          <cell r="C6" t="str">
            <v>Date</v>
          </cell>
          <cell r="D6" t="str">
            <v>Document No.</v>
          </cell>
          <cell r="E6" t="str">
            <v>Description</v>
          </cell>
          <cell r="F6" t="str">
            <v>Rev</v>
          </cell>
          <cell r="G6" t="str">
            <v>Remarks</v>
          </cell>
        </row>
        <row r="7">
          <cell r="A7" t="str">
            <v>---</v>
          </cell>
          <cell r="B7" t="str">
            <v>KHF_AIP_D_EXT_00001</v>
          </cell>
          <cell r="C7">
            <v>43012</v>
          </cell>
          <cell r="D7" t="str">
            <v>-</v>
          </cell>
          <cell r="E7" t="str">
            <v>AFC Package - Isometrics - Total 72 Nos.</v>
          </cell>
          <cell r="F7" t="str">
            <v>-</v>
          </cell>
          <cell r="G7" t="str">
            <v>Total 1340 drawings</v>
          </cell>
        </row>
        <row r="8">
          <cell r="A8" t="str">
            <v>---</v>
          </cell>
          <cell r="B8" t="str">
            <v>KHF_AIP_D_EXT_00002</v>
          </cell>
          <cell r="C8">
            <v>43012</v>
          </cell>
          <cell r="D8" t="str">
            <v>-</v>
          </cell>
          <cell r="E8" t="str">
            <v>AFC Drawings - LOT 01 - Total 349 Nos.</v>
          </cell>
          <cell r="F8" t="str">
            <v>-</v>
          </cell>
          <cell r="G8">
            <v>0</v>
          </cell>
        </row>
        <row r="9">
          <cell r="A9" t="str">
            <v>---</v>
          </cell>
          <cell r="B9" t="str">
            <v>KHF_AIP_D_EXT_00003</v>
          </cell>
          <cell r="C9">
            <v>43012</v>
          </cell>
          <cell r="D9" t="str">
            <v>-</v>
          </cell>
          <cell r="E9" t="str">
            <v>AFC Drawings - LOT 02 - Total 449 Nos.</v>
          </cell>
          <cell r="F9" t="str">
            <v>-</v>
          </cell>
          <cell r="G9">
            <v>0</v>
          </cell>
        </row>
        <row r="10">
          <cell r="A10" t="str">
            <v>---</v>
          </cell>
          <cell r="B10" t="str">
            <v>KHF_AIP_D_EXT_00004</v>
          </cell>
          <cell r="C10">
            <v>43012</v>
          </cell>
          <cell r="D10" t="str">
            <v>-</v>
          </cell>
          <cell r="E10" t="str">
            <v>AFC Drawings - LOT 03 - Total 450 Nos.</v>
          </cell>
          <cell r="F10" t="str">
            <v>-</v>
          </cell>
          <cell r="G10">
            <v>0</v>
          </cell>
        </row>
        <row r="11">
          <cell r="A11" t="str">
            <v>---</v>
          </cell>
          <cell r="B11" t="str">
            <v>KHF_AIP_D_EXT_00005</v>
          </cell>
          <cell r="C11">
            <v>43012</v>
          </cell>
          <cell r="D11" t="str">
            <v>-</v>
          </cell>
          <cell r="E11" t="str">
            <v>AFC Drawings - Powerplant - Total 20 Nos.</v>
          </cell>
          <cell r="F11" t="str">
            <v>-</v>
          </cell>
          <cell r="G11">
            <v>0</v>
          </cell>
        </row>
        <row r="12">
          <cell r="A12" t="str">
            <v>KHF-00-104265-AA-3341-60002-0000-1</v>
          </cell>
          <cell r="B12" t="str">
            <v>KHF_AIP_D_EXT_00006</v>
          </cell>
          <cell r="C12">
            <v>43019</v>
          </cell>
          <cell r="D12" t="str">
            <v>KHF-00-104265-AA-3341-60002-0000</v>
          </cell>
          <cell r="E12" t="str">
            <v>CV of Mr. Akhosh Krishna - HSE Advisor</v>
          </cell>
          <cell r="F12">
            <v>1</v>
          </cell>
          <cell r="G12" t="str">
            <v>Code A</v>
          </cell>
        </row>
        <row r="13">
          <cell r="A13" t="str">
            <v>KHF-00-104265-AA-3341-60003-0000-1</v>
          </cell>
          <cell r="B13" t="str">
            <v>KHF_AIP_D_EXT_00006</v>
          </cell>
          <cell r="C13">
            <v>43019</v>
          </cell>
          <cell r="D13" t="str">
            <v>KHF-00-104265-AA-3341-60003-0000</v>
          </cell>
          <cell r="E13" t="str">
            <v>CV of Mr. Sharon Jain Babu - HSE Advisor</v>
          </cell>
          <cell r="F13">
            <v>1</v>
          </cell>
          <cell r="G13" t="str">
            <v>Code A</v>
          </cell>
        </row>
        <row r="14">
          <cell r="A14" t="str">
            <v>KHF-00-104265-HX-5798-10004-0000-1</v>
          </cell>
          <cell r="B14" t="str">
            <v>KHF_AIP_D_EXT_00007</v>
          </cell>
          <cell r="C14">
            <v>43019</v>
          </cell>
          <cell r="D14" t="str">
            <v>KHF-00-104265-HX-5798-10004-0000</v>
          </cell>
          <cell r="E14" t="str">
            <v>Contract HSE Plan</v>
          </cell>
          <cell r="F14">
            <v>1</v>
          </cell>
          <cell r="G14" t="str">
            <v>Code B</v>
          </cell>
        </row>
        <row r="15">
          <cell r="A15" t="str">
            <v>KHF-00-104265-AA-3341-60004-0000-1</v>
          </cell>
          <cell r="B15" t="str">
            <v>KHF_AIP_D_EXT_00008</v>
          </cell>
          <cell r="C15">
            <v>43019</v>
          </cell>
          <cell r="D15" t="str">
            <v>KHF-00-104265-AA-3341-60004-0000</v>
          </cell>
          <cell r="E15" t="str">
            <v>CV of Mr. Hitarth U. Mehta - Industrial Hygenist</v>
          </cell>
          <cell r="F15">
            <v>1</v>
          </cell>
          <cell r="G15" t="str">
            <v>Code A</v>
          </cell>
        </row>
        <row r="16">
          <cell r="A16" t="str">
            <v>KHF-00-104265-AA-3341-60005-0000-1</v>
          </cell>
          <cell r="B16" t="str">
            <v>KHF_AIP_D_EXT_00008</v>
          </cell>
          <cell r="C16">
            <v>43019</v>
          </cell>
          <cell r="D16" t="str">
            <v>KHF-00-104265-AA-3341-60005-0000</v>
          </cell>
          <cell r="E16" t="str">
            <v>CV of Mr. Majeesh Thokkanan - Industrial Hygenist</v>
          </cell>
          <cell r="F16">
            <v>1</v>
          </cell>
          <cell r="G16" t="str">
            <v>Code D</v>
          </cell>
        </row>
        <row r="17">
          <cell r="A17" t="str">
            <v>KHF-00-104265-AA-3341-60006-0000-1</v>
          </cell>
          <cell r="B17" t="str">
            <v>KHF_AIP_D_EXT_00008</v>
          </cell>
          <cell r="C17">
            <v>43019</v>
          </cell>
          <cell r="D17" t="str">
            <v>KHF-00-104265-AA-3341-60006-0000</v>
          </cell>
          <cell r="E17" t="str">
            <v>CV of Mr. Nitin Bajaj - Industrial Hygenist</v>
          </cell>
          <cell r="F17">
            <v>1</v>
          </cell>
          <cell r="G17" t="str">
            <v>Code D</v>
          </cell>
        </row>
        <row r="18">
          <cell r="A18" t="str">
            <v>KHF-00-104265-AA-3341-60007-0000-1</v>
          </cell>
          <cell r="B18" t="str">
            <v>KHF_AIP_D_EXT_00008</v>
          </cell>
          <cell r="C18">
            <v>43019</v>
          </cell>
          <cell r="D18" t="str">
            <v>KHF-00-104265-AA-3341-60007-0000</v>
          </cell>
          <cell r="E18" t="str">
            <v>CV of Mr. Vedparkash Yadav - Industrial Hygenist</v>
          </cell>
          <cell r="F18">
            <v>1</v>
          </cell>
          <cell r="G18" t="str">
            <v>Code D</v>
          </cell>
        </row>
        <row r="19">
          <cell r="A19" t="str">
            <v>---</v>
          </cell>
          <cell r="B19" t="str">
            <v>KHF_AIP_D_EXT_00009</v>
          </cell>
          <cell r="C19">
            <v>43020</v>
          </cell>
          <cell r="D19" t="str">
            <v>-</v>
          </cell>
          <cell r="E19" t="str">
            <v>AFC Drawings</v>
          </cell>
          <cell r="F19" t="str">
            <v>-</v>
          </cell>
          <cell r="G19" t="str">
            <v>Total 195 drawings</v>
          </cell>
        </row>
        <row r="20">
          <cell r="A20" t="str">
            <v>KHF-00-104265-CX-4180-10005-0001-1</v>
          </cell>
          <cell r="B20" t="str">
            <v>KHF_AIP_D_EXT_00010</v>
          </cell>
          <cell r="C20">
            <v>43025</v>
          </cell>
          <cell r="D20" t="str">
            <v>KHF-00-104265-CX-4180-10005-0001</v>
          </cell>
          <cell r="E20" t="str">
            <v>Site Camp Layout</v>
          </cell>
          <cell r="F20">
            <v>1</v>
          </cell>
          <cell r="G20" t="str">
            <v>Code B</v>
          </cell>
        </row>
        <row r="21">
          <cell r="A21" t="str">
            <v>KHF-00-104265-CX-4180-10005-0001-2</v>
          </cell>
          <cell r="B21" t="str">
            <v>KHF_AIP_D_EXT_00011</v>
          </cell>
          <cell r="C21">
            <v>43025</v>
          </cell>
          <cell r="D21" t="str">
            <v>KHF-00-104265-CX-4180-10005-0001</v>
          </cell>
          <cell r="E21" t="str">
            <v>Site Camp Layout</v>
          </cell>
          <cell r="F21">
            <v>2</v>
          </cell>
          <cell r="G21" t="str">
            <v>Code B</v>
          </cell>
        </row>
        <row r="22">
          <cell r="A22" t="str">
            <v>---</v>
          </cell>
          <cell r="B22" t="str">
            <v>KHF_AIP_D_EXT_00012</v>
          </cell>
          <cell r="C22">
            <v>43026</v>
          </cell>
          <cell r="D22" t="str">
            <v>-</v>
          </cell>
          <cell r="E22" t="str">
            <v>AFC Drawings</v>
          </cell>
          <cell r="F22" t="str">
            <v>-</v>
          </cell>
          <cell r="G22" t="str">
            <v>Total 04 drawings</v>
          </cell>
        </row>
        <row r="23">
          <cell r="A23" t="str">
            <v>---</v>
          </cell>
          <cell r="B23" t="str">
            <v>KHF_AIP_D_EXT_00013</v>
          </cell>
          <cell r="C23">
            <v>43026</v>
          </cell>
          <cell r="D23" t="str">
            <v>-</v>
          </cell>
          <cell r="E23" t="str">
            <v>AFC Drawings</v>
          </cell>
          <cell r="F23" t="str">
            <v>-</v>
          </cell>
          <cell r="G23" t="str">
            <v>Total 170 drawings</v>
          </cell>
        </row>
        <row r="24">
          <cell r="A24" t="str">
            <v>KHF-00-104265-AA-3341-60008-0000-1</v>
          </cell>
          <cell r="B24" t="str">
            <v>KHF_AIP_D_EXT_00014</v>
          </cell>
          <cell r="C24">
            <v>43027</v>
          </cell>
          <cell r="D24" t="str">
            <v>KHF-00-104265-AA-3341-60008-0000</v>
          </cell>
          <cell r="E24" t="str">
            <v>CV of Mr. Shrikant Krishnaji Kulkarni - Quality Manager</v>
          </cell>
          <cell r="F24">
            <v>1</v>
          </cell>
          <cell r="G24" t="str">
            <v>Code D</v>
          </cell>
        </row>
        <row r="25">
          <cell r="A25" t="str">
            <v>KHF-00-104265-AA-3341-60011-0000-1</v>
          </cell>
          <cell r="B25" t="str">
            <v>KHF_AIP_D_EXT_00015</v>
          </cell>
          <cell r="C25">
            <v>43027</v>
          </cell>
          <cell r="D25" t="str">
            <v>KHF-00-104265-AA-3341-60011-0000</v>
          </cell>
          <cell r="E25" t="str">
            <v>CV of Mr. Mani Muruganandan-Construction Manager</v>
          </cell>
          <cell r="F25">
            <v>1</v>
          </cell>
          <cell r="G25" t="str">
            <v>Code D</v>
          </cell>
        </row>
        <row r="26">
          <cell r="A26" t="str">
            <v>KHF-00-104265-AA-3341-60012-0000-1</v>
          </cell>
          <cell r="B26" t="str">
            <v>KHF_AIP_D_EXT_00016</v>
          </cell>
          <cell r="C26">
            <v>43027</v>
          </cell>
          <cell r="D26" t="str">
            <v>KHF-00-104265-AA-3341-60012-0000</v>
          </cell>
          <cell r="E26" t="str">
            <v>CV of Mr. Srinivasa Rao Ramineni  - Construction Manager</v>
          </cell>
          <cell r="F26">
            <v>1</v>
          </cell>
          <cell r="G26" t="str">
            <v>Code A</v>
          </cell>
        </row>
        <row r="27">
          <cell r="A27" t="str">
            <v>KHF-00-104265-HX-4380-10013-0000-1</v>
          </cell>
          <cell r="B27" t="str">
            <v>KHF_AIP_D_EXT_00017</v>
          </cell>
          <cell r="C27">
            <v>43031</v>
          </cell>
          <cell r="D27" t="str">
            <v>KHF-00-104265-HX-4380-10013-0000</v>
          </cell>
          <cell r="E27" t="str">
            <v>HSE Training Matrix</v>
          </cell>
          <cell r="F27">
            <v>1</v>
          </cell>
          <cell r="G27" t="str">
            <v>Code B</v>
          </cell>
        </row>
        <row r="28">
          <cell r="A28" t="str">
            <v>KHF-00-104265-HX-6180-10012-0000-1</v>
          </cell>
          <cell r="B28" t="str">
            <v>KHF_AIP_D_EXT_00018</v>
          </cell>
          <cell r="C28">
            <v>43031</v>
          </cell>
          <cell r="D28" t="str">
            <v>KHF-00-104265-HX-6180-10012-0000</v>
          </cell>
          <cell r="E28" t="str">
            <v>Permit to Work Procedure (Greenfield)</v>
          </cell>
          <cell r="F28">
            <v>1</v>
          </cell>
          <cell r="G28" t="str">
            <v>Code B</v>
          </cell>
        </row>
        <row r="29">
          <cell r="A29" t="str">
            <v>---</v>
          </cell>
          <cell r="B29" t="str">
            <v>KHF_AIP_D_EXT_00019</v>
          </cell>
          <cell r="C29">
            <v>43034</v>
          </cell>
          <cell r="D29" t="str">
            <v>-</v>
          </cell>
          <cell r="E29" t="str">
            <v>AFC Drawings</v>
          </cell>
          <cell r="F29" t="str">
            <v>-</v>
          </cell>
          <cell r="G29" t="str">
            <v>Total 14 drawings</v>
          </cell>
        </row>
        <row r="30">
          <cell r="A30" t="str">
            <v>KHF-00-104265-AA-3341-60001-0000-1</v>
          </cell>
          <cell r="B30" t="str">
            <v>KHF_AIP_D_EXT_00020</v>
          </cell>
          <cell r="C30">
            <v>43034</v>
          </cell>
          <cell r="D30" t="str">
            <v>KHF-00-104265-AA-3341-60001-0000</v>
          </cell>
          <cell r="E30" t="str">
            <v>CV of Mr. J. ANTO JAYAREST - HSSE Manager</v>
          </cell>
          <cell r="F30">
            <v>1</v>
          </cell>
          <cell r="G30" t="str">
            <v>Code D</v>
          </cell>
        </row>
        <row r="31">
          <cell r="A31" t="str">
            <v>KHF-00-104265-HX-5880-10014-0000-1</v>
          </cell>
          <cell r="B31" t="str">
            <v>KHF_AIP_D_EXT_00021</v>
          </cell>
          <cell r="C31">
            <v>43034</v>
          </cell>
          <cell r="D31" t="str">
            <v>KHF-00-104265-HX-5880-10014-0000</v>
          </cell>
          <cell r="E31" t="str">
            <v>HSE Monitoring Plan</v>
          </cell>
          <cell r="F31">
            <v>1</v>
          </cell>
          <cell r="G31" t="str">
            <v>Code B</v>
          </cell>
        </row>
        <row r="32">
          <cell r="A32" t="str">
            <v>KHF-00-104265-HX-6019-10017-0000-1</v>
          </cell>
          <cell r="B32" t="str">
            <v>KHF_AIP_D_EXT_00022</v>
          </cell>
          <cell r="C32">
            <v>43037</v>
          </cell>
          <cell r="D32" t="str">
            <v>KHF-00-104265-HX-6019-10017-0000</v>
          </cell>
          <cell r="E32" t="str">
            <v>Emergency Response Procedure</v>
          </cell>
          <cell r="F32">
            <v>1</v>
          </cell>
          <cell r="G32" t="str">
            <v>Code B</v>
          </cell>
        </row>
        <row r="33">
          <cell r="A33" t="str">
            <v>KHF-00-104265-AA-3341-60013-0000-1</v>
          </cell>
          <cell r="B33" t="str">
            <v>KHF_AIP_D_EXT_00023</v>
          </cell>
          <cell r="C33">
            <v>43038</v>
          </cell>
          <cell r="D33" t="str">
            <v>KHF-00-104265-AA-3341-60013-0000</v>
          </cell>
          <cell r="E33" t="str">
            <v>CV of Mr. Mahesh Kumar Jakhar - Industrial Hygienist</v>
          </cell>
          <cell r="F33">
            <v>1</v>
          </cell>
          <cell r="G33" t="str">
            <v>Code D</v>
          </cell>
        </row>
        <row r="34">
          <cell r="A34" t="str">
            <v>KHF-00-104265-HX-6613-10015-0000-1</v>
          </cell>
          <cell r="B34" t="str">
            <v>KHF_AIP_D_EXT_00024</v>
          </cell>
          <cell r="C34">
            <v>43038</v>
          </cell>
          <cell r="D34" t="str">
            <v>KHF-00-104265-HX-6613-10015-0000</v>
          </cell>
          <cell r="E34" t="str">
            <v>Construction Camp and early works HEMP register</v>
          </cell>
          <cell r="F34">
            <v>1</v>
          </cell>
          <cell r="G34" t="str">
            <v>Code B</v>
          </cell>
        </row>
        <row r="35">
          <cell r="A35" t="str">
            <v>KHF-00-104265-AA-3341-60027-0000-1</v>
          </cell>
          <cell r="B35" t="str">
            <v>KHF_AIP_D_EXT_00025</v>
          </cell>
          <cell r="C35">
            <v>43040</v>
          </cell>
          <cell r="D35" t="str">
            <v>KHF-00-104265-AA-3341-60027-0000</v>
          </cell>
          <cell r="E35" t="str">
            <v>CV of Mr. Ramakrishnan Giridhar - HSE Manager</v>
          </cell>
          <cell r="F35">
            <v>1</v>
          </cell>
          <cell r="G35" t="str">
            <v>Code A</v>
          </cell>
        </row>
        <row r="36">
          <cell r="A36" t="str">
            <v>---</v>
          </cell>
          <cell r="B36" t="str">
            <v>KHF_AIP_D_EXT_00026</v>
          </cell>
          <cell r="C36">
            <v>43040</v>
          </cell>
          <cell r="D36" t="str">
            <v>-</v>
          </cell>
          <cell r="E36" t="str">
            <v>AFC Drawings</v>
          </cell>
          <cell r="F36" t="str">
            <v>-</v>
          </cell>
          <cell r="G36" t="str">
            <v>Total 62 drawings</v>
          </cell>
        </row>
        <row r="37">
          <cell r="A37" t="str">
            <v>KHF-00-104265-AA-3341-60015-0000-1</v>
          </cell>
          <cell r="B37" t="str">
            <v>KHF_AIP_D_EXT_00027</v>
          </cell>
          <cell r="C37">
            <v>43041</v>
          </cell>
          <cell r="D37" t="str">
            <v>KHF-00-104265-AA-3341-60015-0000</v>
          </cell>
          <cell r="E37" t="str">
            <v>CV of  Mr. Sanjeeva Tella - Project Quality Manager</v>
          </cell>
          <cell r="F37">
            <v>1</v>
          </cell>
          <cell r="G37" t="str">
            <v>Code A</v>
          </cell>
        </row>
        <row r="38">
          <cell r="A38" t="str">
            <v>KHF-00-104133-JA-6611-00009-0000-1</v>
          </cell>
          <cell r="B38" t="str">
            <v>KHF_AIP_D_EXT_00028</v>
          </cell>
          <cell r="C38">
            <v>43041</v>
          </cell>
          <cell r="D38" t="str">
            <v>KHF-00-104133-JA-6611-00009-0000</v>
          </cell>
          <cell r="E38" t="str">
            <v>NAVISWORK MODEL FOR OFF PLOT AND POWER PLANT</v>
          </cell>
          <cell r="F38">
            <v>1</v>
          </cell>
          <cell r="G38" t="str">
            <v>IFI</v>
          </cell>
        </row>
        <row r="39">
          <cell r="A39" t="str">
            <v>KHF-00-104265-AA-3341-60026-0000-1</v>
          </cell>
          <cell r="B39" t="str">
            <v>KHF_AIP_D_EXT_00029</v>
          </cell>
          <cell r="C39">
            <v>43044</v>
          </cell>
          <cell r="D39" t="str">
            <v>KHF-00-104265-AA-3341-60026-0000</v>
          </cell>
          <cell r="E39" t="str">
            <v>CV of Mr. J. Benedict Vijayakumar Jesuraju - Information  Management Lead</v>
          </cell>
          <cell r="F39">
            <v>1</v>
          </cell>
          <cell r="G39" t="str">
            <v>Code D</v>
          </cell>
        </row>
        <row r="40">
          <cell r="A40" t="str">
            <v>KHF-00-104265-JA-6017-10010-0000-1</v>
          </cell>
          <cell r="B40" t="str">
            <v>KHF_AIP_D_EXT_00030</v>
          </cell>
          <cell r="C40">
            <v>43045</v>
          </cell>
          <cell r="D40" t="str">
            <v>KHF-00-104265-JA-6017-10010-0000</v>
          </cell>
          <cell r="E40" t="str">
            <v>Information Management Plan</v>
          </cell>
          <cell r="F40">
            <v>1</v>
          </cell>
          <cell r="G40" t="str">
            <v>Code B</v>
          </cell>
        </row>
        <row r="41">
          <cell r="A41" t="str">
            <v>KHF-00-104265-AA-3341-60016-0000-1</v>
          </cell>
          <cell r="B41" t="str">
            <v>KHF_AIP_D_EXT_00031</v>
          </cell>
          <cell r="C41">
            <v>43045</v>
          </cell>
          <cell r="D41" t="str">
            <v>KHF-00-104265-AA-3341-60016-0000</v>
          </cell>
          <cell r="E41" t="str">
            <v>CV of  Mr. Jagadeesh Indana - Lead QA/QC Engineer</v>
          </cell>
          <cell r="F41">
            <v>1</v>
          </cell>
          <cell r="G41" t="str">
            <v>Code A</v>
          </cell>
        </row>
        <row r="42">
          <cell r="A42" t="str">
            <v>KHF-00-104265-AA-3341-60024-0000-1</v>
          </cell>
          <cell r="B42" t="str">
            <v>KHF_AIP_D_EXT_00032</v>
          </cell>
          <cell r="C42">
            <v>43045</v>
          </cell>
          <cell r="D42" t="str">
            <v>KHF-00-104265-AA-3341-60024-0000</v>
          </cell>
          <cell r="E42" t="str">
            <v>CV of Mr. Perumal Veeramalai - Interface Engineer</v>
          </cell>
          <cell r="F42">
            <v>1</v>
          </cell>
          <cell r="G42" t="str">
            <v>Code B</v>
          </cell>
        </row>
        <row r="43">
          <cell r="A43" t="str">
            <v>KHF-00-104265-AA-3341-60028-0000-1</v>
          </cell>
          <cell r="B43" t="str">
            <v>KHF_AIP_D_EXT_00033</v>
          </cell>
          <cell r="C43">
            <v>43045</v>
          </cell>
          <cell r="D43" t="str">
            <v>KHF-00-104265-AA-3341-60028-0000</v>
          </cell>
          <cell r="E43" t="str">
            <v>CV of Mr. S.Ponnuchamy - Lead QA/QC Engineer</v>
          </cell>
          <cell r="F43">
            <v>1</v>
          </cell>
          <cell r="G43" t="str">
            <v>Code A</v>
          </cell>
        </row>
        <row r="44">
          <cell r="A44" t="str">
            <v>---</v>
          </cell>
          <cell r="B44" t="str">
            <v>KHF_AIP_D_EXT_00034</v>
          </cell>
          <cell r="C44">
            <v>43046</v>
          </cell>
          <cell r="D44" t="str">
            <v>-</v>
          </cell>
          <cell r="E44" t="str">
            <v>AFC Drawings</v>
          </cell>
          <cell r="F44" t="str">
            <v>-</v>
          </cell>
          <cell r="G44" t="str">
            <v>Total 11 drawings</v>
          </cell>
        </row>
        <row r="45">
          <cell r="A45" t="str">
            <v>KHF-00-104265-AA-3341-60014-0000-1</v>
          </cell>
          <cell r="B45" t="str">
            <v>KHF_AIP_D_EXT_00035</v>
          </cell>
          <cell r="C45">
            <v>43047</v>
          </cell>
          <cell r="D45" t="str">
            <v>KHF-00-104265-AA-3341-60014-0000</v>
          </cell>
          <cell r="E45" t="str">
            <v>CV of Mr. Joseph Antony - Hydro Testing Engineer</v>
          </cell>
          <cell r="F45">
            <v>1</v>
          </cell>
          <cell r="G45" t="str">
            <v>Code C</v>
          </cell>
        </row>
        <row r="46">
          <cell r="A46" t="str">
            <v>KHF-00-104265-AA-3341-60019-0000-1</v>
          </cell>
          <cell r="B46" t="str">
            <v>KHF_AIP_D_EXT_00036</v>
          </cell>
          <cell r="C46">
            <v>43048</v>
          </cell>
          <cell r="D46" t="str">
            <v>KHF-00-104265-AA-3341-60019-0000</v>
          </cell>
          <cell r="E46" t="str">
            <v>CV of Mr. R. Durairaj - Construction Engineer Pipeline</v>
          </cell>
          <cell r="F46">
            <v>1</v>
          </cell>
          <cell r="G46" t="str">
            <v>Code B</v>
          </cell>
        </row>
        <row r="47">
          <cell r="A47" t="str">
            <v>KHF-00-104265-AA-3341-60020-0000-1</v>
          </cell>
          <cell r="B47" t="str">
            <v>KHF_AIP_D_EXT_00036</v>
          </cell>
          <cell r="C47">
            <v>43048</v>
          </cell>
          <cell r="D47" t="str">
            <v>KHF-00-104265-AA-3341-60020-0000</v>
          </cell>
          <cell r="E47" t="str">
            <v>CV of Mr. K. Balaji  - Lead Field Pipeline Engineer</v>
          </cell>
          <cell r="F47">
            <v>1</v>
          </cell>
          <cell r="G47" t="str">
            <v>Code B</v>
          </cell>
        </row>
        <row r="48">
          <cell r="A48" t="str">
            <v>KHF-00-104265-AA-3341-60021-0000-1</v>
          </cell>
          <cell r="B48" t="str">
            <v>KHF_AIP_D_EXT_00036</v>
          </cell>
          <cell r="C48">
            <v>43048</v>
          </cell>
          <cell r="D48" t="str">
            <v>KHF-00-104265-AA-3341-60021-0000</v>
          </cell>
          <cell r="E48" t="str">
            <v>CV of Mr. Nikhlesh Pratap Chand - Construction Engineer Pipeline</v>
          </cell>
          <cell r="F48">
            <v>1</v>
          </cell>
          <cell r="G48" t="str">
            <v>Code D</v>
          </cell>
        </row>
        <row r="49">
          <cell r="A49" t="str">
            <v>KHF-00-104265-AA-3341-60010-0000-1</v>
          </cell>
          <cell r="B49" t="str">
            <v>KHF_AIP_D_EXT_00037</v>
          </cell>
          <cell r="C49">
            <v>43052</v>
          </cell>
          <cell r="D49" t="str">
            <v>KHF-00-104265-AA-3341-60010-0000</v>
          </cell>
          <cell r="E49" t="str">
            <v>CV of  Mr. Ayyapan  Venkatesan - Project Controls/Planning Manager</v>
          </cell>
          <cell r="F49">
            <v>1</v>
          </cell>
          <cell r="G49" t="str">
            <v>Code A</v>
          </cell>
        </row>
        <row r="50">
          <cell r="A50" t="str">
            <v>---</v>
          </cell>
          <cell r="B50" t="str">
            <v>KHF_AIP_D_EXT_00038</v>
          </cell>
          <cell r="C50">
            <v>43052</v>
          </cell>
          <cell r="D50" t="str">
            <v>-</v>
          </cell>
          <cell r="E50" t="str">
            <v>AFC Drawings</v>
          </cell>
          <cell r="F50" t="str">
            <v>-</v>
          </cell>
          <cell r="G50" t="str">
            <v>Total 14 drawings</v>
          </cell>
        </row>
        <row r="51">
          <cell r="A51" t="str">
            <v>KHF-00-104265-AA-3341-60018-0000-1</v>
          </cell>
          <cell r="B51" t="str">
            <v>KHF_AIP_D_EXT_00039</v>
          </cell>
          <cell r="C51">
            <v>43053</v>
          </cell>
          <cell r="D51" t="str">
            <v>KHF-00-104265-AA-3341-60018-0000</v>
          </cell>
          <cell r="E51" t="str">
            <v>CV of Mr. Kamraj Janakiraman - Construction Engineer - Electrical</v>
          </cell>
          <cell r="F51">
            <v>1</v>
          </cell>
          <cell r="G51" t="str">
            <v>Code D</v>
          </cell>
        </row>
        <row r="52">
          <cell r="A52" t="str">
            <v>KHF-00-104265-AA-3341-60022-0000-1</v>
          </cell>
          <cell r="B52" t="str">
            <v>KHF_AIP_D_EXT_00040</v>
          </cell>
          <cell r="C52">
            <v>43053</v>
          </cell>
          <cell r="D52" t="str">
            <v>KHF-00-104265-AA-3341-60022-0000</v>
          </cell>
          <cell r="E52" t="str">
            <v>CV of Mr. S. Mohan - Piping Engineer</v>
          </cell>
          <cell r="F52">
            <v>1</v>
          </cell>
          <cell r="G52" t="str">
            <v>Code B</v>
          </cell>
        </row>
        <row r="53">
          <cell r="A53" t="str">
            <v>KHF-00-104265-AA-3341-60023-0000-1</v>
          </cell>
          <cell r="B53" t="str">
            <v>KHF_AIP_D_EXT_00040</v>
          </cell>
          <cell r="C53">
            <v>43053</v>
          </cell>
          <cell r="D53" t="str">
            <v>KHF-00-104265-AA-3341-60023-0000</v>
          </cell>
          <cell r="E53" t="str">
            <v>CV of Mr. Sivakumar Gunaseelan - Piping Engineer</v>
          </cell>
          <cell r="F53">
            <v>1</v>
          </cell>
          <cell r="G53" t="str">
            <v>Code B</v>
          </cell>
        </row>
        <row r="54">
          <cell r="A54" t="str">
            <v>KHF-00-104265-FA-5804-10027-0000-1</v>
          </cell>
          <cell r="B54" t="str">
            <v>KHF_AIP_D_EXT_00041</v>
          </cell>
          <cell r="C54">
            <v>43054</v>
          </cell>
          <cell r="D54" t="str">
            <v>KHF-00-104265-FA-5804-10027-0000</v>
          </cell>
          <cell r="E54" t="str">
            <v>Project Event Calendar</v>
          </cell>
          <cell r="F54">
            <v>1</v>
          </cell>
          <cell r="G54" t="str">
            <v>Code B</v>
          </cell>
        </row>
        <row r="55">
          <cell r="A55" t="str">
            <v>KHF-00-104265-AA-3341-60030-0000-1</v>
          </cell>
          <cell r="B55" t="str">
            <v>KHF_AIP_D_EXT_00042</v>
          </cell>
          <cell r="C55">
            <v>43054</v>
          </cell>
          <cell r="D55" t="str">
            <v>KHF-00-104265-AA-3341-60030-0000</v>
          </cell>
          <cell r="E55" t="str">
            <v>CV of Mr. Sulaiman Hamed Al Suleimani - Contract Manager (for Stage 01 only)</v>
          </cell>
          <cell r="F55">
            <v>1</v>
          </cell>
          <cell r="G55" t="str">
            <v>Code A</v>
          </cell>
        </row>
        <row r="56">
          <cell r="A56" t="str">
            <v>KHF-00-104265-AA-5768-10028-0000-1</v>
          </cell>
          <cell r="B56" t="str">
            <v>KHF_AIP_D_EXT_00043</v>
          </cell>
          <cell r="C56">
            <v>43054</v>
          </cell>
          <cell r="D56" t="str">
            <v>KHF-00-104265-AA-5768-10028-0000</v>
          </cell>
          <cell r="E56" t="str">
            <v>Risk Management Plan and Strategies</v>
          </cell>
          <cell r="F56">
            <v>1</v>
          </cell>
          <cell r="G56" t="str">
            <v>Code D</v>
          </cell>
        </row>
        <row r="57">
          <cell r="A57" t="str">
            <v>KHF-00-104265-AA-5804-10016-0000-1</v>
          </cell>
          <cell r="B57" t="str">
            <v>KHF_AIP_D_EXT_00044</v>
          </cell>
          <cell r="C57">
            <v>43054</v>
          </cell>
          <cell r="D57" t="str">
            <v>KHF-00-104265-AA-5804-10016-0000</v>
          </cell>
          <cell r="E57" t="str">
            <v>Third Party Approval &amp; Consents Matrix &amp; Schedule</v>
          </cell>
          <cell r="F57">
            <v>1</v>
          </cell>
          <cell r="G57" t="str">
            <v>Code B</v>
          </cell>
        </row>
        <row r="58">
          <cell r="A58" t="str">
            <v>KHF-00-104265-AA-5880-10003-0000-1</v>
          </cell>
          <cell r="B58" t="str">
            <v>KHF_AIP_D_EXT_00045</v>
          </cell>
          <cell r="C58">
            <v>43054</v>
          </cell>
          <cell r="D58" t="str">
            <v>KHF-00-104265-AA-5880-10003-0000</v>
          </cell>
          <cell r="E58" t="str">
            <v>Contractor Mobilization Plan</v>
          </cell>
          <cell r="F58">
            <v>1</v>
          </cell>
          <cell r="G58" t="str">
            <v>Code D</v>
          </cell>
        </row>
        <row r="59">
          <cell r="A59" t="str">
            <v>KHF-00-104265-VA-6047-10006-0000-1</v>
          </cell>
          <cell r="B59" t="str">
            <v>KHF_AIP_D_EXT_00046</v>
          </cell>
          <cell r="C59">
            <v>43058</v>
          </cell>
          <cell r="D59" t="str">
            <v>KHF-00-104265-VA-6047-10006-0000</v>
          </cell>
          <cell r="E59" t="str">
            <v>Contract Procurement Plan</v>
          </cell>
          <cell r="F59">
            <v>1</v>
          </cell>
          <cell r="G59" t="str">
            <v>Code B</v>
          </cell>
        </row>
        <row r="60">
          <cell r="A60" t="str">
            <v>KHF-00-104265-VA-5880-10031-0000-1</v>
          </cell>
          <cell r="B60" t="str">
            <v>KHF_AIP_D_EXT_00047</v>
          </cell>
          <cell r="C60">
            <v>43058</v>
          </cell>
          <cell r="D60" t="str">
            <v>KHF-00-104265-VA-5880-10031-0000</v>
          </cell>
          <cell r="E60" t="str">
            <v>Procurement Matrix for Critical &amp; Long Lead items for Camp Construction work</v>
          </cell>
          <cell r="F60">
            <v>1</v>
          </cell>
          <cell r="G60" t="str">
            <v>Code B</v>
          </cell>
        </row>
        <row r="61">
          <cell r="A61">
            <v>0</v>
          </cell>
          <cell r="B61" t="str">
            <v>KHF_AIP_D_EXT_00048</v>
          </cell>
          <cell r="C61">
            <v>43058</v>
          </cell>
          <cell r="D61" t="str">
            <v>KHF-00-104265-AA-3341-60009-0000</v>
          </cell>
          <cell r="E61" t="str">
            <v>CV of Mr. Abeeth Abdul Rasak  - Procurement Manager</v>
          </cell>
          <cell r="F61" t="str">
            <v>-</v>
          </cell>
          <cell r="G61" t="str">
            <v>cancelled</v>
          </cell>
        </row>
        <row r="62">
          <cell r="A62" t="str">
            <v>---</v>
          </cell>
          <cell r="B62" t="str">
            <v>KHF_AIP_D_EXT_00049</v>
          </cell>
          <cell r="C62">
            <v>43059</v>
          </cell>
          <cell r="D62" t="str">
            <v>-</v>
          </cell>
          <cell r="E62" t="str">
            <v>AFC Drawings</v>
          </cell>
          <cell r="F62" t="str">
            <v>-</v>
          </cell>
          <cell r="G62" t="str">
            <v>Total 116 drawings</v>
          </cell>
        </row>
        <row r="63">
          <cell r="A63" t="str">
            <v>KHF-00-104265-AA-3341-60017-0000-1</v>
          </cell>
          <cell r="B63" t="str">
            <v>KHF_AIP_D_EXT_00050</v>
          </cell>
          <cell r="C63">
            <v>43060</v>
          </cell>
          <cell r="D63" t="str">
            <v>KHF-00-104265-AA-3341-60017-0000</v>
          </cell>
          <cell r="E63" t="str">
            <v>CV of  Mr. Tara Sankar Rath - Civil Engineer</v>
          </cell>
          <cell r="F63">
            <v>1</v>
          </cell>
          <cell r="G63" t="str">
            <v>Code A</v>
          </cell>
        </row>
        <row r="64">
          <cell r="A64" t="str">
            <v>KHF-00-104265-AA-3341-60025-0000-1</v>
          </cell>
          <cell r="B64" t="str">
            <v>KHF_AIP_D_EXT_00051</v>
          </cell>
          <cell r="C64">
            <v>43060</v>
          </cell>
          <cell r="D64" t="str">
            <v>KHF-00-104265-AA-3341-60025-0000</v>
          </cell>
          <cell r="E64" t="str">
            <v>CV of Mr. Anil Kumar Singh - Pre Commissioning Engineer</v>
          </cell>
          <cell r="F64">
            <v>1</v>
          </cell>
          <cell r="G64" t="str">
            <v>Code B</v>
          </cell>
        </row>
        <row r="65">
          <cell r="A65" t="str">
            <v>KHF-00-104265-AA-3341-60029-0000-1</v>
          </cell>
          <cell r="B65" t="str">
            <v>KHF_AIP_D_EXT_00052</v>
          </cell>
          <cell r="C65">
            <v>43060</v>
          </cell>
          <cell r="D65" t="str">
            <v>KHF-00-104265-AA-3341-60029-0000</v>
          </cell>
          <cell r="E65" t="str">
            <v>CV of Mr. Radjeshbabu - Flawless Start-up Project Coordinator</v>
          </cell>
          <cell r="F65">
            <v>1</v>
          </cell>
          <cell r="G65" t="str">
            <v>Code A</v>
          </cell>
        </row>
        <row r="66">
          <cell r="A66" t="str">
            <v>KHF-00-104265-AA-3341-60034-0000-1</v>
          </cell>
          <cell r="B66" t="str">
            <v>KHF_AIP_D_EXT_00053</v>
          </cell>
          <cell r="C66">
            <v>43060</v>
          </cell>
          <cell r="D66" t="str">
            <v>KHF-00-104265-AA-3341-60034-0000</v>
          </cell>
          <cell r="E66" t="str">
            <v>CV of Mr. Humood Mubarak Humood Al  Moqbali - ICV Manager</v>
          </cell>
          <cell r="F66">
            <v>1</v>
          </cell>
          <cell r="G66" t="str">
            <v>Code B</v>
          </cell>
        </row>
        <row r="67">
          <cell r="A67" t="str">
            <v>KHF-00-104265-AA-3341-60031-0000-1</v>
          </cell>
          <cell r="B67" t="str">
            <v>KHF_AIP_D_EXT_00054</v>
          </cell>
          <cell r="C67">
            <v>43061</v>
          </cell>
          <cell r="D67" t="str">
            <v>KHF-00-104265-AA-3341-60031-0000</v>
          </cell>
          <cell r="E67" t="str">
            <v>CV of Mr. Arun Babu E - Piping Engineer</v>
          </cell>
          <cell r="F67">
            <v>1</v>
          </cell>
          <cell r="G67" t="str">
            <v>Code D</v>
          </cell>
        </row>
        <row r="68">
          <cell r="A68" t="str">
            <v>KHF-00-104265-AA-3341-60032-0000-1</v>
          </cell>
          <cell r="B68" t="str">
            <v>KHF_AIP_D_EXT_00055</v>
          </cell>
          <cell r="C68">
            <v>43061</v>
          </cell>
          <cell r="D68" t="str">
            <v>KHF-00-104265-AA-3341-60032-0000</v>
          </cell>
          <cell r="E68" t="str">
            <v>CV of Mr. S.Samuel Hamilton - Piping Engineer</v>
          </cell>
          <cell r="F68">
            <v>1</v>
          </cell>
          <cell r="G68" t="str">
            <v>Code D</v>
          </cell>
        </row>
        <row r="69">
          <cell r="A69" t="str">
            <v>KHF-00-000000-AA-6627-00001-0000-1</v>
          </cell>
          <cell r="B69" t="str">
            <v>KHF_AIP_D_EXT_00056</v>
          </cell>
          <cell r="C69">
            <v>43061</v>
          </cell>
          <cell r="D69" t="str">
            <v>KHF-00-000000-AA-6627-00001-0000</v>
          </cell>
          <cell r="E69" t="str">
            <v>Non - AFC status Information only documents for 132 KV building</v>
          </cell>
          <cell r="F69">
            <v>1</v>
          </cell>
          <cell r="G69" t="str">
            <v>IFI</v>
          </cell>
        </row>
        <row r="70">
          <cell r="A70" t="str">
            <v>KHF-00-104265-AA-3341-60035-0000-1</v>
          </cell>
          <cell r="B70" t="str">
            <v>KHF_AIP_D_EXT_00057</v>
          </cell>
          <cell r="C70">
            <v>43062</v>
          </cell>
          <cell r="D70" t="str">
            <v>KHF-00-104265-AA-3341-60035-0000</v>
          </cell>
          <cell r="E70" t="str">
            <v>CV of Mr. A.M.Ansari - Lead Field Pipeline Engineer</v>
          </cell>
          <cell r="F70">
            <v>1</v>
          </cell>
          <cell r="G70" t="str">
            <v>Code D</v>
          </cell>
        </row>
        <row r="71">
          <cell r="A71" t="str">
            <v>---</v>
          </cell>
          <cell r="B71" t="str">
            <v>KHF_AIP_D_EXT_00058</v>
          </cell>
          <cell r="C71">
            <v>43067</v>
          </cell>
          <cell r="D71" t="str">
            <v>-</v>
          </cell>
          <cell r="E71" t="str">
            <v>AFC Drawings</v>
          </cell>
          <cell r="F71" t="str">
            <v>-</v>
          </cell>
          <cell r="G71" t="str">
            <v>Total 05 drawings</v>
          </cell>
        </row>
        <row r="72">
          <cell r="A72" t="str">
            <v>KHF-00-104265-QA-5798-10009-0000-1</v>
          </cell>
          <cell r="B72" t="str">
            <v>KHF_AIP_D_EXT_00059</v>
          </cell>
          <cell r="C72">
            <v>43067</v>
          </cell>
          <cell r="D72" t="str">
            <v>KHF-00-104265-QA-5798-10009-0000</v>
          </cell>
          <cell r="E72" t="str">
            <v>Contract Quality Plan</v>
          </cell>
          <cell r="F72">
            <v>1</v>
          </cell>
          <cell r="G72" t="str">
            <v>Code D</v>
          </cell>
        </row>
        <row r="73">
          <cell r="A73" t="str">
            <v>KHF-00-104265-AA-3341-60036-0000-1</v>
          </cell>
          <cell r="B73" t="str">
            <v>KHF_AIP_D_EXT_00060</v>
          </cell>
          <cell r="C73">
            <v>43068</v>
          </cell>
          <cell r="D73" t="str">
            <v>KHF-00-104265-AA-3341-60036-0000</v>
          </cell>
          <cell r="E73" t="str">
            <v>CV of  Mr. Pratikkumar Chimanlal Patel - Industrial Hygienist</v>
          </cell>
          <cell r="F73">
            <v>1</v>
          </cell>
          <cell r="G73" t="str">
            <v>Code A</v>
          </cell>
        </row>
        <row r="74">
          <cell r="A74" t="str">
            <v>KHF-00-104265-HS-5798-10033-0000-1</v>
          </cell>
          <cell r="B74" t="str">
            <v>KHF_AIP_D_EXT_00061</v>
          </cell>
          <cell r="C74">
            <v>43068</v>
          </cell>
          <cell r="D74" t="str">
            <v>KHF-00-104265-HS-5798-10033-0000</v>
          </cell>
          <cell r="E74" t="str">
            <v>Site Security Plan</v>
          </cell>
          <cell r="F74">
            <v>1</v>
          </cell>
          <cell r="G74" t="str">
            <v>Code B</v>
          </cell>
        </row>
        <row r="75">
          <cell r="A75" t="str">
            <v>KHF-00-104265-HX-5798-10004-0000-2</v>
          </cell>
          <cell r="B75" t="str">
            <v>KHF_AIP_D_EXT_00062</v>
          </cell>
          <cell r="C75">
            <v>43075</v>
          </cell>
          <cell r="D75" t="str">
            <v>KHF-00-104265-HX-5798-10004-0000</v>
          </cell>
          <cell r="E75" t="str">
            <v>Contract HSE Plan</v>
          </cell>
          <cell r="F75">
            <v>2</v>
          </cell>
          <cell r="G75" t="str">
            <v>Code B</v>
          </cell>
        </row>
        <row r="76">
          <cell r="A76" t="str">
            <v>KHF-00-104265-QA-6050-31001-0000-1</v>
          </cell>
          <cell r="B76" t="str">
            <v>KHF_AIP_D_EXT_00063</v>
          </cell>
          <cell r="C76">
            <v>43075</v>
          </cell>
          <cell r="D76" t="str">
            <v>KHF-00-104265-QA-6050-31001-0000</v>
          </cell>
          <cell r="E76" t="str">
            <v>Quality Control Procedure - Cube Making and Slump Testing</v>
          </cell>
          <cell r="F76">
            <v>1</v>
          </cell>
          <cell r="G76" t="str">
            <v>Code A</v>
          </cell>
        </row>
        <row r="77">
          <cell r="A77" t="str">
            <v>KHF-00-104265-QA-6050-31002-0000-1</v>
          </cell>
          <cell r="B77" t="str">
            <v>KHF_AIP_D_EXT_00063</v>
          </cell>
          <cell r="C77">
            <v>43075</v>
          </cell>
          <cell r="D77" t="str">
            <v>KHF-00-104265-QA-6050-31002-0000</v>
          </cell>
          <cell r="E77" t="str">
            <v>Quality Control Procedure - Setting Out, Excavation Filling and Back Filling</v>
          </cell>
          <cell r="F77">
            <v>1</v>
          </cell>
          <cell r="G77" t="str">
            <v>Code A</v>
          </cell>
        </row>
        <row r="78">
          <cell r="A78" t="str">
            <v>KHF-00-104265-QA-5733-21001-0000-1</v>
          </cell>
          <cell r="B78" t="str">
            <v>KHF_AIP_D_EXT_00064</v>
          </cell>
          <cell r="C78">
            <v>43075</v>
          </cell>
          <cell r="D78" t="str">
            <v>KHF-00-104265-QA-5733-21001-0000</v>
          </cell>
          <cell r="E78" t="str">
            <v>Inspection &amp; Test Plan - Concrete Mix Design</v>
          </cell>
          <cell r="F78">
            <v>1</v>
          </cell>
          <cell r="G78" t="str">
            <v>Code A</v>
          </cell>
        </row>
        <row r="79">
          <cell r="A79" t="str">
            <v>KHF-00-104265-QA-6050-31003-0000-1</v>
          </cell>
          <cell r="B79" t="str">
            <v>KHF_AIP_D_EXT_00064</v>
          </cell>
          <cell r="C79">
            <v>43075</v>
          </cell>
          <cell r="D79" t="str">
            <v>KHF-00-104265-QA-6050-31003-0000</v>
          </cell>
          <cell r="E79" t="str">
            <v>Quality Control Procedure - Form work, Reinforcement, Concreting and Grouting Works</v>
          </cell>
          <cell r="F79">
            <v>1</v>
          </cell>
          <cell r="G79" t="str">
            <v>Code B</v>
          </cell>
        </row>
        <row r="80">
          <cell r="A80" t="str">
            <v>KHF-00-104265-QA-6050-31004-0000-1</v>
          </cell>
          <cell r="B80" t="str">
            <v>KHF_AIP_D_EXT_00064</v>
          </cell>
          <cell r="C80">
            <v>43075</v>
          </cell>
          <cell r="D80" t="str">
            <v>KHF-00-104265-QA-6050-31004-0000</v>
          </cell>
          <cell r="E80" t="str">
            <v>Quality Control Procedure - Demolition &amp; Alteration</v>
          </cell>
          <cell r="F80">
            <v>1</v>
          </cell>
          <cell r="G80" t="str">
            <v>Code A</v>
          </cell>
        </row>
        <row r="81">
          <cell r="A81" t="str">
            <v>KHF-00-104265-QA-6050-31005-0000-1</v>
          </cell>
          <cell r="B81" t="str">
            <v>KHF_AIP_D_EXT_00064</v>
          </cell>
          <cell r="C81">
            <v>43075</v>
          </cell>
          <cell r="D81" t="str">
            <v>KHF-00-104265-QA-6050-31005-0000</v>
          </cell>
          <cell r="E81" t="str">
            <v>Quality Control Procedure - Fencing &amp; Gates</v>
          </cell>
          <cell r="F81">
            <v>1</v>
          </cell>
          <cell r="G81" t="str">
            <v>Code A</v>
          </cell>
        </row>
        <row r="82">
          <cell r="A82" t="str">
            <v>KHF-00-104265-QA-6050-31006-0000-1</v>
          </cell>
          <cell r="B82" t="str">
            <v>KHF_AIP_D_EXT_00064</v>
          </cell>
          <cell r="C82">
            <v>43075</v>
          </cell>
          <cell r="D82" t="str">
            <v>KHF-00-104265-QA-6050-31006-0000</v>
          </cell>
          <cell r="E82" t="str">
            <v>Quality Control Procedure - Repair of New Concrete</v>
          </cell>
          <cell r="F82">
            <v>1</v>
          </cell>
          <cell r="G82" t="str">
            <v>Code A</v>
          </cell>
        </row>
        <row r="83">
          <cell r="A83" t="str">
            <v>KHF-00-104265-QA-5733-21006-0000-1</v>
          </cell>
          <cell r="B83" t="str">
            <v>KHF_AIP_D_EXT_00065</v>
          </cell>
          <cell r="C83">
            <v>43075</v>
          </cell>
          <cell r="D83" t="str">
            <v>KHF-00-104265-QA-5733-21006-0000</v>
          </cell>
          <cell r="E83" t="str">
            <v>Inspection &amp; Test Plan - Concrete Works</v>
          </cell>
          <cell r="F83">
            <v>1</v>
          </cell>
          <cell r="G83" t="str">
            <v>Code A</v>
          </cell>
        </row>
        <row r="84">
          <cell r="A84" t="str">
            <v>KHF-00-104265-QA-5733-21007-0000-1</v>
          </cell>
          <cell r="B84" t="str">
            <v>KHF_AIP_D_EXT_00065</v>
          </cell>
          <cell r="C84">
            <v>43075</v>
          </cell>
          <cell r="D84" t="str">
            <v>KHF-00-104265-QA-5733-21007-0000</v>
          </cell>
          <cell r="E84" t="str">
            <v>Inspection &amp; Test Plan - Block Masonry Works</v>
          </cell>
          <cell r="F84">
            <v>1</v>
          </cell>
          <cell r="G84" t="str">
            <v>Code A</v>
          </cell>
        </row>
        <row r="85">
          <cell r="A85" t="str">
            <v>KHF-00-104265-QA-5733-21008-0000-1</v>
          </cell>
          <cell r="B85" t="str">
            <v>KHF_AIP_D_EXT_00066</v>
          </cell>
          <cell r="C85">
            <v>43075</v>
          </cell>
          <cell r="D85" t="str">
            <v>KHF-00-104265-QA-5733-21008-0000</v>
          </cell>
          <cell r="E85" t="str">
            <v>Inspection &amp; Test Plan - Grouting</v>
          </cell>
          <cell r="F85">
            <v>1</v>
          </cell>
          <cell r="G85" t="str">
            <v>Code A</v>
          </cell>
        </row>
        <row r="86">
          <cell r="A86" t="str">
            <v>KHF-00-104265-QA-5733-21009-0000-1</v>
          </cell>
          <cell r="B86" t="str">
            <v>KHF_AIP_D_EXT_00066</v>
          </cell>
          <cell r="C86">
            <v>43075</v>
          </cell>
          <cell r="D86" t="str">
            <v>KHF-00-104265-QA-5733-21009-0000</v>
          </cell>
          <cell r="E86" t="str">
            <v>Inspection &amp; Test Plan - Plastering &amp; Rendering Work</v>
          </cell>
          <cell r="F86">
            <v>1</v>
          </cell>
          <cell r="G86" t="str">
            <v>Code A</v>
          </cell>
        </row>
        <row r="87">
          <cell r="A87" t="str">
            <v>KHF-00-104265-QA-5733-21010-0000-1</v>
          </cell>
          <cell r="B87" t="str">
            <v>KHF_AIP_D_EXT_00066</v>
          </cell>
          <cell r="C87">
            <v>43075</v>
          </cell>
          <cell r="D87" t="str">
            <v>KHF-00-104265-QA-5733-21010-0000</v>
          </cell>
          <cell r="E87" t="str">
            <v>Inspection &amp; Test Plan - Tiling Works</v>
          </cell>
          <cell r="F87">
            <v>1</v>
          </cell>
          <cell r="G87" t="str">
            <v>Code A</v>
          </cell>
        </row>
        <row r="88">
          <cell r="A88" t="str">
            <v>KHF-00-104265-HX-6180-10012-0000-2</v>
          </cell>
          <cell r="B88" t="str">
            <v>KHF_AIP_D_EXT_00067</v>
          </cell>
          <cell r="C88">
            <v>43075</v>
          </cell>
          <cell r="D88" t="str">
            <v>KHF-00-104265-HX-6180-10012-0000</v>
          </cell>
          <cell r="E88" t="str">
            <v>Permit to Work Procedure (Greenfield)</v>
          </cell>
          <cell r="F88">
            <v>2</v>
          </cell>
          <cell r="G88" t="str">
            <v>Code B</v>
          </cell>
        </row>
        <row r="89">
          <cell r="A89" t="str">
            <v>KHF-00-104265-QA-5733-21011-0000-1</v>
          </cell>
          <cell r="B89" t="str">
            <v>KHF_AIP_D_EXT_00068</v>
          </cell>
          <cell r="C89">
            <v>43075</v>
          </cell>
          <cell r="D89" t="str">
            <v>KHF-00-104265-QA-5733-21011-0000</v>
          </cell>
          <cell r="E89" t="str">
            <v>Inspection &amp; Test Plan - Ironmongery, Metal Works &amp; Glazing</v>
          </cell>
          <cell r="F89">
            <v>1</v>
          </cell>
          <cell r="G89" t="str">
            <v>Code A</v>
          </cell>
        </row>
        <row r="90">
          <cell r="A90" t="str">
            <v>KHF-00-104265-QA-5733-21012-0000-1</v>
          </cell>
          <cell r="B90" t="str">
            <v>KHF_AIP_D_EXT_00068</v>
          </cell>
          <cell r="C90">
            <v>43075</v>
          </cell>
          <cell r="D90" t="str">
            <v>KHF-00-104265-QA-5733-21012-0000</v>
          </cell>
          <cell r="E90" t="str">
            <v>Inspection &amp; Test Plan - Carpentry &amp; Joinery Works</v>
          </cell>
          <cell r="F90">
            <v>1</v>
          </cell>
          <cell r="G90" t="str">
            <v>Code A</v>
          </cell>
        </row>
        <row r="91">
          <cell r="A91" t="str">
            <v>KHF-00-104265-QA-5733-21013-0000-1</v>
          </cell>
          <cell r="B91" t="str">
            <v>KHF_AIP_D_EXT_00068</v>
          </cell>
          <cell r="C91">
            <v>43075</v>
          </cell>
          <cell r="D91" t="str">
            <v>KHF-00-104265-QA-5733-21013-0000</v>
          </cell>
          <cell r="E91" t="str">
            <v>Inspection &amp; Test Plan - Roof Waterproofing and Installation</v>
          </cell>
          <cell r="F91">
            <v>1</v>
          </cell>
          <cell r="G91" t="str">
            <v>Code B</v>
          </cell>
        </row>
        <row r="92">
          <cell r="A92" t="str">
            <v>KHF-00-104265-QA-5733-21014-0000-1</v>
          </cell>
          <cell r="B92" t="str">
            <v>KHF_AIP_D_EXT_00068</v>
          </cell>
          <cell r="C92">
            <v>43075</v>
          </cell>
          <cell r="D92" t="str">
            <v>KHF-00-104265-QA-5733-21014-0000</v>
          </cell>
          <cell r="E92" t="str">
            <v>Inspection &amp; Test Plan - Wall, Ceiling and Floor Finishes</v>
          </cell>
          <cell r="F92">
            <v>1</v>
          </cell>
          <cell r="G92" t="str">
            <v>Code A</v>
          </cell>
        </row>
        <row r="93">
          <cell r="A93" t="str">
            <v>KHF-00-104265-QA-5733-21015-0000-1</v>
          </cell>
          <cell r="B93" t="str">
            <v>KHF_AIP_D_EXT_00069</v>
          </cell>
          <cell r="C93">
            <v>43075</v>
          </cell>
          <cell r="D93" t="str">
            <v>KHF-00-104265-QA-5733-21015-0000</v>
          </cell>
          <cell r="E93" t="str">
            <v>Inspection &amp; Test Plan - Plumbing Works</v>
          </cell>
          <cell r="F93">
            <v>1</v>
          </cell>
          <cell r="G93" t="str">
            <v>Code A</v>
          </cell>
        </row>
        <row r="94">
          <cell r="A94" t="str">
            <v>KHF-00-104265-QA-5733-21016-0000-1</v>
          </cell>
          <cell r="B94" t="str">
            <v>KHF_AIP_D_EXT_00069</v>
          </cell>
          <cell r="C94">
            <v>43075</v>
          </cell>
          <cell r="D94" t="str">
            <v>KHF-00-104265-QA-5733-21016-0000</v>
          </cell>
          <cell r="E94" t="str">
            <v>Inspection &amp; Test Plan - Fencing &amp; Gates</v>
          </cell>
          <cell r="F94">
            <v>1</v>
          </cell>
          <cell r="G94" t="str">
            <v>Code A</v>
          </cell>
        </row>
        <row r="95">
          <cell r="A95" t="str">
            <v>KHF-00-104265-QA-6050-32001-0000-1</v>
          </cell>
          <cell r="B95" t="str">
            <v>KHF_AIP_D_EXT_00070</v>
          </cell>
          <cell r="C95">
            <v>43075</v>
          </cell>
          <cell r="D95" t="str">
            <v>KHF-00-104265-QA-6050-32001-0000</v>
          </cell>
          <cell r="E95" t="str">
            <v>Quality Control Procedure for Receiving Inspection</v>
          </cell>
          <cell r="F95">
            <v>1</v>
          </cell>
          <cell r="G95" t="str">
            <v>Code A</v>
          </cell>
        </row>
        <row r="96">
          <cell r="A96" t="str">
            <v>KHF-00-104265-QA-6050-32002-0000-1</v>
          </cell>
          <cell r="B96" t="str">
            <v>KHF_AIP_D_EXT_00070</v>
          </cell>
          <cell r="C96">
            <v>43075</v>
          </cell>
          <cell r="D96" t="str">
            <v>KHF-00-104265-QA-6050-32002-0000</v>
          </cell>
          <cell r="E96" t="str">
            <v>Quality Control Procedure for Inspection for Surface Preparation Mixing and Painting</v>
          </cell>
          <cell r="F96">
            <v>1</v>
          </cell>
          <cell r="G96" t="str">
            <v>Code B</v>
          </cell>
        </row>
        <row r="97">
          <cell r="A97" t="str">
            <v>KHF-00-104265-BA-6070-41001-0000-1</v>
          </cell>
          <cell r="B97" t="str">
            <v>KHF_AIP_D_EXT_00071</v>
          </cell>
          <cell r="C97">
            <v>43075</v>
          </cell>
          <cell r="D97" t="str">
            <v>KHF-00-104265-BA-6070-41001-0000</v>
          </cell>
          <cell r="E97" t="str">
            <v>METHOD STATEMENT FOR FOUNDATION EXCAVATION, DISPOSAL &amp; BACKFILLING</v>
          </cell>
          <cell r="F97">
            <v>1</v>
          </cell>
          <cell r="G97" t="str">
            <v>Code B</v>
          </cell>
        </row>
        <row r="98">
          <cell r="A98" t="str">
            <v>---</v>
          </cell>
          <cell r="B98" t="str">
            <v>KHF_AIP_D_EXT_00072</v>
          </cell>
          <cell r="C98">
            <v>43076</v>
          </cell>
          <cell r="D98" t="str">
            <v>-</v>
          </cell>
          <cell r="E98" t="str">
            <v>AFC Drawings</v>
          </cell>
          <cell r="F98" t="str">
            <v>-</v>
          </cell>
          <cell r="G98" t="str">
            <v>Total 20 drawings</v>
          </cell>
        </row>
        <row r="99">
          <cell r="A99" t="str">
            <v>KHF-00-104265-QA-5733-21017-0000-1</v>
          </cell>
          <cell r="B99" t="str">
            <v>KHF_AIP_D_EXT_00073</v>
          </cell>
          <cell r="C99">
            <v>43079</v>
          </cell>
          <cell r="D99" t="str">
            <v>KHF-00-104265-QA-5733-21017-0000</v>
          </cell>
          <cell r="E99" t="str">
            <v>Inspection &amp; Test Plan for Graded Road Works</v>
          </cell>
          <cell r="F99">
            <v>1</v>
          </cell>
          <cell r="G99" t="str">
            <v>Code B</v>
          </cell>
        </row>
        <row r="100">
          <cell r="A100" t="str">
            <v>KHF-00-104265-QA-5733-21018-0000-1</v>
          </cell>
          <cell r="B100" t="str">
            <v>KHF_AIP_D_EXT_00074</v>
          </cell>
          <cell r="C100">
            <v>43079</v>
          </cell>
          <cell r="D100" t="str">
            <v>KHF-00-104265-QA-5733-21018-0000</v>
          </cell>
          <cell r="E100" t="str">
            <v>Inspection &amp; Test Plan for Service Trench - Pipeline Construction</v>
          </cell>
          <cell r="F100">
            <v>1</v>
          </cell>
          <cell r="G100" t="str">
            <v>Code B</v>
          </cell>
        </row>
        <row r="101">
          <cell r="A101" t="str">
            <v>KHF-00-104265-QA-5733-21019-0000-1</v>
          </cell>
          <cell r="B101" t="str">
            <v>KHF_AIP_D_EXT_00074</v>
          </cell>
          <cell r="C101">
            <v>43079</v>
          </cell>
          <cell r="D101" t="str">
            <v>KHF-00-104265-QA-5733-21019-0000</v>
          </cell>
          <cell r="E101" t="str">
            <v>Inspection &amp; Test Plan for Service Trench - Electrical &amp; Instrumentation Works</v>
          </cell>
          <cell r="F101">
            <v>1</v>
          </cell>
          <cell r="G101" t="str">
            <v>Code B</v>
          </cell>
        </row>
        <row r="102">
          <cell r="A102" t="str">
            <v>KHF-00-104265-QA-5733-21020-0000-1</v>
          </cell>
          <cell r="B102" t="str">
            <v>KHF_AIP_D_EXT_00075</v>
          </cell>
          <cell r="C102">
            <v>43079</v>
          </cell>
          <cell r="D102" t="str">
            <v>KHF-00-104265-QA-5733-21020-0000</v>
          </cell>
          <cell r="E102" t="str">
            <v>Inspection &amp; Test Plan for Paving Works</v>
          </cell>
          <cell r="F102">
            <v>1</v>
          </cell>
          <cell r="G102" t="str">
            <v>Code B</v>
          </cell>
        </row>
        <row r="103">
          <cell r="A103" t="str">
            <v>---</v>
          </cell>
          <cell r="B103" t="str">
            <v>KHF_AIP_D_EXT_00076</v>
          </cell>
          <cell r="C103">
            <v>43081</v>
          </cell>
          <cell r="D103" t="str">
            <v>-</v>
          </cell>
          <cell r="E103" t="str">
            <v>AFC Drawings</v>
          </cell>
          <cell r="F103" t="str">
            <v>-</v>
          </cell>
          <cell r="G103" t="str">
            <v>Total 21 drawings</v>
          </cell>
        </row>
        <row r="104">
          <cell r="A104" t="str">
            <v>KHF-00-104265-CX-4180-00309-0001-1</v>
          </cell>
          <cell r="B104" t="str">
            <v>KHF_AIP_D_EXT_00077</v>
          </cell>
          <cell r="C104">
            <v>43081</v>
          </cell>
          <cell r="D104" t="str">
            <v>KHF-00-104265-CX-4180-00309-0001</v>
          </cell>
          <cell r="E104" t="str">
            <v>Site Office Layout</v>
          </cell>
          <cell r="F104">
            <v>1</v>
          </cell>
          <cell r="G104" t="str">
            <v>Code D</v>
          </cell>
        </row>
        <row r="105">
          <cell r="A105" t="str">
            <v>---</v>
          </cell>
          <cell r="B105" t="str">
            <v>KHF_AIP_D_EXT_00078</v>
          </cell>
          <cell r="C105">
            <v>43082</v>
          </cell>
          <cell r="D105" t="str">
            <v>-</v>
          </cell>
          <cell r="E105" t="str">
            <v>AFC Drawings</v>
          </cell>
          <cell r="F105" t="str">
            <v>-</v>
          </cell>
          <cell r="G105" t="str">
            <v>Total 03 drawings</v>
          </cell>
        </row>
        <row r="106">
          <cell r="A106" t="str">
            <v>KHF-00-104265-AA-3341-60038-0000-1</v>
          </cell>
          <cell r="B106" t="str">
            <v>KHF_AIP_D_EXT_00079</v>
          </cell>
          <cell r="C106">
            <v>43083</v>
          </cell>
          <cell r="D106" t="str">
            <v>KHF-00-104265-AA-3341-60038-0000</v>
          </cell>
          <cell r="E106" t="str">
            <v>CV of  Mr. Manoj Erinhippurath - Completion Engineer</v>
          </cell>
          <cell r="F106">
            <v>1</v>
          </cell>
          <cell r="G106" t="str">
            <v>Code D</v>
          </cell>
        </row>
        <row r="107">
          <cell r="A107" t="str">
            <v>KHF-00-104265-QA-5733-21002-0000-1</v>
          </cell>
          <cell r="B107" t="str">
            <v>KHF_AIP_D_EXT_00080</v>
          </cell>
          <cell r="C107">
            <v>43083</v>
          </cell>
          <cell r="D107" t="str">
            <v>KHF-00-104265-QA-5733-21002-0000</v>
          </cell>
          <cell r="E107" t="str">
            <v>Inspection &amp; Test Plan - Demolition and Alteration</v>
          </cell>
          <cell r="F107">
            <v>1</v>
          </cell>
          <cell r="G107" t="str">
            <v>Code D</v>
          </cell>
        </row>
        <row r="108">
          <cell r="A108" t="str">
            <v>KHF-00-104265-VA-6036-10008-0000-1</v>
          </cell>
          <cell r="B108" t="str">
            <v>KHF_AIP_D_EXT_00081</v>
          </cell>
          <cell r="C108">
            <v>43083</v>
          </cell>
          <cell r="D108" t="str">
            <v>KHF-00-104265-VA-6036-10008-0000</v>
          </cell>
          <cell r="E108" t="str">
            <v>Material Control Procedure</v>
          </cell>
          <cell r="F108">
            <v>1</v>
          </cell>
          <cell r="G108" t="str">
            <v>Code D</v>
          </cell>
        </row>
        <row r="109">
          <cell r="A109" t="str">
            <v>KHF-00-104265-QA-6050-32003-0000-1</v>
          </cell>
          <cell r="B109" t="str">
            <v>KHF_AIP_D_EXT_00082</v>
          </cell>
          <cell r="C109">
            <v>43086</v>
          </cell>
          <cell r="D109" t="str">
            <v>KHF-00-104265-QA-6050-32003-0000</v>
          </cell>
          <cell r="E109" t="str">
            <v>Quality Control Procedure for Handling &amp; Stringing of Line Pipes</v>
          </cell>
          <cell r="F109">
            <v>1</v>
          </cell>
          <cell r="G109" t="str">
            <v>Code A</v>
          </cell>
        </row>
        <row r="110">
          <cell r="A110" t="str">
            <v>---</v>
          </cell>
          <cell r="B110" t="str">
            <v>KHF_AIP_D_EXT_00083</v>
          </cell>
          <cell r="C110">
            <v>43086</v>
          </cell>
          <cell r="D110" t="str">
            <v>-</v>
          </cell>
          <cell r="E110" t="str">
            <v>AFC Drawings</v>
          </cell>
          <cell r="F110" t="str">
            <v>-</v>
          </cell>
          <cell r="G110" t="str">
            <v>Total 11 drawings</v>
          </cell>
        </row>
        <row r="111">
          <cell r="A111" t="str">
            <v>KHF-00-104265-QA-5733-21003-0000-1</v>
          </cell>
          <cell r="B111" t="str">
            <v>KHF_AIP_D_EXT_00084</v>
          </cell>
          <cell r="C111">
            <v>43087</v>
          </cell>
          <cell r="D111" t="str">
            <v>KHF-00-104265-QA-5733-21003-0000</v>
          </cell>
          <cell r="E111" t="str">
            <v>Inspection &amp; Test Plan - Setting out and Survey</v>
          </cell>
          <cell r="F111">
            <v>1</v>
          </cell>
          <cell r="G111" t="str">
            <v>Code C</v>
          </cell>
        </row>
        <row r="112">
          <cell r="A112" t="str">
            <v>---</v>
          </cell>
          <cell r="B112" t="str">
            <v>KHF_AIP_D_EXT_00085</v>
          </cell>
          <cell r="C112">
            <v>43087</v>
          </cell>
          <cell r="D112" t="str">
            <v>-</v>
          </cell>
          <cell r="E112" t="str">
            <v>AFC Drawings</v>
          </cell>
          <cell r="F112" t="str">
            <v>-</v>
          </cell>
          <cell r="G112" t="str">
            <v>Total 26 drawings</v>
          </cell>
        </row>
        <row r="113">
          <cell r="A113" t="str">
            <v>KHF-00-104265-QA-5733-21004-0000-1</v>
          </cell>
          <cell r="B113" t="str">
            <v>KHF_AIP_D_EXT_00086</v>
          </cell>
          <cell r="C113">
            <v>43087</v>
          </cell>
          <cell r="D113" t="str">
            <v>KHF-00-104265-QA-5733-21004-0000</v>
          </cell>
          <cell r="E113" t="str">
            <v>Inspection &amp; Test Plan - Excavation</v>
          </cell>
          <cell r="F113">
            <v>1</v>
          </cell>
          <cell r="G113" t="str">
            <v>Code B</v>
          </cell>
        </row>
        <row r="114">
          <cell r="A114" t="str">
            <v>KHF-00-104265-QA-5733-21005-0000-1</v>
          </cell>
          <cell r="B114" t="str">
            <v>KHF_AIP_D_EXT_00086</v>
          </cell>
          <cell r="C114">
            <v>43087</v>
          </cell>
          <cell r="D114" t="str">
            <v>KHF-00-104265-QA-5733-21005-0000</v>
          </cell>
          <cell r="E114" t="str">
            <v>Inspection &amp; Test Plan - Fill and Backfill</v>
          </cell>
          <cell r="F114">
            <v>1</v>
          </cell>
          <cell r="G114" t="str">
            <v>Code B</v>
          </cell>
        </row>
        <row r="115">
          <cell r="A115" t="str">
            <v>KHF-00-104265-QA-5733-21013-0000-2</v>
          </cell>
          <cell r="B115" t="str">
            <v>KHF_AIP_D_EXT_00087</v>
          </cell>
          <cell r="C115">
            <v>43087</v>
          </cell>
          <cell r="D115" t="str">
            <v>KHF-00-104265-QA-5733-21013-0000</v>
          </cell>
          <cell r="E115" t="str">
            <v>Inspection &amp; Test Plan for Roof Water Proofing and Installation</v>
          </cell>
          <cell r="F115">
            <v>2</v>
          </cell>
          <cell r="G115" t="str">
            <v>Code A</v>
          </cell>
        </row>
        <row r="116">
          <cell r="A116" t="str">
            <v>KHF-00-104265-QA-5733-21017-0000-2</v>
          </cell>
          <cell r="B116" t="str">
            <v>KHF_AIP_D_EXT_00087</v>
          </cell>
          <cell r="C116">
            <v>43087</v>
          </cell>
          <cell r="D116" t="str">
            <v>KHF-00-104265-QA-5733-21017-0000</v>
          </cell>
          <cell r="E116" t="str">
            <v>Inspection &amp; Test Plan for Graded Road Works</v>
          </cell>
          <cell r="F116">
            <v>2</v>
          </cell>
          <cell r="G116" t="str">
            <v>Code B</v>
          </cell>
        </row>
        <row r="117">
          <cell r="A117" t="str">
            <v>KHF-00-104265-QA-5733-21019-0000-2</v>
          </cell>
          <cell r="B117" t="str">
            <v>KHF_AIP_D_EXT_00087</v>
          </cell>
          <cell r="C117">
            <v>43087</v>
          </cell>
          <cell r="D117" t="str">
            <v>KHF-00-104265-QA-5733-21019-0000</v>
          </cell>
          <cell r="E117" t="str">
            <v>Inspection &amp; Test Plan for Service Trench - Electrical &amp; Instrumentation Works</v>
          </cell>
          <cell r="F117">
            <v>2</v>
          </cell>
          <cell r="G117" t="str">
            <v>Code A</v>
          </cell>
        </row>
        <row r="118">
          <cell r="A118" t="str">
            <v>KHF-00-104265-QA-5733-21020-0000-2</v>
          </cell>
          <cell r="B118" t="str">
            <v>KHF_AIP_D_EXT_00087</v>
          </cell>
          <cell r="C118">
            <v>43087</v>
          </cell>
          <cell r="D118" t="str">
            <v>KHF-00-104265-QA-5733-21020-0000</v>
          </cell>
          <cell r="E118" t="str">
            <v>Inspection &amp; Test Plan for Paving Works</v>
          </cell>
          <cell r="F118">
            <v>2</v>
          </cell>
          <cell r="G118" t="str">
            <v>Code A</v>
          </cell>
        </row>
        <row r="119">
          <cell r="A119" t="str">
            <v>KHF-00-104265-RA-8241-51007-0000-1</v>
          </cell>
          <cell r="B119" t="str">
            <v>KHF_AIP_D_EXT_00088</v>
          </cell>
          <cell r="C119">
            <v>43093</v>
          </cell>
          <cell r="D119" t="str">
            <v>KHF-00-104265-RA-8241-51007-0000</v>
          </cell>
          <cell r="E119" t="str">
            <v>Material Approval Sheet for Concrete C-35 and C-10</v>
          </cell>
          <cell r="F119">
            <v>1</v>
          </cell>
          <cell r="G119" t="str">
            <v>Code B</v>
          </cell>
        </row>
        <row r="120">
          <cell r="A120" t="str">
            <v>KHF-00-104265-AA-3341-60009-0000--</v>
          </cell>
          <cell r="B120" t="str">
            <v>KHF_AIP_D_EXT_00089</v>
          </cell>
          <cell r="C120">
            <v>43095</v>
          </cell>
          <cell r="D120" t="str">
            <v>KHF-00-104265-AA-3341-60009-0000</v>
          </cell>
          <cell r="E120" t="str">
            <v>CV of Mr. Abeeth Abdul Rasak  - Procurement Manager</v>
          </cell>
          <cell r="F120" t="str">
            <v>-</v>
          </cell>
          <cell r="G120" t="str">
            <v>cancelled</v>
          </cell>
        </row>
        <row r="121">
          <cell r="A121" t="str">
            <v>KHF-00-104265-AA-3341-60037-0000--</v>
          </cell>
          <cell r="B121" t="str">
            <v>KHF_AIP_D_EXT_00090</v>
          </cell>
          <cell r="C121">
            <v>43095</v>
          </cell>
          <cell r="D121" t="str">
            <v>KHF-00-104265-AA-3341-60037-0000</v>
          </cell>
          <cell r="E121" t="str">
            <v>CV of  Mr. Manialagan Sangili - Procurement Engineer</v>
          </cell>
          <cell r="F121" t="str">
            <v>-</v>
          </cell>
          <cell r="G121" t="str">
            <v>cancelled</v>
          </cell>
        </row>
        <row r="122">
          <cell r="A122" t="str">
            <v>KHF-00-104265-AA-3341-60039-0000-1</v>
          </cell>
          <cell r="B122" t="str">
            <v>KHF_AIP_D_EXT_00091</v>
          </cell>
          <cell r="C122">
            <v>43095</v>
          </cell>
          <cell r="D122" t="str">
            <v>KHF-00-104265-AA-3341-60039-0000</v>
          </cell>
          <cell r="E122" t="str">
            <v>CV of  Mr. R. Gunasekaran - Lead Field Pipelines Engineer</v>
          </cell>
          <cell r="F122">
            <v>1</v>
          </cell>
          <cell r="G122" t="str">
            <v>Code B</v>
          </cell>
        </row>
        <row r="123">
          <cell r="A123" t="str">
            <v>KHF-00-104265-CI-4180-00301-0001-1</v>
          </cell>
          <cell r="B123" t="str">
            <v>KHF_AIP_D_EXT_00092</v>
          </cell>
          <cell r="C123">
            <v>43095</v>
          </cell>
          <cell r="D123" t="str">
            <v>KHF-00-104265-CI-4180-00301-0001</v>
          </cell>
          <cell r="E123" t="str">
            <v>External Water Supply Layout - Site Camp (Stage 01)</v>
          </cell>
          <cell r="F123">
            <v>1</v>
          </cell>
          <cell r="G123" t="str">
            <v>Code D</v>
          </cell>
        </row>
        <row r="124">
          <cell r="A124" t="str">
            <v>KHF-00-104265-CX-4180-10005-0001-3</v>
          </cell>
          <cell r="B124" t="str">
            <v>KHF_AIP_D_EXT_00093</v>
          </cell>
          <cell r="C124">
            <v>43095</v>
          </cell>
          <cell r="D124" t="str">
            <v>KHF-00-104265-CX-4180-10005-0001</v>
          </cell>
          <cell r="E124" t="str">
            <v>Site Camp Layout</v>
          </cell>
          <cell r="F124">
            <v>3</v>
          </cell>
          <cell r="G124" t="str">
            <v>Code D</v>
          </cell>
        </row>
        <row r="125">
          <cell r="A125" t="str">
            <v>KHF-00-104265-VA-5880-10031-0000-2</v>
          </cell>
          <cell r="B125" t="str">
            <v>KHF_AIP_D_EXT_00094</v>
          </cell>
          <cell r="C125">
            <v>43095</v>
          </cell>
          <cell r="D125" t="str">
            <v>KHF-00-104265-VA-5880-10031-0000</v>
          </cell>
          <cell r="E125" t="str">
            <v>Procurement Matrix for Critical &amp; Long Lead items for Camp Construction work</v>
          </cell>
          <cell r="F125">
            <v>2</v>
          </cell>
          <cell r="G125" t="str">
            <v>Code A</v>
          </cell>
        </row>
        <row r="126">
          <cell r="A126" t="str">
            <v>KHF-00-104265-VA-6047-10006-0000-2</v>
          </cell>
          <cell r="B126" t="str">
            <v>KHF_AIP_D_EXT_00095</v>
          </cell>
          <cell r="C126">
            <v>43095</v>
          </cell>
          <cell r="D126" t="str">
            <v>KHF-00-104265-VA-6047-10006-0000</v>
          </cell>
          <cell r="E126" t="str">
            <v>Contract Procurement Plan</v>
          </cell>
          <cell r="F126">
            <v>2</v>
          </cell>
          <cell r="G126" t="str">
            <v>Code B</v>
          </cell>
        </row>
        <row r="127">
          <cell r="A127" t="str">
            <v>---</v>
          </cell>
          <cell r="B127" t="str">
            <v>KHF_AIP_D_EXT_00096</v>
          </cell>
          <cell r="C127">
            <v>43095</v>
          </cell>
          <cell r="D127" t="str">
            <v>-</v>
          </cell>
          <cell r="E127" t="str">
            <v>AFC Drawings</v>
          </cell>
          <cell r="F127" t="str">
            <v>-</v>
          </cell>
          <cell r="G127" t="str">
            <v>Total 38 drawings</v>
          </cell>
        </row>
        <row r="128">
          <cell r="A128" t="str">
            <v>KHF-00-104265-VA-5880-10007-0000-1</v>
          </cell>
          <cell r="B128" t="str">
            <v>KHF_AIP_D_EXT_00097</v>
          </cell>
          <cell r="C128">
            <v>43097</v>
          </cell>
          <cell r="D128" t="str">
            <v>KHF-00-104265-VA-5880-10007-0000</v>
          </cell>
          <cell r="E128" t="str">
            <v>Contract Logistics Plan</v>
          </cell>
          <cell r="F128">
            <v>1</v>
          </cell>
          <cell r="G128" t="str">
            <v>Code D</v>
          </cell>
        </row>
        <row r="129">
          <cell r="A129" t="str">
            <v>---</v>
          </cell>
          <cell r="B129" t="str">
            <v>KHF_AIP_D_EXT_00098</v>
          </cell>
          <cell r="C129">
            <v>43095</v>
          </cell>
          <cell r="D129" t="str">
            <v>-</v>
          </cell>
          <cell r="E129" t="str">
            <v>AFC Drawings</v>
          </cell>
          <cell r="F129" t="str">
            <v>-</v>
          </cell>
          <cell r="G129" t="str">
            <v>Total 03 drawings</v>
          </cell>
        </row>
        <row r="130">
          <cell r="A130" t="str">
            <v>KHF-00-104265-RA-8241-51001-0000-1</v>
          </cell>
          <cell r="B130" t="str">
            <v>KHF_AIP_D_EXT_00099</v>
          </cell>
          <cell r="C130">
            <v>43097</v>
          </cell>
          <cell r="D130" t="str">
            <v>KHF-00-104265-RA-8241-51001-0000</v>
          </cell>
          <cell r="E130" t="str">
            <v>Material Approval Sheet - Reinforcement Steel for Concrete - Grade B 500S - Jindal Shadeed - Al Ansari BMT</v>
          </cell>
          <cell r="F130">
            <v>1</v>
          </cell>
          <cell r="G130" t="str">
            <v>Code B</v>
          </cell>
        </row>
        <row r="131">
          <cell r="A131" t="str">
            <v>KHF-00-104265-RA-8241-51002-0000-1</v>
          </cell>
          <cell r="B131" t="str">
            <v>KHF_AIP_D_EXT_00099</v>
          </cell>
          <cell r="C131">
            <v>43097</v>
          </cell>
          <cell r="D131" t="str">
            <v>KHF-00-104265-RA-8241-51002-0000</v>
          </cell>
          <cell r="E131" t="str">
            <v>Material Approval Sheet - Reinforcement Steel for Concrete - Grade B 500S - Muscat Steel Industries</v>
          </cell>
          <cell r="F131">
            <v>1</v>
          </cell>
          <cell r="G131" t="str">
            <v>Code B</v>
          </cell>
        </row>
        <row r="132">
          <cell r="A132" t="str">
            <v>KHF-00-104265-RA-8241-51003-0000-1</v>
          </cell>
          <cell r="B132" t="str">
            <v>KHF_AIP_D_EXT_00099</v>
          </cell>
          <cell r="C132">
            <v>43097</v>
          </cell>
          <cell r="D132" t="str">
            <v>KHF-00-104265-RA-8241-51003-0000</v>
          </cell>
          <cell r="E132" t="str">
            <v>Material Approval Sheet - Reinforcement Steel for Concrete - Grade B 500S - Sharq Sohar Steel - Middle East Traders</v>
          </cell>
          <cell r="F132">
            <v>1</v>
          </cell>
          <cell r="G132" t="str">
            <v>Code B</v>
          </cell>
        </row>
        <row r="133">
          <cell r="A133" t="str">
            <v>KHF-00-104265-AA-3341-60040-0000-1</v>
          </cell>
          <cell r="B133" t="str">
            <v>KHF_AIP_D_EXT_00100</v>
          </cell>
          <cell r="C133">
            <v>43097</v>
          </cell>
          <cell r="D133" t="str">
            <v>KHF-00-104265-AA-3341-60040-0000</v>
          </cell>
          <cell r="E133" t="str">
            <v>CV of Mr. Jayakumar J. - Welding Engineer</v>
          </cell>
          <cell r="F133">
            <v>1</v>
          </cell>
          <cell r="G133" t="str">
            <v>Code D</v>
          </cell>
        </row>
        <row r="134">
          <cell r="A134" t="str">
            <v>KHF-00-104265-RA-8241-51004-0000-1</v>
          </cell>
          <cell r="B134" t="str">
            <v>KHF_AIP_D_EXT_00101</v>
          </cell>
          <cell r="C134">
            <v>43097</v>
          </cell>
          <cell r="D134" t="str">
            <v>KHF-00-104265-RA-8241-51004-0000</v>
          </cell>
          <cell r="E134" t="str">
            <v>Material Approval Sheet for Concrete Protective Coating for Surfaces in contact with Soil</v>
          </cell>
          <cell r="F134">
            <v>1</v>
          </cell>
          <cell r="G134" t="str">
            <v>Code B</v>
          </cell>
        </row>
        <row r="135">
          <cell r="A135" t="str">
            <v>KHF-00-104265-AA-3341-60033-0000-1</v>
          </cell>
          <cell r="B135" t="str">
            <v>KHF_AIP_D_EXT_00102</v>
          </cell>
          <cell r="C135">
            <v>43100</v>
          </cell>
          <cell r="D135" t="str">
            <v>KHF-00-104265-AA-3341-60033-0000</v>
          </cell>
          <cell r="E135" t="str">
            <v>CV of Mr. Umashankar - Construction Engineer - Instrumentation</v>
          </cell>
          <cell r="F135">
            <v>1</v>
          </cell>
          <cell r="G135" t="str">
            <v>Code B</v>
          </cell>
        </row>
        <row r="136">
          <cell r="A136" t="str">
            <v>KHF-00-104265-RA-8241-51005-0000-1</v>
          </cell>
          <cell r="B136" t="str">
            <v>KHF_AIP_D_EXT_00103</v>
          </cell>
          <cell r="C136">
            <v>43100</v>
          </cell>
          <cell r="D136" t="str">
            <v>KHF-00-104265-RA-8241-51005-0000</v>
          </cell>
          <cell r="E136" t="str">
            <v>Material Approval Sheet for Concrete Repair Product</v>
          </cell>
          <cell r="F136">
            <v>1</v>
          </cell>
          <cell r="G136" t="str">
            <v>Code B</v>
          </cell>
        </row>
        <row r="137">
          <cell r="A137" t="str">
            <v>KHF-00-104265-RA-8241-51006-0000-1</v>
          </cell>
          <cell r="B137" t="str">
            <v>KHF_AIP_D_EXT_00104</v>
          </cell>
          <cell r="C137">
            <v>43100</v>
          </cell>
          <cell r="D137" t="str">
            <v>KHF-00-104265-RA-8241-51006-0000</v>
          </cell>
          <cell r="E137" t="str">
            <v>Material Approval Sheet for Cementitious Grout</v>
          </cell>
          <cell r="F137">
            <v>1</v>
          </cell>
          <cell r="G137" t="str">
            <v>Code B</v>
          </cell>
        </row>
        <row r="138">
          <cell r="A138" t="str">
            <v>KHF-00-104265-CI-4180-00301-0002-1</v>
          </cell>
          <cell r="B138" t="str">
            <v>KHF_AIP_D_EXT_00105</v>
          </cell>
          <cell r="C138">
            <v>43100</v>
          </cell>
          <cell r="D138" t="str">
            <v>KHF-00-104265-CI-4180-00301-0002</v>
          </cell>
          <cell r="E138" t="str">
            <v>External Water Supply Layout - Enabling Camp</v>
          </cell>
          <cell r="F138">
            <v>1</v>
          </cell>
          <cell r="G138" t="str">
            <v>Code C</v>
          </cell>
        </row>
        <row r="139">
          <cell r="A139" t="str">
            <v>KHF-00-104265-CI-4180-00302-0001-1</v>
          </cell>
          <cell r="B139" t="str">
            <v>KHF_AIP_D_EXT_00105</v>
          </cell>
          <cell r="C139">
            <v>43100</v>
          </cell>
          <cell r="D139" t="str">
            <v>KHF-00-104265-CI-4180-00302-0001</v>
          </cell>
          <cell r="E139" t="str">
            <v>External Drainage Layout - Site Camp (Stage 01)</v>
          </cell>
          <cell r="F139">
            <v>1</v>
          </cell>
          <cell r="G139" t="str">
            <v>Code B</v>
          </cell>
        </row>
        <row r="140">
          <cell r="A140" t="str">
            <v>KHF-00-104265-CI-4180-00302-0002-1</v>
          </cell>
          <cell r="B140" t="str">
            <v>KHF_AIP_D_EXT_00105</v>
          </cell>
          <cell r="C140">
            <v>43100</v>
          </cell>
          <cell r="D140" t="str">
            <v>KHF-00-104265-CI-4180-00302-0002</v>
          </cell>
          <cell r="E140" t="str">
            <v>External Drainage Layout - Enabling Camp</v>
          </cell>
          <cell r="F140">
            <v>1</v>
          </cell>
          <cell r="G140" t="str">
            <v>Code C</v>
          </cell>
        </row>
        <row r="141">
          <cell r="A141" t="str">
            <v>KHF-00-104265-EA-2384-00301-0001-1</v>
          </cell>
          <cell r="B141" t="str">
            <v>KHF_AIP_D_EXT_00106</v>
          </cell>
          <cell r="C141">
            <v>43100</v>
          </cell>
          <cell r="D141" t="str">
            <v>KHF-00-104265-EA-2384-00301-0001</v>
          </cell>
          <cell r="E141" t="str">
            <v>Single Line Diagram - Stage 1 Camp</v>
          </cell>
          <cell r="F141">
            <v>1</v>
          </cell>
          <cell r="G141" t="str">
            <v>Code B</v>
          </cell>
        </row>
        <row r="142">
          <cell r="A142" t="str">
            <v>KHF-00-104265-EA-2384-00301-0002-1</v>
          </cell>
          <cell r="B142" t="str">
            <v>KHF_AIP_D_EXT_00106</v>
          </cell>
          <cell r="C142">
            <v>43100</v>
          </cell>
          <cell r="D142" t="str">
            <v>KHF-00-104265-EA-2384-00301-0002</v>
          </cell>
          <cell r="E142" t="str">
            <v>Single Line Diagram - Enabling Camp</v>
          </cell>
          <cell r="F142">
            <v>1</v>
          </cell>
          <cell r="G142" t="str">
            <v>Code B</v>
          </cell>
        </row>
        <row r="143">
          <cell r="A143" t="str">
            <v>KHF-00-104265-EA-4005-00301-0001-1</v>
          </cell>
          <cell r="B143" t="str">
            <v>KHF_AIP_D_EXT_00106</v>
          </cell>
          <cell r="C143">
            <v>43100</v>
          </cell>
          <cell r="D143" t="str">
            <v>KHF-00-104265-EA-4005-00301-0001</v>
          </cell>
          <cell r="E143" t="str">
            <v>External Cable Route Layout - Site Camp (Stage 1)</v>
          </cell>
          <cell r="F143">
            <v>1</v>
          </cell>
          <cell r="G143" t="str">
            <v>Code B</v>
          </cell>
        </row>
        <row r="144">
          <cell r="A144" t="str">
            <v>KHF-00-104265-EA-4005-00301-0002-1</v>
          </cell>
          <cell r="B144" t="str">
            <v>KHF_AIP_D_EXT_00106</v>
          </cell>
          <cell r="C144">
            <v>43100</v>
          </cell>
          <cell r="D144" t="str">
            <v>KHF-00-104265-EA-4005-00301-0002</v>
          </cell>
          <cell r="E144" t="str">
            <v>External Cable Route Layout - Enabling Camp</v>
          </cell>
          <cell r="F144">
            <v>1</v>
          </cell>
          <cell r="G144" t="str">
            <v>Code C</v>
          </cell>
        </row>
        <row r="145">
          <cell r="A145" t="str">
            <v>KHF-00-104265-EA-8809-00301-0001-1</v>
          </cell>
          <cell r="B145" t="str">
            <v>KHF_AIP_D_EXT_00106</v>
          </cell>
          <cell r="C145">
            <v>43100</v>
          </cell>
          <cell r="D145" t="str">
            <v>KHF-00-104265-EA-8809-00301-0001</v>
          </cell>
          <cell r="E145" t="str">
            <v>Earthing Layout - Enabling and Stage 1 Camp</v>
          </cell>
          <cell r="F145">
            <v>1</v>
          </cell>
          <cell r="G145" t="str">
            <v>Code C</v>
          </cell>
        </row>
        <row r="146">
          <cell r="A146" t="str">
            <v>KHF-00-104265-RA-8241-51008-0000-1</v>
          </cell>
          <cell r="B146" t="str">
            <v>KHF_AIP_D_EXT_00107</v>
          </cell>
          <cell r="C146">
            <v>43100</v>
          </cell>
          <cell r="D146" t="str">
            <v>KHF-00-104265-RA-8241-51008-0000</v>
          </cell>
          <cell r="E146" t="str">
            <v>Material Approval Sheet for 1000 Guage Polythene Sheet</v>
          </cell>
          <cell r="F146">
            <v>1</v>
          </cell>
          <cell r="G146" t="str">
            <v>Code D</v>
          </cell>
        </row>
        <row r="147">
          <cell r="A147" t="str">
            <v>KHF-00-104265-AA-3341-60041-0000-1</v>
          </cell>
          <cell r="B147" t="str">
            <v>KHF_AIP_D_EXT_00108</v>
          </cell>
          <cell r="C147">
            <v>43101</v>
          </cell>
          <cell r="D147" t="str">
            <v>KHF-00-104265-AA-3341-60041-0000</v>
          </cell>
          <cell r="E147" t="str">
            <v>CV of Mr. Naveen Kumar Gudapati - Interface Engineer</v>
          </cell>
          <cell r="F147">
            <v>1</v>
          </cell>
          <cell r="G147" t="str">
            <v>Code A</v>
          </cell>
        </row>
        <row r="148">
          <cell r="A148" t="str">
            <v>KHF-00-104265-RA-8241-51009-0000-1</v>
          </cell>
          <cell r="B148" t="str">
            <v>KHF_AIP_D_EXT_00109</v>
          </cell>
          <cell r="C148">
            <v>43102</v>
          </cell>
          <cell r="D148" t="str">
            <v>KHF-00-104265-RA-8241-51009-0000</v>
          </cell>
          <cell r="E148" t="str">
            <v>Material Approval Sheet for Anneled Binding Wire 16 Guage</v>
          </cell>
          <cell r="F148">
            <v>1</v>
          </cell>
          <cell r="G148" t="str">
            <v>Code D</v>
          </cell>
        </row>
        <row r="149">
          <cell r="A149" t="str">
            <v>KHF-00-104265-HX-6180-10012-0000-3</v>
          </cell>
          <cell r="B149" t="str">
            <v>KHF_AIP_D_EXT_00110</v>
          </cell>
          <cell r="C149">
            <v>43104</v>
          </cell>
          <cell r="D149" t="str">
            <v>KHF-00-104265-HX-6180-10012-0000</v>
          </cell>
          <cell r="E149" t="str">
            <v>Permit to Work Procedure (Greenfield)</v>
          </cell>
          <cell r="F149">
            <v>3</v>
          </cell>
          <cell r="G149" t="str">
            <v>Code B</v>
          </cell>
        </row>
        <row r="150">
          <cell r="A150" t="str">
            <v>KHF-00-104265-FA-7753-10041-0000-1</v>
          </cell>
          <cell r="B150" t="str">
            <v>KHF_AIP_D_EXT_00111</v>
          </cell>
          <cell r="C150">
            <v>43104</v>
          </cell>
          <cell r="D150" t="str">
            <v>KHF-00-104265-FA-7753-10041-0000</v>
          </cell>
          <cell r="E150" t="str">
            <v>Terms of Reference for Joint Risk Management Workshop</v>
          </cell>
          <cell r="F150">
            <v>1</v>
          </cell>
          <cell r="G150" t="str">
            <v>Code C</v>
          </cell>
        </row>
        <row r="151">
          <cell r="A151" t="str">
            <v>---</v>
          </cell>
          <cell r="B151" t="str">
            <v>KHF_AIP_D_EXT_00112</v>
          </cell>
          <cell r="C151">
            <v>43104</v>
          </cell>
          <cell r="D151" t="str">
            <v>-</v>
          </cell>
          <cell r="E151" t="str">
            <v>AFC Drawings</v>
          </cell>
          <cell r="F151" t="str">
            <v>-</v>
          </cell>
          <cell r="G151" t="str">
            <v>Total 34 drawings</v>
          </cell>
        </row>
        <row r="152">
          <cell r="A152" t="str">
            <v>---</v>
          </cell>
          <cell r="B152" t="str">
            <v>KHF_AIP_D_EXT_00113</v>
          </cell>
          <cell r="C152">
            <v>43108</v>
          </cell>
          <cell r="D152" t="str">
            <v>-</v>
          </cell>
          <cell r="E152" t="str">
            <v>AFC Drawings</v>
          </cell>
          <cell r="F152" t="str">
            <v>-</v>
          </cell>
          <cell r="G152" t="str">
            <v>Total 09 drawings</v>
          </cell>
        </row>
        <row r="153">
          <cell r="A153" t="str">
            <v>KHF-00-104265-AA-3341-60009-0000-1</v>
          </cell>
          <cell r="B153" t="str">
            <v>KHF_AIP_D_EXT_00114</v>
          </cell>
          <cell r="C153">
            <v>43108</v>
          </cell>
          <cell r="D153" t="str">
            <v>KHF-00-104265-AA-3341-60009-0000</v>
          </cell>
          <cell r="E153" t="str">
            <v>CV of Mr. Abeeth Abdul Rasak  - Procurement Manager</v>
          </cell>
          <cell r="F153">
            <v>1</v>
          </cell>
          <cell r="G153" t="str">
            <v>Code D</v>
          </cell>
        </row>
        <row r="154">
          <cell r="A154" t="str">
            <v>KHF-00-104265-AA-3341-60037-0000-1</v>
          </cell>
          <cell r="B154" t="str">
            <v>KHF_AIP_D_EXT_00115</v>
          </cell>
          <cell r="C154">
            <v>43108</v>
          </cell>
          <cell r="D154" t="str">
            <v>KHF-00-104265-AA-3341-60037-0000</v>
          </cell>
          <cell r="E154" t="str">
            <v>CV of  Mr. Manialagan Sangili - Procurement Manager</v>
          </cell>
          <cell r="F154">
            <v>1</v>
          </cell>
          <cell r="G154" t="str">
            <v>Code A</v>
          </cell>
        </row>
        <row r="155">
          <cell r="A155" t="str">
            <v>KHF-00-104265-AA-7206-10001-0000-1</v>
          </cell>
          <cell r="B155" t="str">
            <v>KHF_AIP_D_EXT_00116</v>
          </cell>
          <cell r="C155">
            <v>43110</v>
          </cell>
          <cell r="D155" t="str">
            <v>KHF-00-104265-AA-7206-10001-0000</v>
          </cell>
          <cell r="E155" t="str">
            <v>Variance Proposal - Trial Mix for Concrete Grade C10 and C35</v>
          </cell>
          <cell r="F155">
            <v>1</v>
          </cell>
          <cell r="G155" t="str">
            <v>Code D</v>
          </cell>
        </row>
        <row r="156">
          <cell r="A156" t="str">
            <v>KHF-00-104265-CI-4180-00310-0001-2</v>
          </cell>
          <cell r="B156" t="str">
            <v>KHF_AIP_D_EXT_00117</v>
          </cell>
          <cell r="C156">
            <v>43110</v>
          </cell>
          <cell r="D156" t="str">
            <v>KHF-00-104265-CI-4180-00310-0001</v>
          </cell>
          <cell r="E156" t="str">
            <v>Kitchen Layout</v>
          </cell>
          <cell r="F156">
            <v>2</v>
          </cell>
          <cell r="G156" t="str">
            <v>Code B</v>
          </cell>
        </row>
        <row r="157">
          <cell r="A157" t="str">
            <v>KHF-00-104265-CX-4180-10005-0001-4</v>
          </cell>
          <cell r="B157" t="str">
            <v>KHF_AIP_D_EXT_00118</v>
          </cell>
          <cell r="C157">
            <v>43110</v>
          </cell>
          <cell r="D157" t="str">
            <v>KHF-00-104265-CX-4180-10005-0001</v>
          </cell>
          <cell r="E157" t="str">
            <v>Site Camp Layout</v>
          </cell>
          <cell r="F157">
            <v>4</v>
          </cell>
          <cell r="G157" t="str">
            <v>Code B</v>
          </cell>
        </row>
        <row r="158">
          <cell r="A158" t="str">
            <v>KHF-00-104265-HX-4380-10013-0000-2</v>
          </cell>
          <cell r="B158" t="str">
            <v>KHF_AIP_D_EXT_00119</v>
          </cell>
          <cell r="C158">
            <v>43110</v>
          </cell>
          <cell r="D158" t="str">
            <v>KHF-00-104265-HX-4380-10013-0000</v>
          </cell>
          <cell r="E158" t="str">
            <v>HSE Training Matrix</v>
          </cell>
          <cell r="F158">
            <v>2</v>
          </cell>
          <cell r="G158" t="str">
            <v>Code A</v>
          </cell>
        </row>
        <row r="159">
          <cell r="A159" t="str">
            <v>---</v>
          </cell>
          <cell r="B159" t="str">
            <v>KHF_AIP_S_EXT_00002</v>
          </cell>
          <cell r="C159">
            <v>43110</v>
          </cell>
          <cell r="D159" t="str">
            <v>-</v>
          </cell>
          <cell r="E159" t="str">
            <v>Vendor Doc. to be sent to AIP</v>
          </cell>
          <cell r="F159" t="str">
            <v>-</v>
          </cell>
          <cell r="G159" t="str">
            <v>-</v>
          </cell>
        </row>
        <row r="160">
          <cell r="A160" t="str">
            <v>KHF-00-104265-FA-7753-10041-0000-1</v>
          </cell>
          <cell r="B160" t="str">
            <v>KHF_AIP_D_EXT_00120</v>
          </cell>
          <cell r="C160">
            <v>43111</v>
          </cell>
          <cell r="D160" t="str">
            <v>KHF-00-104265-FA-7753-10041-0000</v>
          </cell>
          <cell r="E160" t="str">
            <v>Terms of Reference for Joint Risk Management Workshop</v>
          </cell>
          <cell r="F160">
            <v>1</v>
          </cell>
          <cell r="G160" t="str">
            <v>Code C</v>
          </cell>
        </row>
        <row r="161">
          <cell r="A161" t="str">
            <v>KHF-00-104265-QA-5733-21004-0000-2</v>
          </cell>
          <cell r="B161" t="str">
            <v>KHF_AIP_D_EXT_00121</v>
          </cell>
          <cell r="C161">
            <v>43111</v>
          </cell>
          <cell r="D161" t="str">
            <v>KHF-00-104265-QA-5733-21004-0000</v>
          </cell>
          <cell r="E161" t="str">
            <v>Inspection &amp; Test Plan - Excavation</v>
          </cell>
          <cell r="F161">
            <v>2</v>
          </cell>
          <cell r="G161" t="str">
            <v>Code A</v>
          </cell>
        </row>
        <row r="162">
          <cell r="A162" t="str">
            <v>---</v>
          </cell>
          <cell r="B162" t="str">
            <v>KHF_AIP_D_EXT_00122</v>
          </cell>
          <cell r="C162">
            <v>43114</v>
          </cell>
          <cell r="D162" t="str">
            <v>-</v>
          </cell>
          <cell r="E162" t="str">
            <v>AFC Drawings</v>
          </cell>
          <cell r="F162" t="str">
            <v>-</v>
          </cell>
          <cell r="G162" t="str">
            <v>Total 21 drawings</v>
          </cell>
        </row>
        <row r="163">
          <cell r="A163" t="str">
            <v>---</v>
          </cell>
          <cell r="B163" t="str">
            <v>KHF_AIP_D_EXT_00123</v>
          </cell>
          <cell r="C163">
            <v>43116</v>
          </cell>
          <cell r="D163" t="str">
            <v>-</v>
          </cell>
          <cell r="E163" t="str">
            <v>AFC Drawings</v>
          </cell>
          <cell r="F163" t="str">
            <v>-</v>
          </cell>
          <cell r="G163" t="str">
            <v>Total 40 drawings</v>
          </cell>
        </row>
        <row r="164">
          <cell r="A164" t="str">
            <v>KHF-00-104265-BA-6065-00102-0000-1</v>
          </cell>
          <cell r="B164" t="str">
            <v>KHF_AIP_D_EXT_00124</v>
          </cell>
          <cell r="C164">
            <v>43116</v>
          </cell>
          <cell r="D164" t="str">
            <v>KHF-00-104265-BA-6065-00102-0000</v>
          </cell>
          <cell r="E164" t="str">
            <v>Proposed Welding Specification (Mainline 16" PL5)</v>
          </cell>
          <cell r="F164">
            <v>1</v>
          </cell>
          <cell r="G164" t="str">
            <v>Code D</v>
          </cell>
        </row>
        <row r="165">
          <cell r="A165" t="str">
            <v>KHF-00-104265-BA-6065-00103-0000-1</v>
          </cell>
          <cell r="B165" t="str">
            <v>KHF_AIP_D_EXT_00124</v>
          </cell>
          <cell r="C165">
            <v>43116</v>
          </cell>
          <cell r="D165" t="str">
            <v>KHF-00-104265-BA-6065-00103-0000</v>
          </cell>
          <cell r="E165" t="str">
            <v>Proposed Welding Specification (Tie-In 16" PL5)</v>
          </cell>
          <cell r="F165">
            <v>1</v>
          </cell>
          <cell r="G165" t="str">
            <v>Code D</v>
          </cell>
        </row>
        <row r="166">
          <cell r="A166" t="str">
            <v>KHF-00-104265-BA-6065-00104-0000-1</v>
          </cell>
          <cell r="B166" t="str">
            <v>KHF_AIP_D_EXT_00124</v>
          </cell>
          <cell r="C166">
            <v>43116</v>
          </cell>
          <cell r="D166" t="str">
            <v>KHF-00-104265-BA-6065-00104-0000</v>
          </cell>
          <cell r="E166" t="str">
            <v>Proposed Welding Specification (FP Repair 16" PL5)</v>
          </cell>
          <cell r="F166">
            <v>1</v>
          </cell>
          <cell r="G166" t="str">
            <v>Code D</v>
          </cell>
        </row>
        <row r="167">
          <cell r="A167" t="str">
            <v>KHF-00-104265-BA-6065-00105-0000-1</v>
          </cell>
          <cell r="B167" t="str">
            <v>KHF_AIP_D_EXT_00124</v>
          </cell>
          <cell r="C167">
            <v>43116</v>
          </cell>
          <cell r="D167" t="str">
            <v>KHF-00-104265-BA-6065-00105-0000</v>
          </cell>
          <cell r="E167" t="str">
            <v>Proposed Welding Specification (PP Repair 16" PL5)</v>
          </cell>
          <cell r="F167">
            <v>1</v>
          </cell>
          <cell r="G167" t="str">
            <v>Code D</v>
          </cell>
        </row>
        <row r="168">
          <cell r="A168" t="str">
            <v>KHF-00-104265-FA-5765-10040-0000-1</v>
          </cell>
          <cell r="B168" t="str">
            <v>KHF_AIP_D_EXT_00125</v>
          </cell>
          <cell r="C168">
            <v>43116</v>
          </cell>
          <cell r="D168" t="str">
            <v>KHF-00-104265-FA-5765-10040-0000</v>
          </cell>
          <cell r="E168" t="str">
            <v>Project Schedule - Level 04</v>
          </cell>
          <cell r="F168">
            <v>1</v>
          </cell>
          <cell r="G168" t="str">
            <v>Code B</v>
          </cell>
        </row>
        <row r="169">
          <cell r="A169" t="str">
            <v>KHF-00-104265-QA-6050-32005-0000-1</v>
          </cell>
          <cell r="B169" t="str">
            <v>KHF_AIP_D_EXT_00126</v>
          </cell>
          <cell r="C169">
            <v>43116</v>
          </cell>
          <cell r="D169" t="str">
            <v>KHF-00-104265-QA-6050-32005-0000</v>
          </cell>
          <cell r="E169" t="str">
            <v>Quality Control Procedure for Handling of Welding Consumables</v>
          </cell>
          <cell r="F169">
            <v>1</v>
          </cell>
          <cell r="G169" t="str">
            <v>Code D</v>
          </cell>
        </row>
        <row r="170">
          <cell r="A170" t="str">
            <v>KHF-00-104265-VA-6623-10083-0000-1</v>
          </cell>
          <cell r="B170" t="str">
            <v>KHF_AIP_D_EXT_00127</v>
          </cell>
          <cell r="C170">
            <v>43116</v>
          </cell>
          <cell r="D170" t="str">
            <v>KHF-00-104265-VA-6623-10083-0000</v>
          </cell>
          <cell r="E170" t="str">
            <v>Variation to Contract Register</v>
          </cell>
          <cell r="F170">
            <v>1</v>
          </cell>
          <cell r="G170" t="str">
            <v>Code A</v>
          </cell>
        </row>
        <row r="171">
          <cell r="A171" t="str">
            <v>KHF-00-104265-AA-3341-60044-0000-1</v>
          </cell>
          <cell r="B171" t="str">
            <v>KHF_AIP_D_EXT_00128</v>
          </cell>
          <cell r="C171">
            <v>43118</v>
          </cell>
          <cell r="D171" t="str">
            <v>KHF-00-104265-AA-3341-60044-0000</v>
          </cell>
          <cell r="E171" t="str">
            <v>CV of Mr. Shahid Khan - Information Management (IM) Lead</v>
          </cell>
          <cell r="F171">
            <v>1</v>
          </cell>
          <cell r="G171" t="str">
            <v>Code D</v>
          </cell>
        </row>
        <row r="172">
          <cell r="A172" t="str">
            <v>KHF-00-104265-AA-8502-00101-0000-1</v>
          </cell>
          <cell r="B172" t="str">
            <v>KHF_AIP_D_EXT_00129</v>
          </cell>
          <cell r="C172">
            <v>43121</v>
          </cell>
          <cell r="D172" t="str">
            <v>KHF-00-104265-AA-8502-00101-0000</v>
          </cell>
          <cell r="E172" t="str">
            <v>Technical Query - Impact Test Requirement as per MDT</v>
          </cell>
          <cell r="F172">
            <v>1</v>
          </cell>
          <cell r="G172" t="str">
            <v>Code D</v>
          </cell>
        </row>
        <row r="173">
          <cell r="A173" t="str">
            <v>KHF-00-104265-QA-6180-00106-0000-1</v>
          </cell>
          <cell r="B173" t="str">
            <v>KHF_AIP_D_EXT_00130</v>
          </cell>
          <cell r="C173">
            <v>43121</v>
          </cell>
          <cell r="D173" t="str">
            <v>KHF-00-104265-QA-6180-00106-0000</v>
          </cell>
          <cell r="E173" t="str">
            <v>Quality Control Procedure for Welding (Off-Plot)</v>
          </cell>
          <cell r="F173">
            <v>1</v>
          </cell>
          <cell r="G173" t="str">
            <v>Code B</v>
          </cell>
        </row>
        <row r="174">
          <cell r="A174" t="str">
            <v>KHF-00-104265-QA-6180-00135-0000-2</v>
          </cell>
          <cell r="B174" t="str">
            <v>KHF_AIP_D_EXT_00131</v>
          </cell>
          <cell r="C174">
            <v>43121</v>
          </cell>
          <cell r="D174" t="str">
            <v>KHF-00-104265-QA-6180-00135-0000</v>
          </cell>
          <cell r="E174" t="str">
            <v>Quality Control Procedure for Welding Consumable Storage Preservation Handling</v>
          </cell>
          <cell r="F174">
            <v>2</v>
          </cell>
          <cell r="G174" t="str">
            <v>Code D</v>
          </cell>
        </row>
        <row r="175">
          <cell r="A175" t="str">
            <v>KHF-00-104265-AA-3341-60043-0000-1</v>
          </cell>
          <cell r="B175" t="str">
            <v>KHF_AIP_D_EXT_00132</v>
          </cell>
          <cell r="C175">
            <v>43122</v>
          </cell>
          <cell r="D175" t="str">
            <v>KHF-00-104265-AA-3341-60043-0000</v>
          </cell>
          <cell r="E175" t="str">
            <v>CV of Mr. Sudhakar Kajipuram  - Welding Engineer</v>
          </cell>
          <cell r="F175">
            <v>1</v>
          </cell>
          <cell r="G175" t="str">
            <v>Code C</v>
          </cell>
        </row>
        <row r="176">
          <cell r="A176" t="str">
            <v>KHF-00-104265-QA-6180-00101-0000-2</v>
          </cell>
          <cell r="B176" t="str">
            <v>KHF_AIP_D_EXT_00133</v>
          </cell>
          <cell r="C176">
            <v>43122</v>
          </cell>
          <cell r="D176" t="str">
            <v>KHF-00-104265-QA-6180-00101-0000</v>
          </cell>
          <cell r="E176" t="str">
            <v>Quality Control Procedure for Surveying &amp; Setting-out</v>
          </cell>
          <cell r="F176">
            <v>2</v>
          </cell>
          <cell r="G176" t="str">
            <v>Code A</v>
          </cell>
        </row>
        <row r="177">
          <cell r="A177" t="str">
            <v>KHF-00-104265-QA-6180-00112-0000-2</v>
          </cell>
          <cell r="B177" t="str">
            <v>KHF_AIP_D_EXT_00133</v>
          </cell>
          <cell r="C177">
            <v>43122</v>
          </cell>
          <cell r="D177" t="str">
            <v>KHF-00-104265-QA-6180-00112-0000</v>
          </cell>
          <cell r="E177" t="str">
            <v>Quality Control Procedure for Trenching</v>
          </cell>
          <cell r="F177">
            <v>2</v>
          </cell>
          <cell r="G177" t="str">
            <v>Code A</v>
          </cell>
        </row>
        <row r="178">
          <cell r="A178" t="str">
            <v>KHF-00-104265-QA-6180-00117-0000-2</v>
          </cell>
          <cell r="B178" t="str">
            <v>KHF_AIP_D_EXT_00133</v>
          </cell>
          <cell r="C178">
            <v>43122</v>
          </cell>
          <cell r="D178" t="str">
            <v>KHF-00-104265-QA-6180-00117-0000</v>
          </cell>
          <cell r="E178" t="str">
            <v>Quality Control Procedure for Pre Padding of Trench</v>
          </cell>
          <cell r="F178">
            <v>2</v>
          </cell>
          <cell r="G178" t="str">
            <v>Code A</v>
          </cell>
        </row>
        <row r="179">
          <cell r="A179" t="str">
            <v>KHF-00-104265-HX-5798-10004-0000-3</v>
          </cell>
          <cell r="B179" t="str">
            <v>KHF_AIP_D_EXT_00134</v>
          </cell>
          <cell r="C179">
            <v>43124</v>
          </cell>
          <cell r="D179" t="str">
            <v>KHF-00-104265-HX-5798-10004-0000</v>
          </cell>
          <cell r="E179" t="str">
            <v>Contract HSE Plan</v>
          </cell>
          <cell r="F179">
            <v>3</v>
          </cell>
          <cell r="G179" t="str">
            <v>Code B</v>
          </cell>
        </row>
        <row r="180">
          <cell r="A180" t="str">
            <v>KHF-00-104265-HX-5880-10014-0000-2</v>
          </cell>
          <cell r="B180" t="str">
            <v>KHF_AIP_D_EXT_00135</v>
          </cell>
          <cell r="C180">
            <v>43124</v>
          </cell>
          <cell r="D180" t="str">
            <v>KHF-00-104265-HX-5880-10014-0000</v>
          </cell>
          <cell r="E180" t="str">
            <v>HSE Monitoring Plan</v>
          </cell>
          <cell r="F180">
            <v>2</v>
          </cell>
          <cell r="G180" t="str">
            <v>Code B</v>
          </cell>
        </row>
        <row r="181">
          <cell r="A181" t="str">
            <v>KHF-00-104265-HX-5880-10032-0000-1</v>
          </cell>
          <cell r="B181" t="str">
            <v>KHF_AIP_D_EXT_00136</v>
          </cell>
          <cell r="C181">
            <v>43125</v>
          </cell>
          <cell r="D181" t="str">
            <v>KHF-00-104265-HX-5880-10032-0000</v>
          </cell>
          <cell r="E181" t="str">
            <v>Project Specific Induction Program</v>
          </cell>
          <cell r="F181">
            <v>1</v>
          </cell>
          <cell r="G181" t="str">
            <v>Code A</v>
          </cell>
        </row>
        <row r="182">
          <cell r="A182" t="str">
            <v>KHF-00-104265-HX-6019-10017-0000-2</v>
          </cell>
          <cell r="B182" t="str">
            <v>KHF_AIP_D_EXT_00137</v>
          </cell>
          <cell r="C182">
            <v>43125</v>
          </cell>
          <cell r="D182" t="str">
            <v>KHF-00-104265-HX-6019-10017-0000</v>
          </cell>
          <cell r="E182" t="str">
            <v>Emergency Response Procedure</v>
          </cell>
          <cell r="F182">
            <v>2</v>
          </cell>
          <cell r="G182" t="str">
            <v>Code A</v>
          </cell>
        </row>
        <row r="183">
          <cell r="A183" t="str">
            <v>KHF-00-104265-VA-5880-10007-0000-2</v>
          </cell>
          <cell r="B183" t="str">
            <v>KHF_AIP_D_EXT_00138</v>
          </cell>
          <cell r="C183">
            <v>43125</v>
          </cell>
          <cell r="D183" t="str">
            <v>KHF-00-104265-VA-5880-10007-0000</v>
          </cell>
          <cell r="E183" t="str">
            <v>Contract Logistics Plan</v>
          </cell>
          <cell r="F183">
            <v>2</v>
          </cell>
          <cell r="G183" t="str">
            <v>Code A</v>
          </cell>
        </row>
        <row r="184">
          <cell r="A184" t="str">
            <v>KHF-00-104265-AA-5768-10028-0000-2</v>
          </cell>
          <cell r="B184" t="str">
            <v>KHF_AIP_D_EXT_00139</v>
          </cell>
          <cell r="C184">
            <v>43128</v>
          </cell>
          <cell r="D184" t="str">
            <v>KHF-00-104265-AA-5768-10028-0000</v>
          </cell>
          <cell r="E184" t="str">
            <v>Risk Management Plan and Strategies</v>
          </cell>
          <cell r="F184">
            <v>2</v>
          </cell>
          <cell r="G184" t="str">
            <v>Code B</v>
          </cell>
        </row>
        <row r="185">
          <cell r="A185" t="str">
            <v>KHF-00-104265-VA-6036-10008-0000-2</v>
          </cell>
          <cell r="B185" t="str">
            <v>KHF_AIP_D_EXT_00140</v>
          </cell>
          <cell r="C185">
            <v>43128</v>
          </cell>
          <cell r="D185" t="str">
            <v>KHF-00-104265-VA-6036-10008-0000</v>
          </cell>
          <cell r="E185" t="str">
            <v>Material Control Procedure</v>
          </cell>
          <cell r="F185">
            <v>2</v>
          </cell>
          <cell r="G185" t="str">
            <v>Code A</v>
          </cell>
        </row>
        <row r="186">
          <cell r="A186" t="str">
            <v>---</v>
          </cell>
          <cell r="B186" t="str">
            <v>KHF_AIP_D_EXT_00141</v>
          </cell>
          <cell r="C186">
            <v>43129</v>
          </cell>
          <cell r="D186" t="str">
            <v>-</v>
          </cell>
          <cell r="E186" t="str">
            <v>AFC Drawings</v>
          </cell>
          <cell r="F186" t="str">
            <v>-</v>
          </cell>
          <cell r="G186" t="str">
            <v>Total 18 drawings</v>
          </cell>
        </row>
        <row r="187">
          <cell r="A187" t="str">
            <v>KHF-00-104265-QA-5733-21005-0000-2</v>
          </cell>
          <cell r="B187" t="str">
            <v>KHF_AIP_D_EXT_00142</v>
          </cell>
          <cell r="C187">
            <v>43131</v>
          </cell>
          <cell r="D187" t="str">
            <v>KHF-00-104265-QA-5733-21005-0000</v>
          </cell>
          <cell r="E187" t="str">
            <v>Inspection &amp; Test Plan - Fill and Backfill</v>
          </cell>
          <cell r="F187">
            <v>2</v>
          </cell>
          <cell r="G187" t="str">
            <v>Code A</v>
          </cell>
        </row>
        <row r="188">
          <cell r="A188" t="str">
            <v>KHF-00-104265-QA-5733-21017-0000-3</v>
          </cell>
          <cell r="B188" t="str">
            <v>KHF_AIP_D_EXT_00143</v>
          </cell>
          <cell r="C188">
            <v>43131</v>
          </cell>
          <cell r="D188" t="str">
            <v>KHF-00-104265-QA-5733-21017-0000</v>
          </cell>
          <cell r="E188" t="str">
            <v>Inspection &amp; Test Plan for Graded Road Works</v>
          </cell>
          <cell r="F188">
            <v>3</v>
          </cell>
          <cell r="G188" t="str">
            <v>Code A</v>
          </cell>
        </row>
        <row r="189">
          <cell r="A189" t="str">
            <v>KHF-00-104265-QA-5733-21018-0000-2</v>
          </cell>
          <cell r="B189" t="str">
            <v>KHF_AIP_D_EXT_00144</v>
          </cell>
          <cell r="C189">
            <v>43131</v>
          </cell>
          <cell r="D189" t="str">
            <v>KHF-00-104265-QA-5733-21018-0000</v>
          </cell>
          <cell r="E189" t="str">
            <v>Inspection &amp; Test Plan for Service Trench Pipeline Construction</v>
          </cell>
          <cell r="F189">
            <v>2</v>
          </cell>
          <cell r="G189" t="str">
            <v>Code A</v>
          </cell>
        </row>
        <row r="190">
          <cell r="A190" t="str">
            <v>KHF-00-104265-QA-6050-32002-0000-2</v>
          </cell>
          <cell r="B190" t="str">
            <v>KHF_AIP_D_EXT_00145</v>
          </cell>
          <cell r="C190">
            <v>43131</v>
          </cell>
          <cell r="D190" t="str">
            <v>KHF-00-104265-QA-6050-32002-0000</v>
          </cell>
          <cell r="E190" t="str">
            <v>Quality Control Procedure for Inspection of Surface Preparation Mixing and Painting</v>
          </cell>
          <cell r="F190">
            <v>2</v>
          </cell>
          <cell r="G190" t="str">
            <v>Code A</v>
          </cell>
        </row>
        <row r="191">
          <cell r="A191" t="str">
            <v>KHF-00-104265-QA-6050-31003-0000-2</v>
          </cell>
          <cell r="B191" t="str">
            <v>KHF_AIP_D_EXT_00146</v>
          </cell>
          <cell r="C191">
            <v>43131</v>
          </cell>
          <cell r="D191" t="str">
            <v>KHF-00-104265-QA-6050-31003-0000</v>
          </cell>
          <cell r="E191" t="str">
            <v>Quality Control Procedure for Formwork Reinforcement Concreting and Grouting Works</v>
          </cell>
          <cell r="F191">
            <v>2</v>
          </cell>
          <cell r="G191" t="str">
            <v>Code A</v>
          </cell>
        </row>
        <row r="192">
          <cell r="A192" t="str">
            <v>KHF-00-104265-CI-4180-00301-0001-2</v>
          </cell>
          <cell r="B192" t="str">
            <v>KHF_AIP_D_EXT_00147</v>
          </cell>
          <cell r="C192">
            <v>43132</v>
          </cell>
          <cell r="D192" t="str">
            <v>KHF-00-104265-CI-4180-00301-0001</v>
          </cell>
          <cell r="E192" t="str">
            <v>External Water Supply Layout</v>
          </cell>
          <cell r="F192">
            <v>2</v>
          </cell>
          <cell r="G192" t="str">
            <v>Code B</v>
          </cell>
        </row>
        <row r="193">
          <cell r="A193" t="str">
            <v>KHF-00-104265-CI-4180-00302-0001-2</v>
          </cell>
          <cell r="B193" t="str">
            <v>KHF_AIP_D_EXT_00147</v>
          </cell>
          <cell r="C193">
            <v>43132</v>
          </cell>
          <cell r="D193" t="str">
            <v>KHF-00-104265-CI-4180-00302-0001</v>
          </cell>
          <cell r="E193" t="str">
            <v>External Drainage Layout</v>
          </cell>
          <cell r="F193">
            <v>2</v>
          </cell>
          <cell r="G193" t="str">
            <v>Code C</v>
          </cell>
        </row>
        <row r="194">
          <cell r="A194" t="str">
            <v>KHF-00-104265-CX-4180-10005-0001-5</v>
          </cell>
          <cell r="B194" t="str">
            <v>KHF_AIP_D_EXT_00147</v>
          </cell>
          <cell r="C194">
            <v>43132</v>
          </cell>
          <cell r="D194" t="str">
            <v>KHF-00-104265-CX-4180-10005-0001</v>
          </cell>
          <cell r="E194" t="str">
            <v>Site Camp Layout</v>
          </cell>
          <cell r="F194">
            <v>5</v>
          </cell>
          <cell r="G194" t="str">
            <v>Code D</v>
          </cell>
        </row>
        <row r="195">
          <cell r="A195" t="str">
            <v>KHF-00-104265-CX-4180-00309-0001-2</v>
          </cell>
          <cell r="B195" t="str">
            <v>KHF_AIP_D_EXT_00148</v>
          </cell>
          <cell r="C195">
            <v>43132</v>
          </cell>
          <cell r="D195" t="str">
            <v>KHF-00-104265-CX-4180-00309-0001</v>
          </cell>
          <cell r="E195" t="str">
            <v>Site Office Layout</v>
          </cell>
          <cell r="F195">
            <v>2</v>
          </cell>
          <cell r="G195" t="str">
            <v>Code D</v>
          </cell>
        </row>
        <row r="196">
          <cell r="A196" t="str">
            <v>KHF-00-104265-EA-2384-00301-0001-2</v>
          </cell>
          <cell r="B196" t="str">
            <v>KHF_AIP_D_EXT_00149</v>
          </cell>
          <cell r="C196">
            <v>43132</v>
          </cell>
          <cell r="D196" t="str">
            <v>KHF-00-104265-EA-2384-00301-0001</v>
          </cell>
          <cell r="E196" t="str">
            <v>Single Line Diagram - Camp Stage 1</v>
          </cell>
          <cell r="F196">
            <v>2</v>
          </cell>
          <cell r="G196" t="str">
            <v>Code A</v>
          </cell>
        </row>
        <row r="197">
          <cell r="A197" t="str">
            <v>KHF-00-104265-EA-4005-00301-0001-2</v>
          </cell>
          <cell r="B197" t="str">
            <v>KHF_AIP_D_EXT_00149</v>
          </cell>
          <cell r="C197">
            <v>43132</v>
          </cell>
          <cell r="D197" t="str">
            <v>KHF-00-104265-EA-4005-00301-0001</v>
          </cell>
          <cell r="E197" t="str">
            <v>External Cable Route Layout - Camp Stage 1</v>
          </cell>
          <cell r="F197">
            <v>2</v>
          </cell>
          <cell r="G197" t="str">
            <v>Code B</v>
          </cell>
        </row>
        <row r="198">
          <cell r="A198" t="str">
            <v>KHF-00-104265-QA-6180-00131-0000-1</v>
          </cell>
          <cell r="B198" t="str">
            <v>KHF_AIP_D_EXT_00150</v>
          </cell>
          <cell r="C198">
            <v>43132</v>
          </cell>
          <cell r="D198" t="str">
            <v>KHF-00-104265-QA-6180-00131-0000</v>
          </cell>
          <cell r="E198" t="str">
            <v>Quality Control Procedure for Calibration of Welding Machines</v>
          </cell>
          <cell r="F198">
            <v>1</v>
          </cell>
          <cell r="G198" t="str">
            <v>Code C</v>
          </cell>
        </row>
        <row r="199">
          <cell r="A199" t="str">
            <v>KHF-00-104265-QA-6180-00135-0000-3</v>
          </cell>
          <cell r="B199" t="str">
            <v>KHF_AIP_D_EXT_00151</v>
          </cell>
          <cell r="C199">
            <v>43132</v>
          </cell>
          <cell r="D199" t="str">
            <v>KHF-00-104265-QA-6180-00135-0000</v>
          </cell>
          <cell r="E199" t="str">
            <v>Quality Control Procedure for Welding Consumable Storage Preservation Handling</v>
          </cell>
          <cell r="F199">
            <v>3</v>
          </cell>
          <cell r="G199" t="str">
            <v>Code B</v>
          </cell>
        </row>
        <row r="200">
          <cell r="A200" t="str">
            <v>KHF-00-104265-QA-5733-21002-0000-2</v>
          </cell>
          <cell r="B200" t="str">
            <v>KHF_AIP_D_EXT_00152</v>
          </cell>
          <cell r="C200">
            <v>43135</v>
          </cell>
          <cell r="D200" t="str">
            <v>KHF-00-104265-QA-5733-21002-0000</v>
          </cell>
          <cell r="E200" t="str">
            <v>Inspection &amp; Test Plan - Demolition and Alteration</v>
          </cell>
          <cell r="F200">
            <v>2</v>
          </cell>
          <cell r="G200" t="str">
            <v>Code A</v>
          </cell>
        </row>
        <row r="201">
          <cell r="A201" t="str">
            <v>KHF-00-104265-QA-5798-10009-0000-2</v>
          </cell>
          <cell r="B201" t="str">
            <v>KHF_AIP_D_EXT_00153</v>
          </cell>
          <cell r="C201">
            <v>43135</v>
          </cell>
          <cell r="D201" t="str">
            <v>KHF-00-104265-QA-5798-10009-0000</v>
          </cell>
          <cell r="E201" t="str">
            <v>Contract Quality Plan</v>
          </cell>
          <cell r="F201">
            <v>2</v>
          </cell>
          <cell r="G201" t="str">
            <v>Code B</v>
          </cell>
        </row>
        <row r="202">
          <cell r="A202" t="str">
            <v>KHF-00-104265-RA-8241-51007-0000-2</v>
          </cell>
          <cell r="B202" t="str">
            <v>KHF_AIP_D_EXT_00154</v>
          </cell>
          <cell r="C202">
            <v>43135</v>
          </cell>
          <cell r="D202" t="str">
            <v>KHF-00-104265-RA-8241-51007-0000</v>
          </cell>
          <cell r="E202" t="str">
            <v>Material Approval Sheet for Concrete C-35 and C-10</v>
          </cell>
          <cell r="F202">
            <v>2</v>
          </cell>
          <cell r="G202" t="str">
            <v>Code B</v>
          </cell>
        </row>
        <row r="203">
          <cell r="A203" t="str">
            <v>---</v>
          </cell>
          <cell r="B203" t="str">
            <v>KHF_AIP_D_EXT_00155</v>
          </cell>
          <cell r="C203">
            <v>43136</v>
          </cell>
          <cell r="D203" t="str">
            <v>-</v>
          </cell>
          <cell r="E203" t="str">
            <v>AFC Drawings</v>
          </cell>
          <cell r="F203" t="str">
            <v>-</v>
          </cell>
          <cell r="G203" t="str">
            <v>Total 26 drawings</v>
          </cell>
        </row>
        <row r="204">
          <cell r="A204" t="str">
            <v>KHF-00-104265-FA-6180-10025-0000-1</v>
          </cell>
          <cell r="B204" t="str">
            <v>KHF_AIP_D_EXT_00156</v>
          </cell>
          <cell r="C204">
            <v>43136</v>
          </cell>
          <cell r="D204" t="str">
            <v>KHF-00-104265-FA-6180-10025-0000</v>
          </cell>
          <cell r="E204" t="str">
            <v>Planning, Progress measurement and Reporting Procedure</v>
          </cell>
          <cell r="F204">
            <v>1</v>
          </cell>
          <cell r="G204" t="str">
            <v>Code B</v>
          </cell>
        </row>
        <row r="205">
          <cell r="A205" t="str">
            <v>KHF-00-104265-CI-4180-00313-0001-2</v>
          </cell>
          <cell r="B205" t="str">
            <v>KHF_AIP_D_EXT_00157</v>
          </cell>
          <cell r="C205">
            <v>43137</v>
          </cell>
          <cell r="D205" t="str">
            <v>KHF-00-104265-CI-4180-00313-0001</v>
          </cell>
          <cell r="E205" t="str">
            <v>Clinic Unit Layout</v>
          </cell>
          <cell r="F205">
            <v>2</v>
          </cell>
          <cell r="G205" t="str">
            <v>Code B</v>
          </cell>
        </row>
        <row r="206">
          <cell r="A206" t="str">
            <v>---</v>
          </cell>
          <cell r="B206" t="str">
            <v>KHF_AIP_S_EXT_00003</v>
          </cell>
          <cell r="C206">
            <v>43137</v>
          </cell>
          <cell r="D206" t="str">
            <v>-</v>
          </cell>
          <cell r="E206" t="str">
            <v>Vendor Doc. to be sent to AIP</v>
          </cell>
          <cell r="F206" t="str">
            <v>-</v>
          </cell>
          <cell r="G206" t="str">
            <v>-</v>
          </cell>
        </row>
        <row r="207">
          <cell r="A207" t="str">
            <v>KHF-00-104265-AA-3341-60046-0000-1</v>
          </cell>
          <cell r="B207" t="str">
            <v>KHF_AIP_D_EXT_00158</v>
          </cell>
          <cell r="C207">
            <v>43137</v>
          </cell>
          <cell r="D207" t="str">
            <v>KHF-00-104265-AA-3341-60046-0000</v>
          </cell>
          <cell r="E207" t="str">
            <v>CV of Mr. Darren Darley - Flawless Start-up Coordinator</v>
          </cell>
          <cell r="F207">
            <v>1</v>
          </cell>
          <cell r="G207" t="str">
            <v>Code B</v>
          </cell>
        </row>
        <row r="208">
          <cell r="A208" t="str">
            <v>---</v>
          </cell>
          <cell r="B208" t="str">
            <v>KHF_AIP_D_EXT_00159</v>
          </cell>
          <cell r="C208">
            <v>43138</v>
          </cell>
          <cell r="D208" t="str">
            <v>-</v>
          </cell>
          <cell r="E208" t="str">
            <v>AFC Drawings</v>
          </cell>
          <cell r="F208" t="str">
            <v>-</v>
          </cell>
          <cell r="G208" t="str">
            <v>Total 15 drawings</v>
          </cell>
        </row>
        <row r="209">
          <cell r="A209" t="str">
            <v>KHF-00-104265-AA-3341-60045-0000-1</v>
          </cell>
          <cell r="B209" t="str">
            <v>KHF_AIP_D_EXT_00160</v>
          </cell>
          <cell r="C209">
            <v>43138</v>
          </cell>
          <cell r="D209" t="str">
            <v>KHF-00-104265-AA-3341-60045-0000</v>
          </cell>
          <cell r="E209" t="str">
            <v>CV of Mr. Mani Muruganandan - Lead Field Pipeline Engineer</v>
          </cell>
          <cell r="F209">
            <v>1</v>
          </cell>
          <cell r="G209" t="str">
            <v>Code D</v>
          </cell>
        </row>
        <row r="210">
          <cell r="A210" t="str">
            <v>KHF-00-104265-AA-3341-60051-0000-1</v>
          </cell>
          <cell r="B210" t="str">
            <v>KHF_AIP_D_EXT_00161</v>
          </cell>
          <cell r="C210">
            <v>43138</v>
          </cell>
          <cell r="D210" t="str">
            <v>KHF-00-104265-AA-3341-60051-0000</v>
          </cell>
          <cell r="E210" t="str">
            <v>CV of  Mr. S. Senthil Kumar - Lead Piping Engineer</v>
          </cell>
          <cell r="F210">
            <v>1</v>
          </cell>
          <cell r="G210" t="str">
            <v>Code A</v>
          </cell>
        </row>
        <row r="211">
          <cell r="A211" t="str">
            <v>KHF-00-104265-BA-6065-00101-0000-1</v>
          </cell>
          <cell r="B211" t="str">
            <v>KHF_AIP_D_EXT_00162</v>
          </cell>
          <cell r="C211">
            <v>43138</v>
          </cell>
          <cell r="D211" t="str">
            <v>KHF-00-104265-BA-6065-00101-0000</v>
          </cell>
          <cell r="E211" t="str">
            <v>Welding Procedure Specification Register</v>
          </cell>
          <cell r="F211">
            <v>1</v>
          </cell>
          <cell r="G211" t="str">
            <v>Code B</v>
          </cell>
        </row>
        <row r="212">
          <cell r="A212" t="str">
            <v>KHF-00-104265-BA-6065-00102-0000-2</v>
          </cell>
          <cell r="B212" t="str">
            <v>KHF_AIP_D_EXT_00163</v>
          </cell>
          <cell r="C212">
            <v>43138</v>
          </cell>
          <cell r="D212" t="str">
            <v>KHF-00-104265-BA-6065-00102-0000</v>
          </cell>
          <cell r="E212" t="str">
            <v>Proposed Welding Specification (Mainline 16" PL5)</v>
          </cell>
          <cell r="F212">
            <v>2</v>
          </cell>
          <cell r="G212" t="str">
            <v>Code B</v>
          </cell>
        </row>
        <row r="213">
          <cell r="A213" t="str">
            <v>KHF-00-104265-BA-6065-00103-0000-2</v>
          </cell>
          <cell r="B213" t="str">
            <v>KHF_AIP_D_EXT_00163</v>
          </cell>
          <cell r="C213">
            <v>43138</v>
          </cell>
          <cell r="D213" t="str">
            <v>KHF-00-104265-BA-6065-00103-0000</v>
          </cell>
          <cell r="E213" t="str">
            <v>Proposed Welding Specification (Tie-In 16" PL5)</v>
          </cell>
          <cell r="F213">
            <v>2</v>
          </cell>
          <cell r="G213" t="str">
            <v>Code B</v>
          </cell>
        </row>
        <row r="214">
          <cell r="A214" t="str">
            <v>KHF-00-104265-BA-6065-00104-0000-2</v>
          </cell>
          <cell r="B214" t="str">
            <v>KHF_AIP_D_EXT_00163</v>
          </cell>
          <cell r="C214">
            <v>43138</v>
          </cell>
          <cell r="D214" t="str">
            <v>KHF-00-104265-BA-6065-00104-0000</v>
          </cell>
          <cell r="E214" t="str">
            <v>Proposed Welding Specification (FP Repair 16" PL5)</v>
          </cell>
          <cell r="F214">
            <v>2</v>
          </cell>
          <cell r="G214" t="str">
            <v>Code B</v>
          </cell>
        </row>
        <row r="215">
          <cell r="A215" t="str">
            <v>KHF-00-104265-BA-6065-00105-0000-2</v>
          </cell>
          <cell r="B215" t="str">
            <v>KHF_AIP_D_EXT_00163</v>
          </cell>
          <cell r="C215">
            <v>43138</v>
          </cell>
          <cell r="D215" t="str">
            <v>KHF-00-104265-BA-6065-00105-0000</v>
          </cell>
          <cell r="E215" t="str">
            <v>Proposed Welding Specification (PP Repair 16" PL5)</v>
          </cell>
          <cell r="F215">
            <v>2</v>
          </cell>
          <cell r="G215" t="str">
            <v>Code B</v>
          </cell>
        </row>
        <row r="216">
          <cell r="A216" t="str">
            <v>KHF-00-104265-BA-6070-41002-0000-1</v>
          </cell>
          <cell r="B216" t="str">
            <v>KHF_AIP_D_EXT_00164</v>
          </cell>
          <cell r="C216">
            <v>43138</v>
          </cell>
          <cell r="D216" t="str">
            <v>KHF-00-104265-BA-6070-41002-0000</v>
          </cell>
          <cell r="E216" t="str">
            <v>Method Statement for Formwork, Reinforcement and Concreting Works</v>
          </cell>
          <cell r="F216">
            <v>1</v>
          </cell>
          <cell r="G216" t="str">
            <v>Code B</v>
          </cell>
        </row>
        <row r="217">
          <cell r="A217" t="str">
            <v>KHF-00-104265-RA-8241-51011-0000-1</v>
          </cell>
          <cell r="B217" t="str">
            <v>KHF_AIP_D_EXT_00165</v>
          </cell>
          <cell r="C217">
            <v>43138</v>
          </cell>
          <cell r="D217" t="str">
            <v>KHF-00-104265-RA-8241-51011-0000</v>
          </cell>
          <cell r="E217" t="str">
            <v>Material Approval Sheet for Fiber Glass Mat</v>
          </cell>
          <cell r="F217">
            <v>1</v>
          </cell>
          <cell r="G217" t="str">
            <v>Code A</v>
          </cell>
        </row>
        <row r="218">
          <cell r="A218" t="str">
            <v>---</v>
          </cell>
          <cell r="B218" t="str">
            <v>KHF_AIP_D_EXT_00166</v>
          </cell>
          <cell r="C218">
            <v>43142</v>
          </cell>
          <cell r="D218" t="str">
            <v>-</v>
          </cell>
          <cell r="E218" t="str">
            <v>AFC Drawings</v>
          </cell>
          <cell r="F218" t="str">
            <v>-</v>
          </cell>
          <cell r="G218" t="str">
            <v>Total 05 drawings</v>
          </cell>
        </row>
        <row r="219">
          <cell r="A219" t="str">
            <v>KHF-00-104265-CI-4180-00301-0001-3</v>
          </cell>
          <cell r="B219" t="str">
            <v>KHF_AIP_D_EXT_00167</v>
          </cell>
          <cell r="C219">
            <v>43144</v>
          </cell>
          <cell r="D219" t="str">
            <v>KHF-00-104265-CI-4180-00301-0001</v>
          </cell>
          <cell r="E219" t="str">
            <v>External Water Supply Layout</v>
          </cell>
          <cell r="F219">
            <v>3</v>
          </cell>
          <cell r="G219" t="str">
            <v>Code B</v>
          </cell>
        </row>
        <row r="220">
          <cell r="A220" t="str">
            <v>---</v>
          </cell>
          <cell r="B220" t="str">
            <v>KHF_AIP_D_EXT_00168</v>
          </cell>
          <cell r="C220">
            <v>43144</v>
          </cell>
          <cell r="D220" t="str">
            <v>-</v>
          </cell>
          <cell r="E220" t="str">
            <v>AFC Drawings</v>
          </cell>
          <cell r="F220" t="str">
            <v>-</v>
          </cell>
          <cell r="G220" t="str">
            <v>Total 09 drawings</v>
          </cell>
        </row>
        <row r="221">
          <cell r="A221" t="str">
            <v>KHF-00-104265-AA-3341-60048-0000-1</v>
          </cell>
          <cell r="B221" t="str">
            <v>KHF_AIP_D_EXT_00169</v>
          </cell>
          <cell r="C221">
            <v>43145</v>
          </cell>
          <cell r="D221" t="str">
            <v>KHF-00-104265-AA-3341-60048-0000</v>
          </cell>
          <cell r="E221" t="str">
            <v>CV of Mr. Govind Singh - NDT Level III</v>
          </cell>
          <cell r="F221">
            <v>1</v>
          </cell>
          <cell r="G221" t="str">
            <v>Code D</v>
          </cell>
        </row>
        <row r="222">
          <cell r="A222" t="str">
            <v>KHF-00-104265-AA-3341-60049-0000-1</v>
          </cell>
          <cell r="B222" t="str">
            <v>KHF_AIP_D_EXT_00169</v>
          </cell>
          <cell r="C222">
            <v>43145</v>
          </cell>
          <cell r="D222" t="str">
            <v>KHF-00-104265-AA-3341-60049-0000</v>
          </cell>
          <cell r="E222" t="str">
            <v>CV of Mr. Prabahar.C - NDT Level III</v>
          </cell>
          <cell r="F222">
            <v>1</v>
          </cell>
          <cell r="G222" t="str">
            <v>Code D</v>
          </cell>
        </row>
        <row r="223">
          <cell r="A223" t="str">
            <v>KHF-00-104265-RA-8241-51010-0000-1</v>
          </cell>
          <cell r="B223" t="str">
            <v>KHF_AIP_D_EXT_00170</v>
          </cell>
          <cell r="C223">
            <v>43146</v>
          </cell>
          <cell r="D223" t="str">
            <v>KHF-00-104265-RA-8241-51010-0000</v>
          </cell>
          <cell r="E223" t="str">
            <v>Material Approval Sheet for Anti-Termite Treatment</v>
          </cell>
          <cell r="F223">
            <v>1</v>
          </cell>
          <cell r="G223" t="str">
            <v>Code D</v>
          </cell>
        </row>
        <row r="224">
          <cell r="A224" t="str">
            <v>KHF-00-104265-BA-6070-41001-0000-2</v>
          </cell>
          <cell r="B224" t="str">
            <v>KHF_AIP_D_EXT_00171</v>
          </cell>
          <cell r="C224">
            <v>43146</v>
          </cell>
          <cell r="D224" t="str">
            <v>KHF-00-104265-BA-6070-41001-0000</v>
          </cell>
          <cell r="E224" t="str">
            <v>Method Statement  for Foundation Excavation, Disposal Backfilling &amp; Compaction</v>
          </cell>
          <cell r="F224">
            <v>2</v>
          </cell>
          <cell r="G224" t="str">
            <v>Code B</v>
          </cell>
        </row>
        <row r="225">
          <cell r="A225" t="str">
            <v>KHF-00-104265-RA-8241-51014-0000-1</v>
          </cell>
          <cell r="B225" t="str">
            <v>KHF_AIP_D_EXT_00172</v>
          </cell>
          <cell r="C225">
            <v>43146</v>
          </cell>
          <cell r="D225" t="str">
            <v>KHF-00-104265-RA-8241-51014-0000</v>
          </cell>
          <cell r="E225" t="str">
            <v>Material Approval Sheet for Granular Fill Material Type A</v>
          </cell>
          <cell r="F225">
            <v>1</v>
          </cell>
          <cell r="G225" t="str">
            <v>Code D</v>
          </cell>
        </row>
        <row r="226">
          <cell r="A226" t="str">
            <v>KHF-00-104265-RA-8241-51015-0000-1</v>
          </cell>
          <cell r="B226" t="str">
            <v>KHF_AIP_D_EXT_00172</v>
          </cell>
          <cell r="C226">
            <v>43146</v>
          </cell>
          <cell r="D226" t="str">
            <v>KHF-00-104265-RA-8241-51015-0000</v>
          </cell>
          <cell r="E226" t="str">
            <v>Material Approval Sheet for Granular Fill Material Type B</v>
          </cell>
          <cell r="F226">
            <v>1</v>
          </cell>
          <cell r="G226" t="str">
            <v>Code D</v>
          </cell>
        </row>
        <row r="227">
          <cell r="A227" t="str">
            <v>KHF-00-104265-AA-3341-60055-0000-1</v>
          </cell>
          <cell r="B227" t="str">
            <v>KHF_AIP_D_EXT_00173</v>
          </cell>
          <cell r="C227">
            <v>43146</v>
          </cell>
          <cell r="D227" t="str">
            <v>KHF-00-104265-AA-3341-60055-0000</v>
          </cell>
          <cell r="E227" t="str">
            <v>CV of Mr. Sankar Velisetty - AIP Site based HSE Advisor</v>
          </cell>
          <cell r="F227">
            <v>1</v>
          </cell>
          <cell r="G227" t="str">
            <v>Code A</v>
          </cell>
        </row>
        <row r="228">
          <cell r="A228" t="str">
            <v>KHF-00-104265-CX-4180-10005-0001-6</v>
          </cell>
          <cell r="B228" t="str">
            <v>KHF_AIP_D_EXT_00174</v>
          </cell>
          <cell r="C228">
            <v>43146</v>
          </cell>
          <cell r="D228" t="str">
            <v>KHF-00-104265-CX-4180-10005-0001</v>
          </cell>
          <cell r="E228" t="str">
            <v>Site Camp Layout</v>
          </cell>
          <cell r="F228">
            <v>6</v>
          </cell>
          <cell r="G228" t="str">
            <v>Code D</v>
          </cell>
        </row>
        <row r="229">
          <cell r="A229" t="str">
            <v>KHF-00-104265-QA-6180-00118-0000-1</v>
          </cell>
          <cell r="B229" t="str">
            <v>KHF_AIP_D_EXT_00175</v>
          </cell>
          <cell r="C229">
            <v>43149</v>
          </cell>
          <cell r="D229" t="str">
            <v>KHF-00-104265-QA-6180-00118-0000</v>
          </cell>
          <cell r="E229" t="str">
            <v>Quality Control Procedure for Holiday Testing, Lowering, Post Padding &amp; Back Filling</v>
          </cell>
          <cell r="F229">
            <v>1</v>
          </cell>
          <cell r="G229" t="str">
            <v>Code A</v>
          </cell>
        </row>
        <row r="230">
          <cell r="A230" t="str">
            <v>KHF-00-104265-RA-8241-51009-0000-2</v>
          </cell>
          <cell r="B230" t="str">
            <v>KHF_AIP_D_EXT_00176</v>
          </cell>
          <cell r="C230">
            <v>43149</v>
          </cell>
          <cell r="D230" t="str">
            <v>KHF-00-104265-RA-8241-51009-0000</v>
          </cell>
          <cell r="E230" t="str">
            <v>Material Approval Sheet for Anneled Binding Wire 16 Guage</v>
          </cell>
          <cell r="F230">
            <v>2</v>
          </cell>
          <cell r="G230" t="str">
            <v>Code A</v>
          </cell>
        </row>
        <row r="231">
          <cell r="A231" t="str">
            <v>KHF-00-104265-RA-8241-51008-0000-2</v>
          </cell>
          <cell r="B231" t="str">
            <v>KHF_AIP_D_EXT_00177</v>
          </cell>
          <cell r="C231">
            <v>43149</v>
          </cell>
          <cell r="D231" t="str">
            <v>KHF-00-104265-RA-8241-51008-0000</v>
          </cell>
          <cell r="E231" t="str">
            <v>Material Approval Sheet for 1000 Guage Polythene Sheet</v>
          </cell>
          <cell r="F231">
            <v>2</v>
          </cell>
          <cell r="G231" t="str">
            <v>Code A</v>
          </cell>
        </row>
        <row r="232">
          <cell r="A232" t="str">
            <v>KHF-00-104265-RA-8241-51012-0000-1</v>
          </cell>
          <cell r="B232" t="str">
            <v>KHF_AIP_D_EXT_00178</v>
          </cell>
          <cell r="C232">
            <v>43149</v>
          </cell>
          <cell r="D232" t="str">
            <v>KHF-00-104265-RA-8241-51012-0000</v>
          </cell>
          <cell r="E232" t="str">
            <v>Material Approval Sheet for Mould Oil (Reebol)</v>
          </cell>
          <cell r="F232">
            <v>1</v>
          </cell>
          <cell r="G232" t="str">
            <v>Code A</v>
          </cell>
        </row>
        <row r="233">
          <cell r="A233" t="str">
            <v>KHF-00-104265-RA-8241-51013-0000-1</v>
          </cell>
          <cell r="B233" t="str">
            <v>KHF_AIP_D_EXT_00178</v>
          </cell>
          <cell r="C233">
            <v>43149</v>
          </cell>
          <cell r="D233" t="str">
            <v>KHF-00-104265-RA-8241-51013-0000</v>
          </cell>
          <cell r="E233" t="str">
            <v>Material Approval Sheet for Concrete Cover Block</v>
          </cell>
          <cell r="F233">
            <v>1</v>
          </cell>
          <cell r="G233" t="str">
            <v>Code B</v>
          </cell>
        </row>
        <row r="234">
          <cell r="A234" t="str">
            <v>KHF-00-104265-QA-6050-00101-0000-2</v>
          </cell>
          <cell r="B234" t="str">
            <v>KHF_AIP_D_EXT_00179</v>
          </cell>
          <cell r="C234">
            <v>43149</v>
          </cell>
          <cell r="D234" t="str">
            <v>KHF-00-104265-QA-6050-00101-0000</v>
          </cell>
          <cell r="E234" t="str">
            <v>Quality Control Plan for Surveying and Setting-out</v>
          </cell>
          <cell r="F234">
            <v>2</v>
          </cell>
          <cell r="G234" t="str">
            <v>Code A</v>
          </cell>
        </row>
        <row r="235">
          <cell r="A235" t="str">
            <v>KHF-00-104265-AA-3341-60047-0000-1</v>
          </cell>
          <cell r="B235" t="str">
            <v>KHF_AIP_D_EXT_00180</v>
          </cell>
          <cell r="C235">
            <v>43149</v>
          </cell>
          <cell r="D235" t="str">
            <v>KHF-00-104265-AA-3341-60047-0000</v>
          </cell>
          <cell r="E235" t="str">
            <v>CV of Mr. Premananda Behera - Lead QC Engineer</v>
          </cell>
          <cell r="F235">
            <v>1</v>
          </cell>
          <cell r="G235" t="str">
            <v>Code A</v>
          </cell>
        </row>
        <row r="236">
          <cell r="A236" t="str">
            <v>KHF-00-104265-LA-7205-00101-0000-1</v>
          </cell>
          <cell r="B236" t="str">
            <v>KHF_AIP_D_EXT_00181</v>
          </cell>
          <cell r="C236">
            <v>43149</v>
          </cell>
          <cell r="D236" t="str">
            <v>KHF-00-104265-LA-7205-00101-0000</v>
          </cell>
          <cell r="E236" t="str">
            <v>Technical Deviation Request - Specification for Welding of Class 1 Pipelines</v>
          </cell>
          <cell r="F236">
            <v>1</v>
          </cell>
          <cell r="G236" t="str">
            <v>Code A</v>
          </cell>
        </row>
        <row r="237">
          <cell r="A237" t="str">
            <v>KHF-00-104265-QA-5733-22010-0000-1</v>
          </cell>
          <cell r="B237" t="str">
            <v>KHF_AIP_D_EXT_00182</v>
          </cell>
          <cell r="C237">
            <v>43149</v>
          </cell>
          <cell r="D237" t="str">
            <v>KHF-00-104265-QA-5733-22010-0000</v>
          </cell>
          <cell r="E237" t="str">
            <v>Inspection &amp; Test Plan for Installation of Flare Stack</v>
          </cell>
          <cell r="F237">
            <v>1</v>
          </cell>
          <cell r="G237" t="str">
            <v>Code D</v>
          </cell>
        </row>
        <row r="238">
          <cell r="A238" t="str">
            <v>KHF-00-104265-AA-3341-60050-0000-1</v>
          </cell>
          <cell r="B238" t="str">
            <v>KHF_AIP_D_EXT_00183</v>
          </cell>
          <cell r="C238">
            <v>43150</v>
          </cell>
          <cell r="D238" t="str">
            <v>KHF-00-104265-AA-3341-60050-0000</v>
          </cell>
          <cell r="E238" t="str">
            <v>CV of  Mr. Ravi Varma Dandu - Project Controls Manager</v>
          </cell>
          <cell r="F238">
            <v>1</v>
          </cell>
          <cell r="G238" t="str">
            <v>Code A</v>
          </cell>
        </row>
        <row r="239">
          <cell r="A239" t="str">
            <v>KHF-00-104265-CX-4180-00309-0001-3</v>
          </cell>
          <cell r="B239" t="str">
            <v>KHF_AIP_D_EXT_00184</v>
          </cell>
          <cell r="C239">
            <v>43150</v>
          </cell>
          <cell r="D239" t="str">
            <v>KHF-00-104265-CX-4180-00309-0001</v>
          </cell>
          <cell r="E239" t="str">
            <v>Site Office Layout</v>
          </cell>
          <cell r="F239">
            <v>3</v>
          </cell>
          <cell r="G239" t="str">
            <v>Code D</v>
          </cell>
        </row>
        <row r="240">
          <cell r="A240" t="str">
            <v>---</v>
          </cell>
          <cell r="B240" t="str">
            <v>KHF_AIP_D_EXT_00185</v>
          </cell>
          <cell r="C240">
            <v>43150</v>
          </cell>
          <cell r="D240" t="str">
            <v>-</v>
          </cell>
          <cell r="E240" t="str">
            <v>AFC Drawings</v>
          </cell>
          <cell r="F240" t="str">
            <v>-</v>
          </cell>
          <cell r="G240" t="str">
            <v>Total 58 drawings</v>
          </cell>
        </row>
        <row r="241">
          <cell r="A241" t="str">
            <v>KHF-00-104265-QA-6050-00102-0000-2</v>
          </cell>
          <cell r="B241" t="str">
            <v>KHF_AIP_D_EXT_00186</v>
          </cell>
          <cell r="C241">
            <v>43151</v>
          </cell>
          <cell r="D241" t="str">
            <v>KHF-00-104265-QA-6050-00102-0000</v>
          </cell>
          <cell r="E241" t="str">
            <v>Quality Control Plan for Earth Works</v>
          </cell>
          <cell r="F241">
            <v>2</v>
          </cell>
          <cell r="G241" t="str">
            <v>Code B</v>
          </cell>
        </row>
        <row r="242">
          <cell r="A242" t="str">
            <v>KHF-00-104265-QA-6050-00106-0000-2</v>
          </cell>
          <cell r="B242" t="str">
            <v>KHF_AIP_D_EXT_00187</v>
          </cell>
          <cell r="C242">
            <v>43151</v>
          </cell>
          <cell r="D242" t="str">
            <v>KHF-00-104265-QA-6050-00106-0000</v>
          </cell>
          <cell r="E242" t="str">
            <v>Quality Control Plan for Installation of Pipelines</v>
          </cell>
          <cell r="F242">
            <v>2</v>
          </cell>
          <cell r="G242" t="str">
            <v>Code B</v>
          </cell>
        </row>
        <row r="243">
          <cell r="A243" t="str">
            <v>KHF-00-104265-QA-6180-00119-0000-1</v>
          </cell>
          <cell r="B243" t="str">
            <v>KHF_AIP_D_EXT_00188</v>
          </cell>
          <cell r="C243">
            <v>43151</v>
          </cell>
          <cell r="D243" t="str">
            <v>KHF-00-104265-QA-6180-00119-0000</v>
          </cell>
          <cell r="E243" t="str">
            <v>Quality Control Procedure for Wadi Crossing Carbon Steel Pipeline</v>
          </cell>
          <cell r="F243">
            <v>1</v>
          </cell>
          <cell r="G243" t="str">
            <v>Code B</v>
          </cell>
        </row>
        <row r="244">
          <cell r="A244" t="str">
            <v>KHF-00-104265-QA-6180-00120-0000-1</v>
          </cell>
          <cell r="B244" t="str">
            <v>KHF_AIP_D_EXT_00188</v>
          </cell>
          <cell r="C244">
            <v>43151</v>
          </cell>
          <cell r="D244" t="str">
            <v>KHF-00-104265-QA-6180-00120-0000</v>
          </cell>
          <cell r="E244" t="str">
            <v>Quality Control Procedure for Road Crossing Carbon Steel Pipeline</v>
          </cell>
          <cell r="F244">
            <v>1</v>
          </cell>
          <cell r="G244" t="str">
            <v>Code B</v>
          </cell>
        </row>
        <row r="245">
          <cell r="A245" t="str">
            <v>KHF-00-104265-QA-6180-00122-0000-1</v>
          </cell>
          <cell r="B245" t="str">
            <v>KHF_AIP_D_EXT_00188</v>
          </cell>
          <cell r="C245">
            <v>43151</v>
          </cell>
          <cell r="D245" t="str">
            <v>KHF-00-104265-QA-6180-00122-0000</v>
          </cell>
          <cell r="E245" t="str">
            <v>Quality Control Procedure for Material Handling Storage &amp; Control</v>
          </cell>
          <cell r="F245">
            <v>1</v>
          </cell>
          <cell r="G245" t="str">
            <v>Code B</v>
          </cell>
        </row>
        <row r="246">
          <cell r="A246" t="str">
            <v>KHF-00-104265-QA-6180-10019-0000-1</v>
          </cell>
          <cell r="B246" t="str">
            <v>KHF_AIP_D_EXT_00189</v>
          </cell>
          <cell r="C246">
            <v>43151</v>
          </cell>
          <cell r="D246" t="str">
            <v>KHF-00-104265-QA-6180-10019-0000</v>
          </cell>
          <cell r="E246" t="str">
            <v>Material Identification and Traceability Procedure</v>
          </cell>
          <cell r="F246">
            <v>1</v>
          </cell>
          <cell r="G246" t="str">
            <v>Code D</v>
          </cell>
        </row>
        <row r="247">
          <cell r="A247" t="str">
            <v>KHF-00-104265-QA-5733-22002-0000-1</v>
          </cell>
          <cell r="B247" t="str">
            <v>KHF_AIP_D_EXT_00190</v>
          </cell>
          <cell r="C247">
            <v>43151</v>
          </cell>
          <cell r="D247" t="str">
            <v>KHF-00-104265-QA-5733-22002-0000</v>
          </cell>
          <cell r="E247" t="str">
            <v>Inspection &amp; Test Plan for Surface Preparation and Painting (PCS-1, PCS-3 &amp; PCS-6)</v>
          </cell>
          <cell r="F247">
            <v>1</v>
          </cell>
          <cell r="G247" t="str">
            <v>Code B</v>
          </cell>
        </row>
        <row r="248">
          <cell r="A248" t="str">
            <v>KHF-00-104265-QA-5733-22003-0000-1</v>
          </cell>
          <cell r="B248" t="str">
            <v>KHF_AIP_D_EXT_00190</v>
          </cell>
          <cell r="C248">
            <v>43151</v>
          </cell>
          <cell r="D248" t="str">
            <v>KHF-00-104265-QA-5733-22003-0000</v>
          </cell>
          <cell r="E248" t="str">
            <v>Inspection &amp; Test Plan for Steel Structural Fabrication, Welding and Erection</v>
          </cell>
          <cell r="F248">
            <v>1</v>
          </cell>
          <cell r="G248" t="str">
            <v>Code A</v>
          </cell>
        </row>
        <row r="249">
          <cell r="A249" t="str">
            <v>KHF-00-104265-QA-5733-22011-0000-1</v>
          </cell>
          <cell r="B249" t="str">
            <v>KHF_AIP_D_EXT_00191</v>
          </cell>
          <cell r="C249">
            <v>43151</v>
          </cell>
          <cell r="D249" t="str">
            <v>KHF-00-104265-QA-5733-22011-0000</v>
          </cell>
          <cell r="E249" t="str">
            <v>Inspection &amp; Test Plan for Static Equipment Installation</v>
          </cell>
          <cell r="F249">
            <v>1</v>
          </cell>
          <cell r="G249" t="str">
            <v>Code A</v>
          </cell>
        </row>
        <row r="250">
          <cell r="A250" t="str">
            <v>KHF-00-104265-QA-5733-22004-0000-1</v>
          </cell>
          <cell r="B250" t="str">
            <v>KHF_AIP_D_EXT_00192</v>
          </cell>
          <cell r="C250">
            <v>43151</v>
          </cell>
          <cell r="D250" t="str">
            <v>KHF-00-104265-QA-5733-22004-0000</v>
          </cell>
          <cell r="E250" t="str">
            <v>Inspection &amp; Test Plan for Fabrication, Welding, Erection and Hydrotesting of Piping for CS/LTCS</v>
          </cell>
          <cell r="F250">
            <v>1</v>
          </cell>
          <cell r="G250" t="str">
            <v>Code B</v>
          </cell>
        </row>
        <row r="251">
          <cell r="A251" t="str">
            <v>KHF-00-104265-QA-5733-22012-0000-1</v>
          </cell>
          <cell r="B251" t="str">
            <v>KHF_AIP_D_EXT_00193</v>
          </cell>
          <cell r="C251">
            <v>43151</v>
          </cell>
          <cell r="D251" t="str">
            <v>KHF-00-104265-QA-5733-22012-0000</v>
          </cell>
          <cell r="E251" t="str">
            <v>Inspection &amp; Test Plan for Rotating Equipment Installation</v>
          </cell>
          <cell r="F251">
            <v>1</v>
          </cell>
          <cell r="G251" t="str">
            <v>Code B</v>
          </cell>
        </row>
        <row r="252">
          <cell r="A252" t="str">
            <v>KHF-00-104265-QA-5733-22006-0000-1</v>
          </cell>
          <cell r="B252" t="str">
            <v>KHF_AIP_D_EXT_00194</v>
          </cell>
          <cell r="C252">
            <v>43151</v>
          </cell>
          <cell r="D252" t="str">
            <v>KHF-00-104265-QA-5733-22006-0000</v>
          </cell>
          <cell r="E252" t="str">
            <v>Inspection &amp; Test Plan for Fabrication, Welding, Erection and Hydrotesting of Piping for SS, SDSS &amp; Alloy 825</v>
          </cell>
          <cell r="F252">
            <v>1</v>
          </cell>
          <cell r="G252" t="str">
            <v>Code B</v>
          </cell>
        </row>
        <row r="253">
          <cell r="A253" t="str">
            <v>KHF-00-104265-LA-5009-00101-0000-1</v>
          </cell>
          <cell r="B253" t="str">
            <v>KHF_AIP_D_EXT_00195</v>
          </cell>
          <cell r="C253">
            <v>43151</v>
          </cell>
          <cell r="D253" t="str">
            <v>KHF-00-104265-LA-5009-00101-0000</v>
          </cell>
          <cell r="E253" t="str">
            <v>Material Approval Sheet (MAS) for Heat Shrink Sleeve Material</v>
          </cell>
          <cell r="F253">
            <v>1</v>
          </cell>
          <cell r="G253" t="str">
            <v>Code A</v>
          </cell>
        </row>
        <row r="254">
          <cell r="A254" t="str">
            <v>KHF-00-104265-MP-6180-00133-0000-1</v>
          </cell>
          <cell r="B254" t="str">
            <v>KHF_AIP_D_EXT_00196</v>
          </cell>
          <cell r="C254">
            <v>43151</v>
          </cell>
          <cell r="D254" t="str">
            <v>KHF-00-104265-MP-6180-00133-0000</v>
          </cell>
          <cell r="E254" t="str">
            <v>Method Statement for Coating with HEMPADUR 85531 (PCS 02A)</v>
          </cell>
          <cell r="F254">
            <v>1</v>
          </cell>
          <cell r="G254" t="str">
            <v>Code B</v>
          </cell>
        </row>
        <row r="255">
          <cell r="A255" t="str">
            <v>KHF-00-104265-AA-3341-60054-0000-1</v>
          </cell>
          <cell r="B255" t="str">
            <v>KHF_AIP_D_EXT_00197</v>
          </cell>
          <cell r="C255">
            <v>43152</v>
          </cell>
          <cell r="D255" t="str">
            <v>KHF-00-104265-AA-3341-60054-0000</v>
          </cell>
          <cell r="E255" t="str">
            <v>CV of Mr.Vinay Sagar - Instrumentation Construction Engineer</v>
          </cell>
          <cell r="F255">
            <v>1</v>
          </cell>
          <cell r="G255" t="str">
            <v>Code D</v>
          </cell>
        </row>
        <row r="256">
          <cell r="A256" t="str">
            <v>KHF-00-104265-QA-5733-22009-0000-1</v>
          </cell>
          <cell r="B256" t="str">
            <v>KHF_AIP_D_EXT_00198</v>
          </cell>
          <cell r="C256">
            <v>43152</v>
          </cell>
          <cell r="D256" t="str">
            <v>KHF-00-104265-QA-5733-22009-0000</v>
          </cell>
          <cell r="E256" t="str">
            <v>Inspection &amp; Test Plan for Fabrication and Testing of Piping for Threaded Screwed Types</v>
          </cell>
          <cell r="F256">
            <v>1</v>
          </cell>
          <cell r="G256" t="str">
            <v>Code B</v>
          </cell>
        </row>
        <row r="257">
          <cell r="A257" t="str">
            <v>KHF-00-104265-LA-7205-00102-0000-1</v>
          </cell>
          <cell r="B257" t="str">
            <v>KHF_AIP_D_EXT_00199</v>
          </cell>
          <cell r="C257">
            <v>43153</v>
          </cell>
          <cell r="D257" t="str">
            <v>KHF-00-104265-LA-7205-00102-0000</v>
          </cell>
          <cell r="E257" t="str">
            <v>Technical Deviation Request for Electrode class</v>
          </cell>
          <cell r="F257">
            <v>1</v>
          </cell>
          <cell r="G257" t="str">
            <v>Code D</v>
          </cell>
        </row>
        <row r="258">
          <cell r="A258" t="str">
            <v>KHF-00-104265-LA-8408-00101-0000-1</v>
          </cell>
          <cell r="B258" t="str">
            <v>KHF_AIP_D_EXT_00200</v>
          </cell>
          <cell r="C258">
            <v>43153</v>
          </cell>
          <cell r="D258" t="str">
            <v>KHF-00-104265-LA-8408-00101-0000</v>
          </cell>
          <cell r="E258" t="str">
            <v>Pipeline Survey Report - 6 Inch CS Fuel Gas PL from CPF to East RMS - PL-09</v>
          </cell>
          <cell r="F258">
            <v>1</v>
          </cell>
          <cell r="G258" t="str">
            <v>Code B</v>
          </cell>
        </row>
        <row r="259">
          <cell r="A259" t="str">
            <v>KHF-00-104265-LA-8408-00102-0000-1</v>
          </cell>
          <cell r="B259" t="str">
            <v>KHF_AIP_D_EXT_00200</v>
          </cell>
          <cell r="C259">
            <v>43153</v>
          </cell>
          <cell r="D259" t="str">
            <v>KHF-00-104265-LA-8408-00102-0000</v>
          </cell>
          <cell r="E259" t="str">
            <v>Pipeline Survey Report - 6 Inch CS Fuel Gas PL from CPF to South RMS - PL-09A</v>
          </cell>
          <cell r="F259">
            <v>1</v>
          </cell>
          <cell r="G259" t="str">
            <v>Code B</v>
          </cell>
        </row>
        <row r="260">
          <cell r="A260" t="str">
            <v>KHF-00-104265-LA-8408-00103-0000-1</v>
          </cell>
          <cell r="B260" t="str">
            <v>KHF_AIP_D_EXT_00200</v>
          </cell>
          <cell r="C260">
            <v>43153</v>
          </cell>
          <cell r="D260" t="str">
            <v>KHF-00-104265-LA-8408-00103-0000</v>
          </cell>
          <cell r="E260" t="str">
            <v>Pipeline Survey Report - 6 Inch CS Fuel Gas PL from CPF to West RMS - PL-08</v>
          </cell>
          <cell r="F260">
            <v>1</v>
          </cell>
          <cell r="G260" t="str">
            <v>Code B</v>
          </cell>
        </row>
        <row r="261">
          <cell r="A261" t="str">
            <v>KHF-00-104265-LA-8408-00104-0000-1</v>
          </cell>
          <cell r="B261" t="str">
            <v>KHF_AIP_D_EXT_00200</v>
          </cell>
          <cell r="C261">
            <v>43153</v>
          </cell>
          <cell r="D261" t="str">
            <v>KHF-00-104265-LA-8408-00104-0000</v>
          </cell>
          <cell r="E261" t="str">
            <v>Pipeline Survey Report - 8 Inch Oil Export Pipeline from CPF to Yibal-A (PL-07)</v>
          </cell>
          <cell r="F261">
            <v>1</v>
          </cell>
          <cell r="G261" t="str">
            <v>Code B</v>
          </cell>
        </row>
        <row r="262">
          <cell r="A262" t="str">
            <v>KHF-00-104265-LA-8408-00105-0000-1</v>
          </cell>
          <cell r="B262" t="str">
            <v>KHF_AIP_D_EXT_00200</v>
          </cell>
          <cell r="C262">
            <v>43153</v>
          </cell>
          <cell r="D262" t="str">
            <v>KHF-00-104265-LA-8408-00105-0000</v>
          </cell>
          <cell r="E262" t="str">
            <v>Pipeline Survey Report - 10 Inch GRE Water Pipeline from CPF to Yibal A (PL-06)</v>
          </cell>
          <cell r="F262">
            <v>1</v>
          </cell>
          <cell r="G262" t="str">
            <v>Code B</v>
          </cell>
        </row>
        <row r="263">
          <cell r="A263" t="str">
            <v>KHF-00-104265-LA-8408-00106-0000-1</v>
          </cell>
          <cell r="B263" t="str">
            <v>KHF_AIP_D_EXT_00200</v>
          </cell>
          <cell r="C263">
            <v>43153</v>
          </cell>
          <cell r="D263" t="str">
            <v>KHF-00-104265-LA-8408-00106-0000</v>
          </cell>
          <cell r="E263" t="str">
            <v>Pipeline Survey Report - 16 Inch CS Gas Pipeline from CPF to Yibal GGP (PL-05)</v>
          </cell>
          <cell r="F263">
            <v>1</v>
          </cell>
          <cell r="G263" t="str">
            <v>Code B</v>
          </cell>
        </row>
        <row r="264">
          <cell r="A264" t="str">
            <v>KHF-00-104265-LA-8408-00107-0000-1</v>
          </cell>
          <cell r="B264" t="str">
            <v>KHF_AIP_D_EXT_00200</v>
          </cell>
          <cell r="C264">
            <v>43153</v>
          </cell>
          <cell r="D264" t="str">
            <v>KHF-00-104265-LA-8408-00107-0000</v>
          </cell>
          <cell r="E264" t="str">
            <v>Pipeline Survey Report - 16 Inch CS Trunkline PL-01 from West RMS to CPF (PL-01)</v>
          </cell>
          <cell r="F264">
            <v>1</v>
          </cell>
          <cell r="G264" t="str">
            <v>Code B</v>
          </cell>
        </row>
        <row r="265">
          <cell r="A265" t="str">
            <v>KHF-00-104265-LA-8408-00108-0000-1</v>
          </cell>
          <cell r="B265" t="str">
            <v>KHF_AIP_D_EXT_00201</v>
          </cell>
          <cell r="C265">
            <v>43153</v>
          </cell>
          <cell r="D265" t="str">
            <v>KHF-00-104265-LA-8408-00108-0000</v>
          </cell>
          <cell r="E265" t="str">
            <v>Pipeline Survey Report - 12 Inch CS Trunk line from East RMS to CPF - PL-02</v>
          </cell>
          <cell r="F265">
            <v>1</v>
          </cell>
          <cell r="G265" t="str">
            <v>Code B</v>
          </cell>
        </row>
        <row r="266">
          <cell r="A266" t="str">
            <v>KHF-00-104265-LA-8408-00109-0000-1</v>
          </cell>
          <cell r="B266" t="str">
            <v>KHF_AIP_D_EXT_00201</v>
          </cell>
          <cell r="C266">
            <v>43153</v>
          </cell>
          <cell r="D266" t="str">
            <v>KHF-00-104265-LA-8408-00109-0000</v>
          </cell>
          <cell r="E266" t="str">
            <v>Pipeline Survey Report - 12 Inch CS Trunk line from East RMS to CPF -PL-03</v>
          </cell>
          <cell r="F266">
            <v>1</v>
          </cell>
          <cell r="G266" t="str">
            <v>Code B</v>
          </cell>
        </row>
        <row r="267">
          <cell r="A267" t="str">
            <v>KHF-00-104265-LA-8408-00110-0000-1</v>
          </cell>
          <cell r="B267" t="str">
            <v>KHF_AIP_D_EXT_00201</v>
          </cell>
          <cell r="C267">
            <v>43153</v>
          </cell>
          <cell r="D267" t="str">
            <v>KHF-00-104265-LA-8408-00110-0000</v>
          </cell>
          <cell r="E267" t="str">
            <v>Pipeline Survey Report - 16 Inch CS Trunk line from South RMS to CPF -PL-04</v>
          </cell>
          <cell r="F267">
            <v>1</v>
          </cell>
          <cell r="G267" t="str">
            <v>Code B</v>
          </cell>
        </row>
        <row r="268">
          <cell r="A268" t="str">
            <v>KHF-00-104265-QA-6180-00114-0000-1</v>
          </cell>
          <cell r="B268" t="str">
            <v>KHF_AIP_D_EXT_00202</v>
          </cell>
          <cell r="C268">
            <v>43156</v>
          </cell>
          <cell r="D268" t="str">
            <v>KHF-00-104265-QA-6180-00114-0000</v>
          </cell>
          <cell r="E268" t="str">
            <v>Quality Control Procedure for Cold Bending of Line Pipes</v>
          </cell>
          <cell r="F268">
            <v>1</v>
          </cell>
          <cell r="G268" t="str">
            <v>Code B</v>
          </cell>
        </row>
        <row r="269">
          <cell r="A269" t="str">
            <v>KHF-00-104265-QA-6180-10018-0000-1</v>
          </cell>
          <cell r="B269" t="str">
            <v>KHF_AIP_D_EXT_00203</v>
          </cell>
          <cell r="C269">
            <v>43156</v>
          </cell>
          <cell r="D269" t="str">
            <v>KHF-00-104265-QA-6180-10018-0000</v>
          </cell>
          <cell r="E269" t="str">
            <v>Project Audit Procedure</v>
          </cell>
          <cell r="F269">
            <v>1</v>
          </cell>
          <cell r="G269" t="str">
            <v>Code B</v>
          </cell>
        </row>
        <row r="270">
          <cell r="A270" t="str">
            <v>KHF-00-104265-RA-8241-51016-0000-1</v>
          </cell>
          <cell r="B270" t="str">
            <v>KHF_AIP_D_EXT_00204</v>
          </cell>
          <cell r="C270">
            <v>43156</v>
          </cell>
          <cell r="D270" t="str">
            <v>KHF-00-104265-RA-8241-51016-0000</v>
          </cell>
          <cell r="E270" t="str">
            <v>Material Approval Sheet for Concrete Protective Coating</v>
          </cell>
          <cell r="F270">
            <v>1</v>
          </cell>
          <cell r="G270" t="str">
            <v>Code B</v>
          </cell>
        </row>
        <row r="271">
          <cell r="A271" t="str">
            <v>KHF-00-104265-RA-8241-51017-0000-1</v>
          </cell>
          <cell r="B271" t="str">
            <v>KHF_AIP_D_EXT_00205</v>
          </cell>
          <cell r="C271">
            <v>43156</v>
          </cell>
          <cell r="D271" t="str">
            <v>KHF-00-104265-RA-8241-51017-0000</v>
          </cell>
          <cell r="E271" t="str">
            <v>Material Approval Sheet - Agency for Structural Fabrication, Coating and Galvanizing</v>
          </cell>
          <cell r="F271">
            <v>1</v>
          </cell>
          <cell r="G271" t="str">
            <v>Code B</v>
          </cell>
        </row>
        <row r="272">
          <cell r="A272" t="str">
            <v>---</v>
          </cell>
          <cell r="B272" t="str">
            <v>KHF_AIP_D_EXT_00206</v>
          </cell>
          <cell r="C272">
            <v>43157</v>
          </cell>
          <cell r="D272" t="str">
            <v>-</v>
          </cell>
          <cell r="E272" t="str">
            <v>AFC Drawings</v>
          </cell>
          <cell r="F272" t="str">
            <v>-</v>
          </cell>
          <cell r="G272" t="str">
            <v>Total 14 drawings</v>
          </cell>
        </row>
        <row r="273">
          <cell r="A273" t="str">
            <v>cancelled</v>
          </cell>
          <cell r="B273" t="str">
            <v>KHF_AIP_D_EXT_00207</v>
          </cell>
          <cell r="C273">
            <v>43158</v>
          </cell>
          <cell r="D273" t="str">
            <v>KHF-00-104265-AA-3341-60052-0000</v>
          </cell>
          <cell r="E273" t="str">
            <v>CV of Mr. Prathap Prabhakaran - Information Management Lead</v>
          </cell>
          <cell r="F273">
            <v>1</v>
          </cell>
          <cell r="G273" t="str">
            <v>Code D</v>
          </cell>
        </row>
        <row r="274">
          <cell r="A274" t="str">
            <v>KHF-00-104265-AA-3341-60053-0000-1</v>
          </cell>
          <cell r="B274" t="str">
            <v>KHF_AIP_D_EXT_00207</v>
          </cell>
          <cell r="C274">
            <v>43158</v>
          </cell>
          <cell r="D274" t="str">
            <v>KHF-00-104265-AA-3341-60053-0000</v>
          </cell>
          <cell r="E274" t="str">
            <v>CV of Mr. Alok Kumar - Information Management Lead</v>
          </cell>
          <cell r="F274">
            <v>1</v>
          </cell>
          <cell r="G274" t="str">
            <v>Code D</v>
          </cell>
        </row>
        <row r="275">
          <cell r="A275" t="str">
            <v>KHF-00-104265-MP-6180-00133-0000-2</v>
          </cell>
          <cell r="B275" t="str">
            <v>KHF_AIP_D_EXT_00208</v>
          </cell>
          <cell r="C275">
            <v>43159</v>
          </cell>
          <cell r="D275" t="str">
            <v>KHF-00-104265-MP-6180-00133-0000</v>
          </cell>
          <cell r="E275" t="str">
            <v>Method Statement for Coating with HEMPADUR 85531 (PCS 02A)</v>
          </cell>
          <cell r="F275">
            <v>2</v>
          </cell>
          <cell r="G275" t="str">
            <v>Code D</v>
          </cell>
        </row>
        <row r="276">
          <cell r="A276" t="str">
            <v>KHF-00-104265-AA-3341-60048-0000-2</v>
          </cell>
          <cell r="B276" t="str">
            <v>KHF_AIP_D_EXT_00209</v>
          </cell>
          <cell r="C276">
            <v>43159</v>
          </cell>
          <cell r="D276" t="str">
            <v>KHF-00-104265-AA-3341-60048-0000</v>
          </cell>
          <cell r="E276" t="str">
            <v>CV of Mr. Govind Singh - NDT Level III</v>
          </cell>
          <cell r="F276">
            <v>2</v>
          </cell>
          <cell r="G276" t="str">
            <v>Code A</v>
          </cell>
        </row>
        <row r="277">
          <cell r="A277" t="str">
            <v>KHF-00-104265-LA-1580-00138-0000-1</v>
          </cell>
          <cell r="B277" t="str">
            <v>KHF_AIP_D_EXT_00210</v>
          </cell>
          <cell r="C277">
            <v>43163</v>
          </cell>
          <cell r="D277" t="str">
            <v>KHF-00-104265-LA-1580-00138-0000</v>
          </cell>
          <cell r="E277" t="str">
            <v>List of GRE Bonders/Laminators &amp; Qualification Card of PDO/BP</v>
          </cell>
          <cell r="F277">
            <v>1</v>
          </cell>
          <cell r="G277" t="str">
            <v>Code A</v>
          </cell>
        </row>
        <row r="278">
          <cell r="A278" t="str">
            <v>KHF-00-104265-AA-3341-00102-0000-1</v>
          </cell>
          <cell r="B278" t="str">
            <v>KHF_AIP_D_EXT_00211</v>
          </cell>
          <cell r="C278">
            <v>43163</v>
          </cell>
          <cell r="D278" t="str">
            <v>KHF-00-104265-AA-3341-00102-0000</v>
          </cell>
          <cell r="E278" t="str">
            <v>CV of Tarique Ahmad - Sr. HSE Advisor</v>
          </cell>
          <cell r="F278">
            <v>1</v>
          </cell>
          <cell r="G278" t="str">
            <v>Code A</v>
          </cell>
        </row>
        <row r="279">
          <cell r="A279" t="str">
            <v>KHF-00-104265-QA-6180-00111-0000-3</v>
          </cell>
          <cell r="B279" t="str">
            <v>KHF_AIP_D_EXT_00212</v>
          </cell>
          <cell r="C279">
            <v>43163</v>
          </cell>
          <cell r="D279" t="str">
            <v>KHF-00-104265-QA-6180-00111-0000</v>
          </cell>
          <cell r="E279" t="str">
            <v>Quality Control Procedure for Row Preparation</v>
          </cell>
          <cell r="F279">
            <v>3</v>
          </cell>
          <cell r="G279" t="str">
            <v>Code D</v>
          </cell>
        </row>
        <row r="280">
          <cell r="A280" t="str">
            <v>KHF-00-104265-QA-6180-00113-0000-3</v>
          </cell>
          <cell r="B280" t="str">
            <v>KHF_AIP_D_EXT_00212</v>
          </cell>
          <cell r="C280">
            <v>43163</v>
          </cell>
          <cell r="D280" t="str">
            <v>KHF-00-104265-QA-6180-00113-0000</v>
          </cell>
          <cell r="E280" t="str">
            <v>Quality Control Procedure for Stringing of the Line Pipes</v>
          </cell>
          <cell r="F280">
            <v>3</v>
          </cell>
          <cell r="G280" t="str">
            <v>Code D</v>
          </cell>
        </row>
        <row r="281">
          <cell r="A281" t="str">
            <v>KHF-00-104265-QA-5733-22004-0000-2</v>
          </cell>
          <cell r="B281" t="str">
            <v>KHF_AIP_D_EXT_00213</v>
          </cell>
          <cell r="C281">
            <v>43164</v>
          </cell>
          <cell r="D281" t="str">
            <v>KHF-00-104265-QA-5733-22004-0000</v>
          </cell>
          <cell r="E281" t="str">
            <v>Inspection and Test Plan for Fabrication, Welding, Erection and Hydrotesting of Piping for CS/LTCS</v>
          </cell>
          <cell r="F281">
            <v>2</v>
          </cell>
          <cell r="G281" t="str">
            <v>Code A</v>
          </cell>
        </row>
        <row r="282">
          <cell r="A282" t="str">
            <v>KHF-00-104265-QA-5733-22006-0000-2</v>
          </cell>
          <cell r="B282" t="str">
            <v>KHF_AIP_D_EXT_00214</v>
          </cell>
          <cell r="C282">
            <v>43164</v>
          </cell>
          <cell r="D282" t="str">
            <v>KHF-00-104265-QA-5733-22006-0000</v>
          </cell>
          <cell r="E282" t="str">
            <v>Inspection &amp; Test Plan for Fabrication, Welding, Erection and Hydrotesting of Piping for SS, SDSS &amp; Alloy 825</v>
          </cell>
          <cell r="F282">
            <v>2</v>
          </cell>
          <cell r="G282" t="str">
            <v>Code A</v>
          </cell>
        </row>
        <row r="283">
          <cell r="A283" t="str">
            <v>KHF-00-104265-QA-5733-22012-0000-2</v>
          </cell>
          <cell r="B283" t="str">
            <v>KHF_AIP_D_EXT_00215</v>
          </cell>
          <cell r="C283">
            <v>43164</v>
          </cell>
          <cell r="D283" t="str">
            <v>KHF-00-104265-QA-5733-22012-0000</v>
          </cell>
          <cell r="E283" t="str">
            <v>Inspection &amp; Test Plan for Rotating Equipment Installation</v>
          </cell>
          <cell r="F283">
            <v>2</v>
          </cell>
          <cell r="G283" t="str">
            <v>Code A</v>
          </cell>
        </row>
        <row r="284">
          <cell r="A284" t="str">
            <v>KHF-00-104265-QA-6180-10019-0000-2</v>
          </cell>
          <cell r="B284" t="str">
            <v>KHF_AIP_D_EXT_00216</v>
          </cell>
          <cell r="C284">
            <v>43164</v>
          </cell>
          <cell r="D284" t="str">
            <v>KHF-00-104265-QA-6180-10019-0000</v>
          </cell>
          <cell r="E284" t="str">
            <v>Material Identification and Traceability Procedure</v>
          </cell>
          <cell r="F284">
            <v>2</v>
          </cell>
          <cell r="G284" t="str">
            <v>Code A</v>
          </cell>
        </row>
        <row r="285">
          <cell r="A285" t="str">
            <v>KHF-00-104265-QA-5733-22002-0000-2</v>
          </cell>
          <cell r="B285" t="str">
            <v>KHF_AIP_D_EXT_00217</v>
          </cell>
          <cell r="C285">
            <v>43164</v>
          </cell>
          <cell r="D285" t="str">
            <v>KHF-00-104265-QA-5733-22002-0000</v>
          </cell>
          <cell r="E285" t="str">
            <v>Inspection &amp; Test Plan - Surface Preparation and Painting (PCS-1, PCS-3 &amp; PCS-6)</v>
          </cell>
          <cell r="F285">
            <v>2</v>
          </cell>
          <cell r="G285" t="str">
            <v>Code A</v>
          </cell>
        </row>
        <row r="286">
          <cell r="A286" t="str">
            <v>KHF-00-104265-QA-6050-00107-0000-2</v>
          </cell>
          <cell r="B286" t="str">
            <v>KHF_AIP_D_EXT_00218</v>
          </cell>
          <cell r="C286">
            <v>43164</v>
          </cell>
          <cell r="D286" t="str">
            <v>KHF-00-104265-QA-6050-00107-0000</v>
          </cell>
          <cell r="E286" t="str">
            <v>Quality Control Plan for Painting (PCS 01)</v>
          </cell>
          <cell r="F286">
            <v>2</v>
          </cell>
          <cell r="G286" t="str">
            <v>Code A</v>
          </cell>
        </row>
        <row r="287">
          <cell r="A287" t="str">
            <v>KHF-00-104265-AA-3341-60060-0000-1</v>
          </cell>
          <cell r="B287" t="str">
            <v>KHF_AIP_D_EXT_00219</v>
          </cell>
          <cell r="C287">
            <v>43165</v>
          </cell>
          <cell r="D287" t="str">
            <v>KHF-00-104265-AA-3341-60060-0000</v>
          </cell>
          <cell r="E287" t="str">
            <v>CV of Mr. Sushil Kadam - Information Management Lead</v>
          </cell>
          <cell r="F287">
            <v>1</v>
          </cell>
          <cell r="G287" t="str">
            <v>Code D</v>
          </cell>
        </row>
        <row r="288">
          <cell r="A288" t="str">
            <v>---</v>
          </cell>
          <cell r="B288" t="str">
            <v>KHF_AIP_D_EXT_00220</v>
          </cell>
          <cell r="C288">
            <v>43165</v>
          </cell>
          <cell r="D288" t="str">
            <v>-</v>
          </cell>
          <cell r="E288" t="str">
            <v>AFC Drawings</v>
          </cell>
          <cell r="F288" t="str">
            <v>-</v>
          </cell>
          <cell r="G288" t="str">
            <v>Total 54 drawings</v>
          </cell>
        </row>
        <row r="289">
          <cell r="A289" t="str">
            <v>KHF-00-104265-EA-4016-00301-0001-1</v>
          </cell>
          <cell r="B289" t="str">
            <v>KHF_AIP_D_EXT_00221</v>
          </cell>
          <cell r="C289">
            <v>43167</v>
          </cell>
          <cell r="D289" t="str">
            <v>KHF-00-104265-EA-4016-00301-0001</v>
          </cell>
          <cell r="E289" t="str">
            <v>Fire Alarm Layout</v>
          </cell>
          <cell r="F289">
            <v>1</v>
          </cell>
          <cell r="G289" t="str">
            <v>Code D</v>
          </cell>
        </row>
        <row r="290">
          <cell r="A290" t="str">
            <v>KHF-00-104265-EA-4025-00301-0001-1</v>
          </cell>
          <cell r="B290" t="str">
            <v>KHF_AIP_D_EXT_00221</v>
          </cell>
          <cell r="C290">
            <v>43167</v>
          </cell>
          <cell r="D290" t="str">
            <v>KHF-00-104265-EA-4025-00301-0001</v>
          </cell>
          <cell r="E290" t="str">
            <v>Street Light Layout</v>
          </cell>
          <cell r="F290">
            <v>1</v>
          </cell>
          <cell r="G290" t="str">
            <v>Code D</v>
          </cell>
        </row>
        <row r="291">
          <cell r="A291" t="str">
            <v>KHF-00-104265-EA-4005-00301-0001-3</v>
          </cell>
          <cell r="B291" t="str">
            <v>KHF_AIP_D_EXT_00222</v>
          </cell>
          <cell r="C291">
            <v>43167</v>
          </cell>
          <cell r="D291" t="str">
            <v>KHF-00-104265-EA-4005-00301-0001</v>
          </cell>
          <cell r="E291" t="str">
            <v>External Cable Route Layout - Site Camp (Stage 1)</v>
          </cell>
          <cell r="F291">
            <v>3</v>
          </cell>
          <cell r="G291" t="str">
            <v>Code B</v>
          </cell>
        </row>
        <row r="292">
          <cell r="A292" t="str">
            <v>KHF-00-104265-EA-8809-00301-0001-2</v>
          </cell>
          <cell r="B292" t="str">
            <v>KHF_AIP_D_EXT_00222</v>
          </cell>
          <cell r="C292">
            <v>43167</v>
          </cell>
          <cell r="D292" t="str">
            <v>KHF-00-104265-EA-8809-00301-0001</v>
          </cell>
          <cell r="E292" t="str">
            <v>Earthing Layout - Stage 1 Camp</v>
          </cell>
          <cell r="F292">
            <v>2</v>
          </cell>
          <cell r="G292" t="str">
            <v>Code B</v>
          </cell>
        </row>
        <row r="293">
          <cell r="A293" t="str">
            <v>KHF-00-104265-CI-4180-00301-0001-4</v>
          </cell>
          <cell r="B293" t="str">
            <v>KHF_AIP_D_EXT_00223</v>
          </cell>
          <cell r="C293">
            <v>43170</v>
          </cell>
          <cell r="D293" t="str">
            <v>KHF-00-104265-CI-4180-00301-0001</v>
          </cell>
          <cell r="E293" t="str">
            <v>External Water Supply Layout</v>
          </cell>
          <cell r="F293">
            <v>4</v>
          </cell>
          <cell r="G293" t="str">
            <v>Code B</v>
          </cell>
        </row>
        <row r="294">
          <cell r="A294" t="str">
            <v>KHF-00-104265-RA-6038-00104-0000-1</v>
          </cell>
          <cell r="B294" t="str">
            <v>KHF_AIP_D_EXT_00224</v>
          </cell>
          <cell r="C294">
            <v>43170</v>
          </cell>
          <cell r="D294" t="str">
            <v>KHF-00-104265-RA-6038-00104-0000</v>
          </cell>
          <cell r="E294" t="str">
            <v>Procedure for Ultrasonic Testing for Lamination  for Pipelines</v>
          </cell>
          <cell r="F294">
            <v>1</v>
          </cell>
          <cell r="G294" t="str">
            <v>Code B</v>
          </cell>
        </row>
        <row r="295">
          <cell r="A295" t="str">
            <v>KHF-00-104265-RA-6038-00103-0000-1</v>
          </cell>
          <cell r="B295" t="str">
            <v>KHF_AIP_D_EXT_00225</v>
          </cell>
          <cell r="C295">
            <v>43170</v>
          </cell>
          <cell r="D295" t="str">
            <v>KHF-00-104265-RA-6038-00103-0000</v>
          </cell>
          <cell r="E295" t="str">
            <v>Procedure for Magnetic Particle Testing for Pipelines</v>
          </cell>
          <cell r="F295">
            <v>1</v>
          </cell>
          <cell r="G295" t="str">
            <v>Code B</v>
          </cell>
        </row>
        <row r="296">
          <cell r="A296" t="str">
            <v>KHF-00-104265-AA-5768-10028-0000-3</v>
          </cell>
          <cell r="B296" t="str">
            <v>KHF_AIP_D_EXT_00226</v>
          </cell>
          <cell r="C296">
            <v>43170</v>
          </cell>
          <cell r="D296" t="str">
            <v>KHF-00-104265-AA-5768-10028-0000</v>
          </cell>
          <cell r="E296" t="str">
            <v>Risk Management Plan and Strategies</v>
          </cell>
          <cell r="F296">
            <v>3</v>
          </cell>
          <cell r="G296" t="str">
            <v>Code B</v>
          </cell>
        </row>
        <row r="297">
          <cell r="A297" t="str">
            <v>KHF-00-104265-RA-6038-00101-0000-1</v>
          </cell>
          <cell r="B297" t="str">
            <v>KHF_AIP_D_EXT_00227</v>
          </cell>
          <cell r="C297">
            <v>43170</v>
          </cell>
          <cell r="D297" t="str">
            <v>KHF-00-104265-RA-6038-00101-0000</v>
          </cell>
          <cell r="E297" t="str">
            <v>Procedure for X-Ray Radiographic Testing of Pipelines</v>
          </cell>
          <cell r="F297">
            <v>1</v>
          </cell>
          <cell r="G297" t="str">
            <v>Code B</v>
          </cell>
        </row>
        <row r="298">
          <cell r="A298" t="str">
            <v>KHF-00-104265-RA-6038-00102-0000-1</v>
          </cell>
          <cell r="B298" t="str">
            <v>KHF_AIP_D_EXT_00228</v>
          </cell>
          <cell r="C298">
            <v>43170</v>
          </cell>
          <cell r="D298" t="str">
            <v>KHF-00-104265-RA-6038-00102-0000</v>
          </cell>
          <cell r="E298" t="str">
            <v>Procedure for External X-Ray Radiographic Testing of Pipelines</v>
          </cell>
          <cell r="F298">
            <v>1</v>
          </cell>
          <cell r="G298" t="str">
            <v>Code B</v>
          </cell>
        </row>
        <row r="299">
          <cell r="A299" t="str">
            <v>KHF-00-104265-AA-3341-60056-0000-1</v>
          </cell>
          <cell r="B299" t="str">
            <v>KHF_AIP_D_EXT_00229</v>
          </cell>
          <cell r="C299">
            <v>43170</v>
          </cell>
          <cell r="D299" t="str">
            <v>KHF-00-104265-AA-3341-60056-0000</v>
          </cell>
          <cell r="E299" t="str">
            <v>CV of Mr. Joao Fernando Marques Pereira - Lead Field Pipeline Engineer</v>
          </cell>
          <cell r="F299">
            <v>1</v>
          </cell>
          <cell r="G299" t="str">
            <v>Code D</v>
          </cell>
        </row>
        <row r="300">
          <cell r="A300" t="str">
            <v>KHF-00-104265-AA-3341-00103-0000-1</v>
          </cell>
          <cell r="B300" t="str">
            <v>KHF_AIP_D_EXT_00230</v>
          </cell>
          <cell r="C300">
            <v>43170</v>
          </cell>
          <cell r="D300" t="str">
            <v>KHF-00-104265-AA-3341-00103-0000</v>
          </cell>
          <cell r="E300" t="str">
            <v>CV of Mr. Ramesh Parmar - GRE Inspector</v>
          </cell>
          <cell r="F300">
            <v>1</v>
          </cell>
          <cell r="G300" t="str">
            <v>Code A</v>
          </cell>
        </row>
        <row r="301">
          <cell r="A301" t="str">
            <v>KHF-00-104265-QA-6180-00125-0000-1</v>
          </cell>
          <cell r="B301" t="str">
            <v>KHF_AIP_D_EXT_00231</v>
          </cell>
          <cell r="C301">
            <v>43171</v>
          </cell>
          <cell r="D301" t="str">
            <v>KHF-00-104265-QA-6180-00125-0000</v>
          </cell>
          <cell r="E301" t="str">
            <v>Quality Control Procedure for Wadi Crossing - GRE Pipeline</v>
          </cell>
          <cell r="F301">
            <v>1</v>
          </cell>
          <cell r="G301" t="str">
            <v>Code B</v>
          </cell>
        </row>
        <row r="302">
          <cell r="A302" t="str">
            <v>KHF-00-104265-QA-6180-00126-0000-1</v>
          </cell>
          <cell r="B302" t="str">
            <v>KHF_AIP_D_EXT_00231</v>
          </cell>
          <cell r="C302">
            <v>43171</v>
          </cell>
          <cell r="D302" t="str">
            <v>KHF-00-104265-QA-6180-00126-0000</v>
          </cell>
          <cell r="E302" t="str">
            <v>Quality Control Procedure for Road Crossing Procedure - GRE P/L</v>
          </cell>
          <cell r="F302">
            <v>1</v>
          </cell>
          <cell r="G302" t="str">
            <v>Code B</v>
          </cell>
        </row>
        <row r="303">
          <cell r="A303" t="str">
            <v>KHF-00-104265-QA-6180-00124-0000-1</v>
          </cell>
          <cell r="B303" t="str">
            <v>KHF_AIP_D_EXT_00232</v>
          </cell>
          <cell r="C303">
            <v>43171</v>
          </cell>
          <cell r="D303" t="str">
            <v>KHF-00-104265-QA-6180-00124-0000</v>
          </cell>
          <cell r="E303" t="str">
            <v>GRE Material Transportation Handling, Storage &amp; Control</v>
          </cell>
          <cell r="F303">
            <v>1</v>
          </cell>
          <cell r="G303" t="str">
            <v>Code B</v>
          </cell>
        </row>
        <row r="304">
          <cell r="A304" t="str">
            <v>KHF-00-104265-QA-6180-00123-0000-1</v>
          </cell>
          <cell r="B304" t="str">
            <v>KHF_AIP_D_EXT_00233</v>
          </cell>
          <cell r="C304">
            <v>43171</v>
          </cell>
          <cell r="D304" t="str">
            <v>KHF-00-104265-QA-6180-00123-0000</v>
          </cell>
          <cell r="E304" t="str">
            <v>Quality Control Procedure for Adhesive Bonding and Installation of GRE Pipeline</v>
          </cell>
          <cell r="F304">
            <v>1</v>
          </cell>
          <cell r="G304" t="str">
            <v>Code B</v>
          </cell>
        </row>
        <row r="305">
          <cell r="A305" t="str">
            <v>KHF-00-104265-HX-5798-10004-0000-4</v>
          </cell>
          <cell r="B305" t="str">
            <v>KHF_AIP_D_EXT_00234</v>
          </cell>
          <cell r="C305">
            <v>43171</v>
          </cell>
          <cell r="D305" t="str">
            <v>KHF-00-104265-HX-5798-10004-0000</v>
          </cell>
          <cell r="E305" t="str">
            <v>Contract HSE Plan</v>
          </cell>
          <cell r="F305">
            <v>4</v>
          </cell>
          <cell r="G305" t="str">
            <v>Code A</v>
          </cell>
        </row>
        <row r="306">
          <cell r="A306" t="str">
            <v>KHF-00-104265-BA-6070-00116-0000-1</v>
          </cell>
          <cell r="B306" t="str">
            <v>KHF_AIP_D_EXT_00235</v>
          </cell>
          <cell r="C306">
            <v>43171</v>
          </cell>
          <cell r="D306" t="str">
            <v>KHF-00-104265-BA-6070-00116-0000</v>
          </cell>
          <cell r="E306" t="str">
            <v>Method Statement for Adhesive Bonding and installation of GRE pipelines</v>
          </cell>
          <cell r="F306">
            <v>1</v>
          </cell>
          <cell r="G306" t="str">
            <v>Code B</v>
          </cell>
        </row>
        <row r="307">
          <cell r="A307" t="str">
            <v>KHF-00-104265-BA-6070-00117-0000-1</v>
          </cell>
          <cell r="B307" t="str">
            <v>KHF_AIP_D_EXT_00235</v>
          </cell>
          <cell r="C307">
            <v>43171</v>
          </cell>
          <cell r="D307" t="str">
            <v>KHF-00-104265-BA-6070-00117-0000</v>
          </cell>
          <cell r="E307" t="str">
            <v>Method Statement for GRE material transportation, handling, storage and control</v>
          </cell>
          <cell r="F307">
            <v>1</v>
          </cell>
          <cell r="G307" t="str">
            <v>Code B</v>
          </cell>
        </row>
        <row r="308">
          <cell r="A308" t="str">
            <v>KHF-00-104265-BA-6070-00118-0000-1</v>
          </cell>
          <cell r="B308" t="str">
            <v>KHF_AIP_D_EXT_00235</v>
          </cell>
          <cell r="C308">
            <v>43171</v>
          </cell>
          <cell r="D308" t="str">
            <v>KHF-00-104265-BA-6070-00118-0000</v>
          </cell>
          <cell r="E308" t="str">
            <v>Method Statement for Wadi Crossing Procedure - GRE P/L</v>
          </cell>
          <cell r="F308">
            <v>1</v>
          </cell>
          <cell r="G308" t="str">
            <v>Code B</v>
          </cell>
        </row>
        <row r="309">
          <cell r="A309" t="str">
            <v>KHF-00-104265-BA-6070-00119-0000-1</v>
          </cell>
          <cell r="B309" t="str">
            <v>KHF_AIP_D_EXT_00235</v>
          </cell>
          <cell r="C309">
            <v>43171</v>
          </cell>
          <cell r="D309" t="str">
            <v>KHF-00-104265-BA-6070-00119-0000</v>
          </cell>
          <cell r="E309" t="str">
            <v>Method Statement for Road Crossing Procedure - GRE P/L</v>
          </cell>
          <cell r="F309">
            <v>1</v>
          </cell>
          <cell r="G309" t="str">
            <v>Code B</v>
          </cell>
        </row>
        <row r="310">
          <cell r="A310" t="str">
            <v>KHF-00-104265-AA-3341-60057-0000-1</v>
          </cell>
          <cell r="B310" t="str">
            <v>KHF_AIP_D_EXT_00236</v>
          </cell>
          <cell r="C310">
            <v>43171</v>
          </cell>
          <cell r="D310" t="str">
            <v>KHF-00-104265-AA-3341-60057-0000</v>
          </cell>
          <cell r="E310" t="str">
            <v>CV of Mr. Arun Babu - HSE Advisor</v>
          </cell>
          <cell r="F310">
            <v>1</v>
          </cell>
          <cell r="G310" t="str">
            <v>Code A</v>
          </cell>
        </row>
        <row r="311">
          <cell r="A311" t="str">
            <v>KHF-00-104265-AA-3341-60058-0000-1</v>
          </cell>
          <cell r="B311" t="str">
            <v>KHF_AIP_D_EXT_00236</v>
          </cell>
          <cell r="C311">
            <v>43171</v>
          </cell>
          <cell r="D311" t="str">
            <v>KHF-00-104265-AA-3341-60058-0000</v>
          </cell>
          <cell r="E311" t="str">
            <v>CV of Mr. Ram Naresh Gajuala - HSE Advisor</v>
          </cell>
          <cell r="F311">
            <v>1</v>
          </cell>
          <cell r="G311" t="str">
            <v>Code A</v>
          </cell>
        </row>
        <row r="312">
          <cell r="A312" t="str">
            <v>---</v>
          </cell>
          <cell r="B312" t="str">
            <v>KHF_AIP_D_EXT_00237</v>
          </cell>
          <cell r="C312">
            <v>43171</v>
          </cell>
          <cell r="D312" t="str">
            <v>-</v>
          </cell>
          <cell r="E312" t="str">
            <v>AFC Drawings</v>
          </cell>
          <cell r="F312" t="str">
            <v>-</v>
          </cell>
          <cell r="G312" t="str">
            <v>Total 18 drawings</v>
          </cell>
        </row>
        <row r="313">
          <cell r="A313" t="str">
            <v>KHF-00-104265-RA-8241-51018-0000-1</v>
          </cell>
          <cell r="B313" t="str">
            <v>KHF_AIP_D_EXT_00238</v>
          </cell>
          <cell r="C313">
            <v>43172</v>
          </cell>
          <cell r="D313" t="str">
            <v>KHF-00-104265-RA-8241-51018-0000</v>
          </cell>
          <cell r="E313" t="str">
            <v>Material Approval Sheet  for Anchor Bolt</v>
          </cell>
          <cell r="F313">
            <v>1</v>
          </cell>
          <cell r="G313" t="str">
            <v>Code B</v>
          </cell>
        </row>
        <row r="314">
          <cell r="A314" t="str">
            <v>KHF-00-104265-RA-8241-51019-0000-1</v>
          </cell>
          <cell r="B314" t="str">
            <v>KHF_AIP_D_EXT_00239</v>
          </cell>
          <cell r="C314">
            <v>43172</v>
          </cell>
          <cell r="D314" t="str">
            <v>KHF-00-104265-RA-8241-51019-0000</v>
          </cell>
          <cell r="E314" t="str">
            <v>Material Approval Sheet for Anchor Bolt (Asia Bolt Industries , Dubai)</v>
          </cell>
          <cell r="F314">
            <v>1</v>
          </cell>
          <cell r="G314" t="str">
            <v>Code B</v>
          </cell>
        </row>
        <row r="315">
          <cell r="A315" t="str">
            <v>KHF-00-104265-RA-8241-51021-0000-1</v>
          </cell>
          <cell r="B315" t="str">
            <v>KHF_AIP_D_EXT_00240</v>
          </cell>
          <cell r="C315">
            <v>43172</v>
          </cell>
          <cell r="D315" t="str">
            <v>KHF-00-104265-RA-8241-51021-0000</v>
          </cell>
          <cell r="E315" t="str">
            <v>Material Approval Sheet for Non-Shrink Cementitious Grout</v>
          </cell>
          <cell r="F315">
            <v>1</v>
          </cell>
          <cell r="G315" t="str">
            <v>Code B</v>
          </cell>
        </row>
        <row r="316">
          <cell r="A316" t="str">
            <v>KHF-00-104265-MP-6180-00134-0000-1</v>
          </cell>
          <cell r="B316" t="str">
            <v>KHF_AIP_D_EXT_00241</v>
          </cell>
          <cell r="C316">
            <v>43173</v>
          </cell>
          <cell r="D316" t="str">
            <v>KHF-00-104265-MP-6180-00134-0000</v>
          </cell>
          <cell r="E316" t="str">
            <v>Method Statement for Application of STOPAQ</v>
          </cell>
          <cell r="F316">
            <v>1</v>
          </cell>
          <cell r="G316" t="str">
            <v>Code B</v>
          </cell>
        </row>
        <row r="317">
          <cell r="A317" t="str">
            <v>KHF-00-104265-QA-5798-00101-0000-2</v>
          </cell>
          <cell r="B317" t="str">
            <v>KHF_AIP_D_EXT_00242</v>
          </cell>
          <cell r="C317">
            <v>43174</v>
          </cell>
          <cell r="D317" t="str">
            <v>KHF-00-104265-QA-5798-00101-0000</v>
          </cell>
          <cell r="E317" t="str">
            <v>Project Quality Plan</v>
          </cell>
          <cell r="F317">
            <v>2</v>
          </cell>
          <cell r="G317" t="str">
            <v>Code D</v>
          </cell>
        </row>
        <row r="318">
          <cell r="A318" t="str">
            <v>KHF-00-104265-BA-6070-00101-0000-1</v>
          </cell>
          <cell r="B318" t="str">
            <v>KHF_AIP_D_EXT_00243</v>
          </cell>
          <cell r="C318">
            <v>43174</v>
          </cell>
          <cell r="D318" t="str">
            <v>KHF-00-104265-BA-6070-00101-0000</v>
          </cell>
          <cell r="E318" t="str">
            <v>Method Statement for Surveying and setting out</v>
          </cell>
          <cell r="F318">
            <v>1</v>
          </cell>
          <cell r="G318" t="str">
            <v>Code B</v>
          </cell>
        </row>
        <row r="319">
          <cell r="A319" t="str">
            <v>KHF-00-104265-BA-6070-00105-0000-1</v>
          </cell>
          <cell r="B319" t="str">
            <v>KHF_AIP_D_EXT_00243</v>
          </cell>
          <cell r="C319">
            <v>43174</v>
          </cell>
          <cell r="D319" t="str">
            <v>KHF-00-104265-BA-6070-00105-0000</v>
          </cell>
          <cell r="E319" t="str">
            <v>Method Statement for ROW Preparation</v>
          </cell>
          <cell r="F319">
            <v>1</v>
          </cell>
          <cell r="G319" t="str">
            <v>Code B</v>
          </cell>
        </row>
        <row r="320">
          <cell r="A320" t="str">
            <v>KHF-00-104265-BA-6070-00107-0000-1</v>
          </cell>
          <cell r="B320" t="str">
            <v>KHF_AIP_D_EXT_00244</v>
          </cell>
          <cell r="C320">
            <v>43174</v>
          </cell>
          <cell r="D320" t="str">
            <v>KHF-00-104265-BA-6070-00107-0000</v>
          </cell>
          <cell r="E320" t="str">
            <v>Method Statement for Trenching</v>
          </cell>
          <cell r="F320">
            <v>1</v>
          </cell>
          <cell r="G320" t="str">
            <v>Code B</v>
          </cell>
        </row>
        <row r="321">
          <cell r="A321" t="str">
            <v>KHF-00-104265-BA-6070-00111-0000-1</v>
          </cell>
          <cell r="B321" t="str">
            <v>KHF_AIP_D_EXT_00245</v>
          </cell>
          <cell r="C321">
            <v>43174</v>
          </cell>
          <cell r="D321" t="str">
            <v>KHF-00-104265-BA-6070-00111-0000</v>
          </cell>
          <cell r="E321" t="str">
            <v>Method Statement for Pre-padding of trench</v>
          </cell>
          <cell r="F321">
            <v>1</v>
          </cell>
          <cell r="G321" t="str">
            <v>Code B</v>
          </cell>
        </row>
        <row r="322">
          <cell r="A322" t="str">
            <v>KHF-00-104265-EA-4005-00301-0001-4</v>
          </cell>
          <cell r="B322" t="str">
            <v>KHF_AIP_D_EXT_00246</v>
          </cell>
          <cell r="C322">
            <v>43174</v>
          </cell>
          <cell r="D322" t="str">
            <v>KHF-00-104265-EA-4005-00301-0001</v>
          </cell>
          <cell r="E322" t="str">
            <v>External Cable Route Layout - Camp (Stage 1)</v>
          </cell>
          <cell r="F322">
            <v>4</v>
          </cell>
          <cell r="G322" t="str">
            <v>Code B</v>
          </cell>
        </row>
        <row r="323">
          <cell r="A323" t="str">
            <v>KHF-00-104265-EA-8809-00301-0001-3</v>
          </cell>
          <cell r="B323" t="str">
            <v>KHF_AIP_D_EXT_00246</v>
          </cell>
          <cell r="C323">
            <v>43174</v>
          </cell>
          <cell r="D323" t="str">
            <v>KHF-00-104265-EA-8809-00301-0001</v>
          </cell>
          <cell r="E323" t="str">
            <v>Earthing Layout -  Camp (Stage 1)</v>
          </cell>
          <cell r="F323">
            <v>3</v>
          </cell>
          <cell r="G323" t="str">
            <v>Code B</v>
          </cell>
        </row>
        <row r="324">
          <cell r="A324" t="str">
            <v>KHF-00-104265-EA-4016-00301-0001-2</v>
          </cell>
          <cell r="B324" t="str">
            <v>KHF_AIP_D_EXT_00247</v>
          </cell>
          <cell r="C324">
            <v>43174</v>
          </cell>
          <cell r="D324" t="str">
            <v>KHF-00-104265-EA-4016-00301-0001</v>
          </cell>
          <cell r="E324" t="str">
            <v>Fire Alarm Layout - Camp (Stage 1)</v>
          </cell>
          <cell r="F324">
            <v>2</v>
          </cell>
          <cell r="G324" t="str">
            <v>Code D</v>
          </cell>
        </row>
        <row r="325">
          <cell r="A325" t="str">
            <v>KHF-00-104265-EA-4025-00301-0001-2</v>
          </cell>
          <cell r="B325" t="str">
            <v>KHF_AIP_D_EXT_00247</v>
          </cell>
          <cell r="C325">
            <v>43174</v>
          </cell>
          <cell r="D325" t="str">
            <v>KHF-00-104265-EA-4025-00301-0001</v>
          </cell>
          <cell r="E325" t="str">
            <v>Camp Lighting System - Camp (Stage 1)</v>
          </cell>
          <cell r="F325">
            <v>2</v>
          </cell>
          <cell r="G325" t="str">
            <v>Code D</v>
          </cell>
        </row>
        <row r="326">
          <cell r="A326" t="str">
            <v>KHF-00-104265-QA-6180-10018-0000-2</v>
          </cell>
          <cell r="B326" t="str">
            <v>KHF_AIP_D_EXT_00248</v>
          </cell>
          <cell r="C326">
            <v>43174</v>
          </cell>
          <cell r="D326" t="str">
            <v>KHF-00-104265-QA-6180-10018-0000</v>
          </cell>
          <cell r="E326" t="str">
            <v>Project Audit Procedure</v>
          </cell>
          <cell r="F326">
            <v>2</v>
          </cell>
          <cell r="G326" t="str">
            <v>Code B</v>
          </cell>
        </row>
        <row r="327">
          <cell r="A327" t="str">
            <v>KHF-00-104265-QA-6180-10077-0000-1</v>
          </cell>
          <cell r="B327" t="str">
            <v>KHF_AIP_D_EXT_00249</v>
          </cell>
          <cell r="C327">
            <v>43174</v>
          </cell>
          <cell r="D327" t="str">
            <v>KHF-00-104265-QA-6180-10077-0000</v>
          </cell>
          <cell r="E327" t="str">
            <v>Non-Conformance Control Procedure</v>
          </cell>
          <cell r="F327">
            <v>1</v>
          </cell>
          <cell r="G327" t="str">
            <v>Code B</v>
          </cell>
        </row>
        <row r="328">
          <cell r="A328" t="str">
            <v>KHF-00-104265-EA-1380-10024-0000-1</v>
          </cell>
          <cell r="B328" t="str">
            <v>KHF_AIP_D_EXT_00250</v>
          </cell>
          <cell r="C328">
            <v>43177</v>
          </cell>
          <cell r="D328" t="str">
            <v>KHF-00-104265-EA-1380-10024-0000</v>
          </cell>
          <cell r="E328" t="str">
            <v>Voltage Drop Calculation for HC Cable for SS-08</v>
          </cell>
          <cell r="F328">
            <v>1</v>
          </cell>
          <cell r="G328" t="str">
            <v>Code A</v>
          </cell>
        </row>
        <row r="329">
          <cell r="A329" t="str">
            <v>KHF-00-104265-EA-4006-00001-0001-1</v>
          </cell>
          <cell r="B329" t="str">
            <v>KHF_AIP_D_EXT_00250</v>
          </cell>
          <cell r="C329">
            <v>43177</v>
          </cell>
          <cell r="D329" t="str">
            <v>KHF-00-104265-EA-4006-00001-0001</v>
          </cell>
          <cell r="E329" t="str">
            <v>33KV HV Cable Trench D5/175 Pole to Substation -08</v>
          </cell>
          <cell r="F329">
            <v>1</v>
          </cell>
          <cell r="G329" t="str">
            <v>Code A</v>
          </cell>
        </row>
        <row r="330">
          <cell r="A330" t="str">
            <v>---</v>
          </cell>
          <cell r="B330" t="str">
            <v>KHF_AIP_D_EXT_00251</v>
          </cell>
          <cell r="C330">
            <v>43179</v>
          </cell>
          <cell r="D330" t="str">
            <v>-</v>
          </cell>
          <cell r="E330" t="str">
            <v>AFC Drawings</v>
          </cell>
          <cell r="F330" t="str">
            <v>-</v>
          </cell>
          <cell r="G330" t="str">
            <v>Total 89 drawings</v>
          </cell>
        </row>
        <row r="331">
          <cell r="A331" t="str">
            <v>KHF-00-104265-QA-6050-00110-0000-1</v>
          </cell>
          <cell r="B331" t="str">
            <v>KHF_AIP_D_EXT_00252</v>
          </cell>
          <cell r="C331">
            <v>43180</v>
          </cell>
          <cell r="D331" t="str">
            <v>KHF-00-104265-QA-6050-00110-0000</v>
          </cell>
          <cell r="E331" t="str">
            <v>Quality Control Plan for GRE Pipeline Installation &amp; Testing of Adhesive Bonding</v>
          </cell>
          <cell r="F331">
            <v>1</v>
          </cell>
          <cell r="G331" t="str">
            <v>Code D</v>
          </cell>
        </row>
        <row r="332">
          <cell r="A332" t="str">
            <v>KHF-00-104265-AA-3341-00104-0000-1</v>
          </cell>
          <cell r="B332" t="str">
            <v>KHF_AIP_D_EXT_00253</v>
          </cell>
          <cell r="C332">
            <v>43181</v>
          </cell>
          <cell r="D332" t="str">
            <v>KHF-00-104265-AA-3341-00104-0000</v>
          </cell>
          <cell r="E332" t="str">
            <v>CV of Mr. Vijay Kumar Satav - Sr. HSE Advisor</v>
          </cell>
          <cell r="F332">
            <v>1</v>
          </cell>
          <cell r="G332" t="str">
            <v>Code D</v>
          </cell>
        </row>
        <row r="333">
          <cell r="A333" t="str">
            <v>KHF-00-104265-AA-3341-60059-0000-1</v>
          </cell>
          <cell r="B333" t="str">
            <v>KHF_AIP_D_EXT_00254</v>
          </cell>
          <cell r="C333">
            <v>43181</v>
          </cell>
          <cell r="D333" t="str">
            <v>KHF-00-104265-AA-3341-60059-0000</v>
          </cell>
          <cell r="E333" t="str">
            <v>CV of Mr. Manoj Nageshwar Sharma - HSE Advisor</v>
          </cell>
          <cell r="F333">
            <v>1</v>
          </cell>
          <cell r="G333" t="str">
            <v>Code D</v>
          </cell>
        </row>
        <row r="334">
          <cell r="A334" t="str">
            <v>KHF-00-104265-AA-3341-60061-0000-1</v>
          </cell>
          <cell r="B334" t="str">
            <v>KHF_AIP_D_EXT_00255</v>
          </cell>
          <cell r="C334">
            <v>43181</v>
          </cell>
          <cell r="D334" t="str">
            <v>KHF-00-104265-AA-3341-60061-0000</v>
          </cell>
          <cell r="E334" t="str">
            <v>CV of Mr. Vimalraj. V - Male Nurse</v>
          </cell>
          <cell r="F334">
            <v>1</v>
          </cell>
          <cell r="G334" t="str">
            <v>Code A</v>
          </cell>
        </row>
        <row r="335">
          <cell r="A335" t="str">
            <v>KHF-00-104265-HX-0709-10035-0000-1</v>
          </cell>
          <cell r="B335" t="str">
            <v>KHF_AIP_D_EXT_00256</v>
          </cell>
          <cell r="C335">
            <v>43181</v>
          </cell>
          <cell r="D335" t="str">
            <v>KHF-00-104265-HX-0709-10035-0000</v>
          </cell>
          <cell r="E335" t="str">
            <v>Health Risk Assessment Report</v>
          </cell>
          <cell r="F335">
            <v>1</v>
          </cell>
          <cell r="G335" t="str">
            <v>Code A</v>
          </cell>
        </row>
        <row r="336">
          <cell r="A336" t="str">
            <v>KHF-00-104265-BA-6065-00102-0000-3</v>
          </cell>
          <cell r="B336" t="str">
            <v>KHF_AIP_D_EXT_00257</v>
          </cell>
          <cell r="C336">
            <v>43184</v>
          </cell>
          <cell r="D336" t="str">
            <v>KHF-00-104265-BA-6065-00102-0000</v>
          </cell>
          <cell r="E336" t="str">
            <v>Proposed Welding Specification (Mainline 16 PL5)</v>
          </cell>
          <cell r="F336">
            <v>3</v>
          </cell>
          <cell r="G336" t="str">
            <v>Code A</v>
          </cell>
        </row>
        <row r="337">
          <cell r="A337" t="str">
            <v>KHF-00-104265-BA-6065-00103-0000-3</v>
          </cell>
          <cell r="B337" t="str">
            <v>KHF_AIP_D_EXT_00257</v>
          </cell>
          <cell r="C337">
            <v>43184</v>
          </cell>
          <cell r="D337" t="str">
            <v>KHF-00-104265-BA-6065-00103-0000</v>
          </cell>
          <cell r="E337" t="str">
            <v>Proposed Welding Specification (Tie-In 16 PL5)</v>
          </cell>
          <cell r="F337">
            <v>3</v>
          </cell>
          <cell r="G337" t="str">
            <v>Code A</v>
          </cell>
        </row>
        <row r="338">
          <cell r="A338" t="str">
            <v>KHF-00-104265-BA-6065-00104-0000-3</v>
          </cell>
          <cell r="B338" t="str">
            <v>KHF_AIP_D_EXT_00257</v>
          </cell>
          <cell r="C338">
            <v>43184</v>
          </cell>
          <cell r="D338" t="str">
            <v>KHF-00-104265-BA-6065-00104-0000</v>
          </cell>
          <cell r="E338" t="str">
            <v>Proposed Welding Specification (FP Repair 16 PL5)</v>
          </cell>
          <cell r="F338">
            <v>3</v>
          </cell>
          <cell r="G338" t="str">
            <v>Code A</v>
          </cell>
        </row>
        <row r="339">
          <cell r="A339" t="str">
            <v>KHF-00-104265-BA-6065-00105-0000-3</v>
          </cell>
          <cell r="B339" t="str">
            <v>KHF_AIP_D_EXT_00257</v>
          </cell>
          <cell r="C339">
            <v>43184</v>
          </cell>
          <cell r="D339" t="str">
            <v>KHF-00-104265-BA-6065-00105-0000</v>
          </cell>
          <cell r="E339" t="str">
            <v>Proposed Welding Specification (PP Repair 16 PL5)</v>
          </cell>
          <cell r="F339">
            <v>3</v>
          </cell>
          <cell r="G339" t="str">
            <v>Code A</v>
          </cell>
        </row>
        <row r="340">
          <cell r="A340" t="str">
            <v>KHF-00-104265-BA-6065-00110-0000-1</v>
          </cell>
          <cell r="B340" t="str">
            <v>KHF_AIP_D_EXT_00258</v>
          </cell>
          <cell r="C340">
            <v>43184</v>
          </cell>
          <cell r="D340" t="str">
            <v>KHF-00-104265-BA-6065-00110-0000</v>
          </cell>
          <cell r="E340" t="str">
            <v>Proposed Welding Procedure Specification for Mainline 16 PL 1 &amp; PL 2</v>
          </cell>
          <cell r="F340">
            <v>1</v>
          </cell>
          <cell r="G340" t="str">
            <v>Code A</v>
          </cell>
        </row>
        <row r="341">
          <cell r="A341" t="str">
            <v>KHF-00-104265-BA-6065-00111-0000-1</v>
          </cell>
          <cell r="B341" t="str">
            <v>KHF_AIP_D_EXT_00258</v>
          </cell>
          <cell r="C341">
            <v>43184</v>
          </cell>
          <cell r="D341" t="str">
            <v>KHF-00-104265-BA-6065-00111-0000</v>
          </cell>
          <cell r="E341" t="str">
            <v>Proposed Welding Procedure Specification  for Tie-in 16 PL 1 &amp; PL 2</v>
          </cell>
          <cell r="F341">
            <v>1</v>
          </cell>
          <cell r="G341" t="str">
            <v>Code A</v>
          </cell>
        </row>
        <row r="342">
          <cell r="A342" t="str">
            <v>KHF-00-104265-BA-6065-00112-0000-1</v>
          </cell>
          <cell r="B342" t="str">
            <v>KHF_AIP_D_EXT_00258</v>
          </cell>
          <cell r="C342">
            <v>43184</v>
          </cell>
          <cell r="D342" t="str">
            <v>KHF-00-104265-BA-6065-00112-0000</v>
          </cell>
          <cell r="E342" t="str">
            <v>Proposed Welding Procedure Specification for FP Repair 16 PL 1 &amp; PL 2</v>
          </cell>
          <cell r="F342">
            <v>1</v>
          </cell>
          <cell r="G342" t="str">
            <v>Code A</v>
          </cell>
        </row>
        <row r="343">
          <cell r="A343" t="str">
            <v>KHF-00-104265-BA-6065-00113-0000-1</v>
          </cell>
          <cell r="B343" t="str">
            <v>KHF_AIP_D_EXT_00258</v>
          </cell>
          <cell r="C343">
            <v>43184</v>
          </cell>
          <cell r="D343" t="str">
            <v>KHF-00-104265-BA-6065-00113-0000</v>
          </cell>
          <cell r="E343" t="str">
            <v>Proposed Welding Procedure Specification for PP Repair 16 PL 1 &amp; PL 2</v>
          </cell>
          <cell r="F343">
            <v>1</v>
          </cell>
          <cell r="G343" t="str">
            <v>Code A</v>
          </cell>
        </row>
        <row r="344">
          <cell r="A344" t="str">
            <v>KHF-00-104265-QA-6180-00135-0000-4</v>
          </cell>
          <cell r="B344" t="str">
            <v>KHF_AIP_D_EXT_00259</v>
          </cell>
          <cell r="C344">
            <v>43184</v>
          </cell>
          <cell r="D344" t="str">
            <v>KHF-00-104265-QA-6180-00135-0000</v>
          </cell>
          <cell r="E344" t="str">
            <v>Quality Control Procedure for Welding Consumable Storage Preservation Handling</v>
          </cell>
          <cell r="F344">
            <v>4</v>
          </cell>
          <cell r="G344" t="str">
            <v>Code A</v>
          </cell>
        </row>
        <row r="345">
          <cell r="A345" t="str">
            <v>KHF-00-104265-QA-6180-10020-0000-1</v>
          </cell>
          <cell r="B345" t="str">
            <v>KHF_AIP_D_EXT_00260</v>
          </cell>
          <cell r="C345">
            <v>43184</v>
          </cell>
          <cell r="D345" t="str">
            <v>KHF-00-104265-QA-6180-10020-0000</v>
          </cell>
          <cell r="E345" t="str">
            <v>Procedure for Materials Storage and Preservation</v>
          </cell>
          <cell r="F345">
            <v>1</v>
          </cell>
          <cell r="G345" t="str">
            <v>Code A</v>
          </cell>
        </row>
        <row r="346">
          <cell r="A346" t="str">
            <v>KHF-00-104265-RA-8241-51022-0000-1</v>
          </cell>
          <cell r="B346" t="str">
            <v>KHF_AIP_D_EXT_00261</v>
          </cell>
          <cell r="C346">
            <v>43184</v>
          </cell>
          <cell r="D346" t="str">
            <v>KHF-00-104265-RA-8241-51022-0000</v>
          </cell>
          <cell r="E346" t="str">
            <v>Material Approval Sheet for Epoxy Grout</v>
          </cell>
          <cell r="F346">
            <v>1</v>
          </cell>
          <cell r="G346" t="str">
            <v>Code D</v>
          </cell>
        </row>
        <row r="347">
          <cell r="A347" t="str">
            <v>KHF-00-104265-RA-8241-51026-0000-1</v>
          </cell>
          <cell r="B347" t="str">
            <v>KHF_AIP_D_EXT_00262</v>
          </cell>
          <cell r="C347">
            <v>43184</v>
          </cell>
          <cell r="D347" t="str">
            <v>KHF-00-104265-RA-8241-51026-0000</v>
          </cell>
          <cell r="E347" t="str">
            <v>Material Approval Sheet for Fencing</v>
          </cell>
          <cell r="F347">
            <v>1</v>
          </cell>
          <cell r="G347" t="str">
            <v>Code B</v>
          </cell>
        </row>
        <row r="348">
          <cell r="A348" t="str">
            <v>KHF-00-104265-RA-8241-51016-0000-2</v>
          </cell>
          <cell r="B348" t="str">
            <v>KHF_AIP_D_EXT_00263</v>
          </cell>
          <cell r="C348">
            <v>43184</v>
          </cell>
          <cell r="D348" t="str">
            <v>KHF-00-104265-RA-8241-51016-0000</v>
          </cell>
          <cell r="E348" t="str">
            <v>Material Approval Sheet for Concrete Protective Coating</v>
          </cell>
          <cell r="F348">
            <v>2</v>
          </cell>
          <cell r="G348" t="str">
            <v>Code D</v>
          </cell>
        </row>
        <row r="349">
          <cell r="A349" t="str">
            <v>KHF-00-104265-RA-8241-51023-0000-1</v>
          </cell>
          <cell r="B349" t="str">
            <v>KHF_AIP_D_EXT_00264</v>
          </cell>
          <cell r="C349">
            <v>43184</v>
          </cell>
          <cell r="D349" t="str">
            <v>KHF-00-104265-RA-8241-51023-0000</v>
          </cell>
          <cell r="E349" t="str">
            <v>Material Approval Sheet for Concrete Repair Mortar</v>
          </cell>
          <cell r="F349">
            <v>1</v>
          </cell>
          <cell r="G349" t="str">
            <v>Code B</v>
          </cell>
        </row>
        <row r="350">
          <cell r="A350" t="str">
            <v>KHF-00-104265-RA-8241-51025-0000-1</v>
          </cell>
          <cell r="B350" t="str">
            <v>KHF_AIP_D_EXT_00265</v>
          </cell>
          <cell r="C350">
            <v>43184</v>
          </cell>
          <cell r="D350" t="str">
            <v>KHF-00-104265-RA-8241-51025-0000</v>
          </cell>
          <cell r="E350" t="str">
            <v>Material Approval Sheet for Rendroc FC</v>
          </cell>
          <cell r="F350">
            <v>1</v>
          </cell>
          <cell r="G350" t="str">
            <v>Code C</v>
          </cell>
        </row>
        <row r="351">
          <cell r="A351" t="str">
            <v>KHF-00-104265-QA-5733-22009-0000-2</v>
          </cell>
          <cell r="B351" t="str">
            <v>KHF_AIP_D_EXT_00266</v>
          </cell>
          <cell r="C351">
            <v>43185</v>
          </cell>
          <cell r="D351" t="str">
            <v>KHF-00-104265-QA-5733-22009-0000</v>
          </cell>
          <cell r="E351" t="str">
            <v>Inspection &amp; Test Plan - Fabrication and Testing of Utilities Piping for Threaded - Screwed type</v>
          </cell>
          <cell r="F351">
            <v>2</v>
          </cell>
          <cell r="G351" t="str">
            <v>Code A</v>
          </cell>
        </row>
        <row r="352">
          <cell r="A352" t="str">
            <v>KHF-00-104265-QA-6050-32005-0000-2</v>
          </cell>
          <cell r="B352" t="str">
            <v>KHF_AIP_D_EXT_00267</v>
          </cell>
          <cell r="C352">
            <v>43185</v>
          </cell>
          <cell r="D352" t="str">
            <v>KHF-00-104265-QA-6050-32005-0000</v>
          </cell>
          <cell r="E352" t="str">
            <v>Quality Control Procedure for Handling of Welding Consumables</v>
          </cell>
          <cell r="F352">
            <v>2</v>
          </cell>
          <cell r="G352" t="str">
            <v>Code B</v>
          </cell>
        </row>
        <row r="353">
          <cell r="A353" t="str">
            <v>---</v>
          </cell>
          <cell r="B353" t="str">
            <v>KHF_AIP_D_EXT_00268</v>
          </cell>
          <cell r="C353">
            <v>43186</v>
          </cell>
          <cell r="D353" t="str">
            <v>-</v>
          </cell>
          <cell r="E353" t="str">
            <v>AFC Drawings</v>
          </cell>
          <cell r="F353" t="str">
            <v>-</v>
          </cell>
          <cell r="G353" t="str">
            <v>Total 100 drawings</v>
          </cell>
        </row>
        <row r="354">
          <cell r="A354" t="str">
            <v>KHF-00-104265-AA-5880-10002-0000-1</v>
          </cell>
          <cell r="B354" t="str">
            <v>KHF_AIP_D_EXT_00269</v>
          </cell>
          <cell r="C354">
            <v>43187</v>
          </cell>
          <cell r="D354" t="str">
            <v>KHF-00-104265-AA-5880-10002-0000</v>
          </cell>
          <cell r="E354" t="str">
            <v>Contractor Key Personnel Mobilisation Plan</v>
          </cell>
          <cell r="F354">
            <v>1</v>
          </cell>
          <cell r="G354" t="str">
            <v>Code B</v>
          </cell>
        </row>
        <row r="355">
          <cell r="A355" t="str">
            <v>KHF-00-104265-RA-8241-51020-0000-1</v>
          </cell>
          <cell r="B355" t="str">
            <v>KHF_AIP_D_EXT_00270</v>
          </cell>
          <cell r="C355">
            <v>43187</v>
          </cell>
          <cell r="D355" t="str">
            <v>KHF-00-104265-RA-8241-51020-0000</v>
          </cell>
          <cell r="E355" t="str">
            <v>Material Approval Sheet for PVC Waterstoper (Supercast Watafoil sections - 250 mm)</v>
          </cell>
          <cell r="F355">
            <v>1</v>
          </cell>
          <cell r="G355" t="str">
            <v>Code B</v>
          </cell>
        </row>
        <row r="356">
          <cell r="A356" t="str">
            <v>KHF-00-104265-RA-8241-51024-0000-1</v>
          </cell>
          <cell r="B356" t="str">
            <v>KHF_AIP_D_EXT_00271</v>
          </cell>
          <cell r="C356">
            <v>43187</v>
          </cell>
          <cell r="D356" t="str">
            <v>KHF-00-104265-RA-8241-51024-0000</v>
          </cell>
          <cell r="E356" t="str">
            <v>Material Approval Sheet for Tritocell 20/25MM</v>
          </cell>
          <cell r="F356">
            <v>1</v>
          </cell>
          <cell r="G356" t="str">
            <v>Code B</v>
          </cell>
        </row>
        <row r="357">
          <cell r="A357" t="str">
            <v>KHF-00-104265-AA-5880-10003-0000-2</v>
          </cell>
          <cell r="B357" t="str">
            <v>KHF_AIP_D_EXT_00272</v>
          </cell>
          <cell r="C357">
            <v>43187</v>
          </cell>
          <cell r="D357" t="str">
            <v>KHF-00-104265-AA-5880-10003-0000</v>
          </cell>
          <cell r="E357" t="str">
            <v>Contractor Mobilization Plan</v>
          </cell>
          <cell r="F357">
            <v>2</v>
          </cell>
          <cell r="G357" t="str">
            <v>Code D</v>
          </cell>
        </row>
        <row r="358">
          <cell r="A358" t="str">
            <v>KHF-00-104265-JA-6017-10010-0000-2</v>
          </cell>
          <cell r="B358" t="str">
            <v>KHF_AIP_D_EXT_00273</v>
          </cell>
          <cell r="C358">
            <v>43187</v>
          </cell>
          <cell r="D358" t="str">
            <v>KHF-00-104265-JA-6017-10010-0000</v>
          </cell>
          <cell r="E358" t="str">
            <v>Information Management Plan</v>
          </cell>
          <cell r="F358">
            <v>2</v>
          </cell>
          <cell r="G358" t="str">
            <v>Code B</v>
          </cell>
        </row>
        <row r="359">
          <cell r="A359" t="str">
            <v>KHF-00-104265-JA-6017-10026-0000-1</v>
          </cell>
          <cell r="B359" t="str">
            <v>KHF_AIP_D_EXT_00274</v>
          </cell>
          <cell r="C359">
            <v>43187</v>
          </cell>
          <cell r="D359" t="str">
            <v>KHF-00-104265-JA-6017-10026-0000</v>
          </cell>
          <cell r="E359" t="str">
            <v>Document Control Procedure</v>
          </cell>
          <cell r="F359">
            <v>1</v>
          </cell>
          <cell r="G359" t="str">
            <v>Code B</v>
          </cell>
        </row>
        <row r="360">
          <cell r="A360" t="str">
            <v>KHF-00-104265-AA-3341-60042-0000-1</v>
          </cell>
          <cell r="B360" t="str">
            <v>KHF_AIP_D_EXT_00275</v>
          </cell>
          <cell r="C360">
            <v>43188</v>
          </cell>
          <cell r="D360" t="str">
            <v>KHF-00-104265-AA-3341-60042-0000</v>
          </cell>
          <cell r="E360" t="str">
            <v>CV of Mr. Tejesh Mangalapu - Welding Engineer</v>
          </cell>
          <cell r="F360">
            <v>1</v>
          </cell>
          <cell r="G360" t="str">
            <v>Code D</v>
          </cell>
        </row>
        <row r="361">
          <cell r="A361" t="str">
            <v>KHF-00-104265-AA-6180-10023-0000-1</v>
          </cell>
          <cell r="B361" t="str">
            <v>KHF_AIP_D_EXT_00276</v>
          </cell>
          <cell r="C361">
            <v>43188</v>
          </cell>
          <cell r="D361" t="str">
            <v>KHF-00-104265-AA-6180-10023-0000</v>
          </cell>
          <cell r="E361" t="str">
            <v>Procedure for Technical Deviation and Technical Query</v>
          </cell>
          <cell r="F361">
            <v>1</v>
          </cell>
          <cell r="G361" t="str">
            <v>Code D</v>
          </cell>
        </row>
        <row r="362">
          <cell r="A362" t="str">
            <v>KHF-00-104265-QA-5733-24001-0000-1</v>
          </cell>
          <cell r="B362" t="str">
            <v>KHF_AIP_D_EXT_00277</v>
          </cell>
          <cell r="C362">
            <v>43191</v>
          </cell>
          <cell r="D362" t="str">
            <v>KHF-00-104265-QA-5733-24001-0000</v>
          </cell>
          <cell r="E362" t="str">
            <v>Inspection &amp; Test Plan - Instrument Cable Laying &amp; Cable Tray Installation</v>
          </cell>
          <cell r="F362">
            <v>1</v>
          </cell>
          <cell r="G362" t="str">
            <v>Code D</v>
          </cell>
        </row>
        <row r="363">
          <cell r="A363" t="str">
            <v>KHF-00-104265-VA-6047-10006-0000-3</v>
          </cell>
          <cell r="B363" t="str">
            <v>KHF_AIP_D_EXT_00278</v>
          </cell>
          <cell r="C363">
            <v>43191</v>
          </cell>
          <cell r="D363" t="str">
            <v>KHF-00-104265-VA-6047-10006-0000</v>
          </cell>
          <cell r="E363" t="str">
            <v>Contract Procurement Plan</v>
          </cell>
          <cell r="F363">
            <v>3</v>
          </cell>
          <cell r="G363" t="str">
            <v>Code B</v>
          </cell>
        </row>
        <row r="364">
          <cell r="A364" t="str">
            <v>KHF-00-104265-BA-6070-00101-0000-2</v>
          </cell>
          <cell r="B364" t="str">
            <v>KHF_AIP_D_EXT_00279</v>
          </cell>
          <cell r="C364">
            <v>43193</v>
          </cell>
          <cell r="D364" t="str">
            <v>KHF-00-104265-BA-6070-00101-0000</v>
          </cell>
          <cell r="E364" t="str">
            <v>Method Statement for Surveying and setting out</v>
          </cell>
          <cell r="F364">
            <v>2</v>
          </cell>
          <cell r="G364" t="str">
            <v>Code A</v>
          </cell>
        </row>
        <row r="365">
          <cell r="A365" t="str">
            <v>KHF-00-104265-BA-6070-00107-0000-2</v>
          </cell>
          <cell r="B365" t="str">
            <v>KHF_AIP_D_EXT_00280</v>
          </cell>
          <cell r="C365">
            <v>43193</v>
          </cell>
          <cell r="D365" t="str">
            <v>KHF-00-104265-BA-6070-00107-0000</v>
          </cell>
          <cell r="E365" t="str">
            <v>Method Statement for Trenching</v>
          </cell>
          <cell r="F365">
            <v>2</v>
          </cell>
          <cell r="G365" t="str">
            <v>Code A</v>
          </cell>
        </row>
        <row r="366">
          <cell r="A366" t="str">
            <v>KHF-00-104265-BA-6070-00111-0000-2</v>
          </cell>
          <cell r="B366" t="str">
            <v>KHF_AIP_D_EXT_00281</v>
          </cell>
          <cell r="C366">
            <v>43193</v>
          </cell>
          <cell r="D366" t="str">
            <v>KHF-00-104265-BA-6070-00111-0000</v>
          </cell>
          <cell r="E366" t="str">
            <v>Method Statement for Pre-padding of trench</v>
          </cell>
          <cell r="F366">
            <v>2</v>
          </cell>
          <cell r="G366" t="str">
            <v>Code A</v>
          </cell>
        </row>
        <row r="367">
          <cell r="A367" t="str">
            <v>KHF-00-104265-MP-6180-00134-0000-2</v>
          </cell>
          <cell r="B367" t="str">
            <v>KHF_AIP_D_EXT_00282</v>
          </cell>
          <cell r="C367">
            <v>43193</v>
          </cell>
          <cell r="D367" t="str">
            <v>KHF-00-104265-MP-6180-00134-0000</v>
          </cell>
          <cell r="E367" t="str">
            <v>Method Statement for Application of STOPAQ</v>
          </cell>
          <cell r="F367">
            <v>2</v>
          </cell>
          <cell r="G367" t="str">
            <v>Code A</v>
          </cell>
        </row>
        <row r="368">
          <cell r="A368" t="str">
            <v>---</v>
          </cell>
          <cell r="B368" t="str">
            <v>KHF_AIP_D_EXT_00283</v>
          </cell>
          <cell r="C368">
            <v>43193</v>
          </cell>
          <cell r="D368" t="str">
            <v>-</v>
          </cell>
          <cell r="E368" t="str">
            <v>AFC Drawings</v>
          </cell>
          <cell r="F368" t="str">
            <v>-</v>
          </cell>
          <cell r="G368" t="str">
            <v>Total 40 drawings</v>
          </cell>
        </row>
        <row r="369">
          <cell r="A369" t="str">
            <v>KHF-00-104265-BA-6065-50051-0000-1</v>
          </cell>
          <cell r="B369" t="str">
            <v>KHF_AIP_D_EXT_00284</v>
          </cell>
          <cell r="C369">
            <v>43194</v>
          </cell>
          <cell r="D369" t="str">
            <v>KHF-00-104265-BA-6065-50051-0000</v>
          </cell>
          <cell r="E369" t="str">
            <v>WPS Register - On-Plot Piping</v>
          </cell>
          <cell r="F369">
            <v>1</v>
          </cell>
          <cell r="G369" t="str">
            <v>Code D</v>
          </cell>
        </row>
        <row r="370">
          <cell r="A370" t="str">
            <v>KHF-00-104265-BA-6065-50052-0000-1</v>
          </cell>
          <cell r="B370" t="str">
            <v>KHF_AIP_D_EXT_00284</v>
          </cell>
          <cell r="C370">
            <v>43194</v>
          </cell>
          <cell r="D370" t="str">
            <v>KHF-00-104265-BA-6065-50052-0000</v>
          </cell>
          <cell r="E370" t="str">
            <v>Welding Procedure Specification - (AIP-WPS-T-077 (C311527)) Carbon Steel &amp; LTCS. 2.77mm to 12.0mm</v>
          </cell>
          <cell r="F370">
            <v>1</v>
          </cell>
          <cell r="G370" t="str">
            <v>Code D</v>
          </cell>
        </row>
        <row r="371">
          <cell r="A371" t="str">
            <v>KHF-00-104265-BA-6065-50053-0000-1</v>
          </cell>
          <cell r="B371" t="str">
            <v>KHF_AIP_D_EXT_00284</v>
          </cell>
          <cell r="C371">
            <v>43194</v>
          </cell>
          <cell r="D371" t="str">
            <v>KHF-00-104265-BA-6065-50053-0000</v>
          </cell>
          <cell r="E371" t="str">
            <v>Welding Procedure Specification - (AIP-WPS-TM-549 (C311527)) Carbon Steel &amp; LTCS. 5.0mm to 20.0mm</v>
          </cell>
          <cell r="F371">
            <v>1</v>
          </cell>
          <cell r="G371" t="str">
            <v>Code D</v>
          </cell>
        </row>
        <row r="372">
          <cell r="A372" t="str">
            <v>KHF-00-104265-BA-6065-50054-0000-1</v>
          </cell>
          <cell r="B372" t="str">
            <v>KHF_AIP_D_EXT_00284</v>
          </cell>
          <cell r="C372">
            <v>43194</v>
          </cell>
          <cell r="D372" t="str">
            <v>KHF-00-104265-BA-6065-50054-0000</v>
          </cell>
          <cell r="E372" t="str">
            <v>Welding Procedure Specification - (AIP-WPS-T-065 (C311527)) Stainless Steel. 2.77mm to 6.10mm</v>
          </cell>
          <cell r="F372">
            <v>1</v>
          </cell>
          <cell r="G372" t="str">
            <v>Code D</v>
          </cell>
        </row>
        <row r="373">
          <cell r="A373" t="str">
            <v>KHF-00-104265-BA-6065-50055-0000-1</v>
          </cell>
          <cell r="B373" t="str">
            <v>KHF_AIP_D_EXT_00284</v>
          </cell>
          <cell r="C373">
            <v>43194</v>
          </cell>
          <cell r="D373" t="str">
            <v>KHF-00-104265-BA-6065-50055-0000</v>
          </cell>
          <cell r="E373" t="str">
            <v>Welding Procedure Specification - (AIP-WPS-TM-196 (C311527)) Stainless Steel. 5.0mm to 40.0mm</v>
          </cell>
          <cell r="F373">
            <v>1</v>
          </cell>
          <cell r="G373" t="str">
            <v>Code D</v>
          </cell>
        </row>
        <row r="374">
          <cell r="A374" t="str">
            <v>KHF-00-104265-FA-5765-10040-0000-2</v>
          </cell>
          <cell r="B374" t="str">
            <v>KHF_AIP_D_EXT_00285</v>
          </cell>
          <cell r="C374">
            <v>43194</v>
          </cell>
          <cell r="D374" t="str">
            <v>KHF-00-104265-FA-5765-10040-0000</v>
          </cell>
          <cell r="E374" t="str">
            <v>Project Schedule - Level 04</v>
          </cell>
          <cell r="F374">
            <v>2</v>
          </cell>
          <cell r="G374" t="str">
            <v>Code B</v>
          </cell>
        </row>
        <row r="375">
          <cell r="A375" t="str">
            <v>KHF-00-104265-FA-5804-10027-0000-2</v>
          </cell>
          <cell r="B375" t="str">
            <v>KHF_AIP_D_EXT_00286</v>
          </cell>
          <cell r="C375">
            <v>43194</v>
          </cell>
          <cell r="D375" t="str">
            <v>KHF-00-104265-FA-5804-10027-0000</v>
          </cell>
          <cell r="E375" t="str">
            <v>Project Event Calendar</v>
          </cell>
          <cell r="F375">
            <v>2</v>
          </cell>
          <cell r="G375" t="str">
            <v>Code A</v>
          </cell>
        </row>
        <row r="376">
          <cell r="A376" t="str">
            <v>KHF-00-104265-FA-6180-10025-0000-2</v>
          </cell>
          <cell r="B376" t="str">
            <v>KHF_AIP_D_EXT_00287</v>
          </cell>
          <cell r="C376">
            <v>43194</v>
          </cell>
          <cell r="D376" t="str">
            <v>KHF-00-104265-FA-6180-10025-0000</v>
          </cell>
          <cell r="E376" t="str">
            <v>Planning, Progress measurement and Reporting Procedure</v>
          </cell>
          <cell r="F376">
            <v>2</v>
          </cell>
          <cell r="G376" t="str">
            <v>Code A</v>
          </cell>
        </row>
        <row r="377">
          <cell r="A377" t="str">
            <v>KHF-00-104265-RA-8241-51027-0000-1</v>
          </cell>
          <cell r="B377" t="str">
            <v>KHF_AIP_D_EXT_00288</v>
          </cell>
          <cell r="C377">
            <v>43194</v>
          </cell>
          <cell r="D377" t="str">
            <v>KHF-00-104265-RA-8241-51027-0000</v>
          </cell>
          <cell r="E377" t="str">
            <v>Material Approval Sheet for Water proof Membrane / Tanking System</v>
          </cell>
          <cell r="F377">
            <v>1</v>
          </cell>
          <cell r="G377" t="str">
            <v>Code B</v>
          </cell>
        </row>
        <row r="378">
          <cell r="A378" t="str">
            <v>KHF-00-104265-QA-5733-23002-0000-1</v>
          </cell>
          <cell r="B378" t="str">
            <v>KHF_AIP_D_EXT_00289</v>
          </cell>
          <cell r="C378">
            <v>43199</v>
          </cell>
          <cell r="D378" t="str">
            <v>KHF-00-104265-QA-5733-23002-0000</v>
          </cell>
          <cell r="E378" t="str">
            <v>Inspection &amp; Test Plan for HV/LV Cable Glanding &amp; Termination</v>
          </cell>
          <cell r="F378">
            <v>1</v>
          </cell>
          <cell r="G378" t="str">
            <v>Code B</v>
          </cell>
        </row>
        <row r="379">
          <cell r="A379" t="str">
            <v>KHF-00-104265-QA-5733-23004-0000-1</v>
          </cell>
          <cell r="B379" t="str">
            <v>KHF_AIP_D_EXT_00290</v>
          </cell>
          <cell r="C379">
            <v>43199</v>
          </cell>
          <cell r="D379" t="str">
            <v>KHF-00-104265-QA-5733-23004-0000</v>
          </cell>
          <cell r="E379" t="str">
            <v>Inspection &amp; Test Plan - Cable Tray and Supports Installation</v>
          </cell>
          <cell r="F379">
            <v>1</v>
          </cell>
          <cell r="G379" t="str">
            <v>Code B</v>
          </cell>
        </row>
        <row r="380">
          <cell r="A380" t="str">
            <v>KHF-00-104265-QA-5733-23007-0000-1</v>
          </cell>
          <cell r="B380" t="str">
            <v>KHF_AIP_D_EXT_00290</v>
          </cell>
          <cell r="C380">
            <v>43199</v>
          </cell>
          <cell r="D380" t="str">
            <v>KHF-00-104265-QA-5733-23007-0000</v>
          </cell>
          <cell r="E380" t="str">
            <v>Inspection &amp; Test Plan - Transformer Installation &amp; Testing</v>
          </cell>
          <cell r="F380">
            <v>1</v>
          </cell>
          <cell r="G380" t="str">
            <v>Code A</v>
          </cell>
        </row>
        <row r="381">
          <cell r="A381" t="str">
            <v>KHF-00-104265-QA-5733-24002-0000-1</v>
          </cell>
          <cell r="B381" t="str">
            <v>KHF_AIP_D_EXT_00291</v>
          </cell>
          <cell r="C381">
            <v>43199</v>
          </cell>
          <cell r="D381" t="str">
            <v>KHF-00-104265-QA-5733-24002-0000</v>
          </cell>
          <cell r="E381" t="str">
            <v>Inspection &amp; Test Plan for Instrument Cable Glanding, Termination  &amp; Earthing</v>
          </cell>
          <cell r="F381">
            <v>1</v>
          </cell>
          <cell r="G381" t="str">
            <v>Code A</v>
          </cell>
        </row>
        <row r="382">
          <cell r="A382" t="str">
            <v>KHF-00-104265-QA-5733-24003-0000-1</v>
          </cell>
          <cell r="B382" t="str">
            <v>KHF_AIP_D_EXT_00292</v>
          </cell>
          <cell r="C382">
            <v>43199</v>
          </cell>
          <cell r="D382" t="str">
            <v>KHF-00-104265-QA-5733-24003-0000</v>
          </cell>
          <cell r="E382" t="str">
            <v>Inspection &amp; Test Plan for Installation of Field Instruments, Instrument Panels, Junction Boxes &amp; Supports</v>
          </cell>
          <cell r="F382">
            <v>1</v>
          </cell>
          <cell r="G382" t="str">
            <v>Code B</v>
          </cell>
        </row>
        <row r="383">
          <cell r="A383" t="str">
            <v>KHF-00-104265-QA-5733-24006-0000-1</v>
          </cell>
          <cell r="B383" t="str">
            <v>KHF_AIP_D_EXT_00293</v>
          </cell>
          <cell r="C383">
            <v>43199</v>
          </cell>
          <cell r="D383" t="str">
            <v>KHF-00-104265-QA-5733-24006-0000</v>
          </cell>
          <cell r="E383" t="str">
            <v>Inspection &amp; Test Plan for Calibration of Instruments (Gauges Transmitters F&amp;G Instruments)</v>
          </cell>
          <cell r="F383">
            <v>1</v>
          </cell>
          <cell r="G383" t="str">
            <v>Code B</v>
          </cell>
        </row>
        <row r="384">
          <cell r="A384" t="str">
            <v>KHF-00-104265-QA-5733-23003-0000-1</v>
          </cell>
          <cell r="B384" t="str">
            <v>KHF_AIP_D_EXT_00294</v>
          </cell>
          <cell r="C384">
            <v>43199</v>
          </cell>
          <cell r="D384" t="str">
            <v>KHF-00-104265-QA-5733-23003-0000</v>
          </cell>
          <cell r="E384" t="str">
            <v>Inspection &amp; Test Plan - Switchgear Installation Works</v>
          </cell>
          <cell r="F384">
            <v>1</v>
          </cell>
          <cell r="G384" t="str">
            <v>Code A</v>
          </cell>
        </row>
        <row r="385">
          <cell r="A385" t="str">
            <v>KHF-00-104265-RA-8241-51015-0000-2</v>
          </cell>
          <cell r="B385" t="str">
            <v>KHF_AIP_D_EXT_00295</v>
          </cell>
          <cell r="C385">
            <v>43201</v>
          </cell>
          <cell r="D385" t="str">
            <v>KHF-00-104265-RA-8241-51015-0000</v>
          </cell>
          <cell r="E385" t="str">
            <v>Material Approval Sheet for Granular Fill Material Type-B</v>
          </cell>
          <cell r="F385">
            <v>2</v>
          </cell>
          <cell r="G385" t="str">
            <v>Code A</v>
          </cell>
        </row>
        <row r="386">
          <cell r="A386" t="str">
            <v>---</v>
          </cell>
          <cell r="B386" t="str">
            <v>KHF_AIP_D_EXT_00296</v>
          </cell>
          <cell r="C386">
            <v>43201</v>
          </cell>
          <cell r="D386" t="str">
            <v>-</v>
          </cell>
          <cell r="E386" t="str">
            <v>AFC Drawings</v>
          </cell>
          <cell r="F386" t="str">
            <v>-</v>
          </cell>
          <cell r="G386">
            <v>0</v>
          </cell>
        </row>
        <row r="387">
          <cell r="A387" t="str">
            <v>KHF-00-104265-BA-6065-00106-0000-1</v>
          </cell>
          <cell r="B387" t="str">
            <v>KHF_AIP_D_EXT_00297</v>
          </cell>
          <cell r="C387">
            <v>43201</v>
          </cell>
          <cell r="D387" t="str">
            <v>KHF-00-104265-BA-6065-00106-0000</v>
          </cell>
          <cell r="E387" t="str">
            <v>Proposed Welding Procedure Specification Mainline Applicable for Pl 7 PL8PL 9 &amp; 9A</v>
          </cell>
          <cell r="F387">
            <v>1</v>
          </cell>
          <cell r="G387" t="str">
            <v>Code A</v>
          </cell>
        </row>
        <row r="388">
          <cell r="A388" t="str">
            <v>KHF-00-104265-BA-6065-00107-0000-1</v>
          </cell>
          <cell r="B388" t="str">
            <v>KHF_AIP_D_EXT_00297</v>
          </cell>
          <cell r="C388">
            <v>43201</v>
          </cell>
          <cell r="D388" t="str">
            <v>KHF-00-104265-BA-6065-00107-0000</v>
          </cell>
          <cell r="E388" t="str">
            <v>Proposed Welding Procedure Specification Tie-in  Applicable for Pl 7  PL8 PL 9 &amp; 9A</v>
          </cell>
          <cell r="F388">
            <v>1</v>
          </cell>
          <cell r="G388" t="str">
            <v>Code A</v>
          </cell>
        </row>
        <row r="389">
          <cell r="A389" t="str">
            <v>KHF-00-104265-BA-6065-00108-0000-1</v>
          </cell>
          <cell r="B389" t="str">
            <v>KHF_AIP_D_EXT_00297</v>
          </cell>
          <cell r="C389">
            <v>43201</v>
          </cell>
          <cell r="D389" t="str">
            <v>KHF-00-104265-BA-6065-00108-0000</v>
          </cell>
          <cell r="E389" t="str">
            <v>Proposed Welding Procedure Specification FP Repair  Applicable for Pl 7  PL8PL 9 &amp; 9A</v>
          </cell>
          <cell r="F389">
            <v>1</v>
          </cell>
          <cell r="G389" t="str">
            <v>Code A</v>
          </cell>
        </row>
        <row r="390">
          <cell r="A390" t="str">
            <v>KHF-00-104265-BA-6065-00109-0000-1</v>
          </cell>
          <cell r="B390" t="str">
            <v>KHF_AIP_D_EXT_00297</v>
          </cell>
          <cell r="C390">
            <v>43201</v>
          </cell>
          <cell r="D390" t="str">
            <v>KHF-00-104265-BA-6065-00109-0000</v>
          </cell>
          <cell r="E390" t="str">
            <v>Proposed Welding Procedure Specification PP Repair Applicable for Pl 7 PL8 PL 9 &amp; 9A</v>
          </cell>
          <cell r="F390">
            <v>1</v>
          </cell>
          <cell r="G390" t="str">
            <v>Code A</v>
          </cell>
        </row>
        <row r="391">
          <cell r="A391" t="str">
            <v>KHF-00-104265-BA-6070-00104-0000-1</v>
          </cell>
          <cell r="B391" t="str">
            <v>KHF_AIP_D_EXT_00298</v>
          </cell>
          <cell r="C391">
            <v>43201</v>
          </cell>
          <cell r="D391" t="str">
            <v>KHF-00-104265-BA-6070-00104-0000</v>
          </cell>
          <cell r="E391" t="str">
            <v>Method Statement for Welding - Offplot</v>
          </cell>
          <cell r="F391">
            <v>1</v>
          </cell>
          <cell r="G391" t="str">
            <v>Code B</v>
          </cell>
        </row>
        <row r="392">
          <cell r="A392" t="str">
            <v>KHF-00-104133-JA-6611-00009-0000-2</v>
          </cell>
          <cell r="B392" t="str">
            <v>KHF_AIP_D_EXT_00299</v>
          </cell>
          <cell r="C392">
            <v>43201</v>
          </cell>
          <cell r="D392" t="str">
            <v>KHF-00-104133-JA-6611-00009-0000</v>
          </cell>
          <cell r="E392" t="str">
            <v>NAVISWORK MODEL FOR OFF PLOT AND POWER PLANT</v>
          </cell>
          <cell r="F392">
            <v>2</v>
          </cell>
          <cell r="G392" t="str">
            <v>IFI</v>
          </cell>
        </row>
        <row r="393">
          <cell r="A393" t="str">
            <v>KHF-00-104133-JA-6611-00009-0000-3</v>
          </cell>
          <cell r="B393" t="str">
            <v>KHF_AIP_D_EXT_00299</v>
          </cell>
          <cell r="C393">
            <v>43201</v>
          </cell>
          <cell r="D393" t="str">
            <v>KHF-00-104133-JA-6611-00009-0000</v>
          </cell>
          <cell r="E393" t="str">
            <v>NAVISWORK MODEL FOR OFF PLOT AND POWER PLANT</v>
          </cell>
          <cell r="F393">
            <v>3</v>
          </cell>
          <cell r="G393" t="str">
            <v>IFI</v>
          </cell>
        </row>
        <row r="394">
          <cell r="A394" t="str">
            <v>KHF-00-104133-JA-6611-00009-0000-4</v>
          </cell>
          <cell r="B394" t="str">
            <v>KHF_AIP_D_EXT_00299</v>
          </cell>
          <cell r="C394">
            <v>43201</v>
          </cell>
          <cell r="D394" t="str">
            <v>KHF-00-104133-JA-6611-00009-0000</v>
          </cell>
          <cell r="E394" t="str">
            <v>NAVISWORK MODEL FOR OFF PLOT AND POWER PLANT</v>
          </cell>
          <cell r="F394">
            <v>4</v>
          </cell>
          <cell r="G394" t="str">
            <v>IFI</v>
          </cell>
        </row>
        <row r="395">
          <cell r="A395" t="str">
            <v>KHF-00-104133-JA-6611-00009-0000-5</v>
          </cell>
          <cell r="B395" t="str">
            <v>KHF_AIP_D_EXT_00299</v>
          </cell>
          <cell r="C395">
            <v>43201</v>
          </cell>
          <cell r="D395" t="str">
            <v>KHF-00-104133-JA-6611-00009-0000</v>
          </cell>
          <cell r="E395" t="str">
            <v>NAVISWORK MODEL FOR OFF PLOT AND POWER PLANT</v>
          </cell>
          <cell r="F395">
            <v>5</v>
          </cell>
          <cell r="G395" t="str">
            <v>IFI</v>
          </cell>
        </row>
        <row r="396">
          <cell r="A396" t="str">
            <v>KHF-00-104265-BA-6070-00113-0000-1</v>
          </cell>
          <cell r="B396" t="str">
            <v>KHF_AIP_D_EXT_00300</v>
          </cell>
          <cell r="C396">
            <v>43202</v>
          </cell>
          <cell r="D396" t="str">
            <v>KHF-00-104265-BA-6070-00113-0000</v>
          </cell>
          <cell r="E396" t="str">
            <v>Method Statement for Wadi Crossing - CS P/L</v>
          </cell>
          <cell r="F396">
            <v>1</v>
          </cell>
          <cell r="G396" t="str">
            <v>Code B</v>
          </cell>
        </row>
        <row r="397">
          <cell r="A397" t="str">
            <v>KHF-00-104265-BA-6070-00114-0000-1</v>
          </cell>
          <cell r="B397" t="str">
            <v>KHF_AIP_D_EXT_00300</v>
          </cell>
          <cell r="C397">
            <v>43202</v>
          </cell>
          <cell r="D397" t="str">
            <v>KHF-00-104265-BA-6070-00114-0000</v>
          </cell>
          <cell r="E397" t="str">
            <v>Method Statement for Road Crossing - CS P/L</v>
          </cell>
          <cell r="F397">
            <v>1</v>
          </cell>
          <cell r="G397" t="str">
            <v>Code A</v>
          </cell>
        </row>
        <row r="398">
          <cell r="A398" t="str">
            <v>KHF-00-104265-BA-6070-00106-0000-1</v>
          </cell>
          <cell r="B398" t="str">
            <v>KHF_AIP_D_EXT_00301</v>
          </cell>
          <cell r="C398">
            <v>43202</v>
          </cell>
          <cell r="D398" t="str">
            <v>KHF-00-104265-BA-6070-00106-0000</v>
          </cell>
          <cell r="E398" t="str">
            <v>Method Statement for Stringing of line pipes</v>
          </cell>
          <cell r="F398">
            <v>1</v>
          </cell>
          <cell r="G398" t="str">
            <v>Code B</v>
          </cell>
        </row>
        <row r="399">
          <cell r="A399" t="str">
            <v>KHF-00-104265-BA-6070-00108-0000-1</v>
          </cell>
          <cell r="B399" t="str">
            <v>KHF_AIP_D_EXT_00302</v>
          </cell>
          <cell r="C399">
            <v>43202</v>
          </cell>
          <cell r="D399" t="str">
            <v>KHF-00-104265-BA-6070-00108-0000</v>
          </cell>
          <cell r="E399" t="str">
            <v>Method Statement for Cold Bending of Line Pipes</v>
          </cell>
          <cell r="F399">
            <v>1</v>
          </cell>
          <cell r="G399" t="str">
            <v>Code B</v>
          </cell>
        </row>
        <row r="400">
          <cell r="A400" t="str">
            <v>KHF-00-104265-BA-6070-00112-0000-1</v>
          </cell>
          <cell r="B400" t="str">
            <v>KHF_AIP_D_EXT_00303</v>
          </cell>
          <cell r="C400">
            <v>43202</v>
          </cell>
          <cell r="D400" t="str">
            <v>KHF-00-104265-BA-6070-00112-0000</v>
          </cell>
          <cell r="E400" t="str">
            <v>Method Statement for Holiday testing, lowering, post padding &amp; back filling</v>
          </cell>
          <cell r="F400">
            <v>1</v>
          </cell>
          <cell r="G400" t="str">
            <v>Code B</v>
          </cell>
        </row>
        <row r="401">
          <cell r="A401" t="str">
            <v>KHF-00-104265-AA-5800-10042-0000-1</v>
          </cell>
          <cell r="B401" t="str">
            <v>KHF_AIP_D_EXT_00304</v>
          </cell>
          <cell r="C401">
            <v>43202</v>
          </cell>
          <cell r="D401" t="str">
            <v>KHF-00-104265-AA-5800-10042-0000</v>
          </cell>
          <cell r="E401" t="str">
            <v>Interface Management Plan</v>
          </cell>
          <cell r="F401">
            <v>1</v>
          </cell>
          <cell r="G401" t="str">
            <v>Code A</v>
          </cell>
        </row>
        <row r="402">
          <cell r="A402" t="str">
            <v>KHF-00-104265-BA-6070-00102-0000-1</v>
          </cell>
          <cell r="B402" t="str">
            <v>KHF_AIP_D_EXT_00305</v>
          </cell>
          <cell r="C402">
            <v>43206</v>
          </cell>
          <cell r="D402" t="str">
            <v>KHF-00-104265-BA-6070-00102-0000</v>
          </cell>
          <cell r="E402" t="str">
            <v>Method Statement for Concrete Works</v>
          </cell>
          <cell r="F402">
            <v>1</v>
          </cell>
          <cell r="G402" t="str">
            <v>Code B</v>
          </cell>
        </row>
        <row r="403">
          <cell r="A403" t="str">
            <v>KHF-00-104265-BA-6070-00105-0000-2</v>
          </cell>
          <cell r="B403" t="str">
            <v>KHF_AIP_D_EXT_00306</v>
          </cell>
          <cell r="C403">
            <v>43206</v>
          </cell>
          <cell r="D403" t="str">
            <v>KHF-00-104265-BA-6070-00105-0000</v>
          </cell>
          <cell r="E403" t="str">
            <v>Method Statement for ROW Preparation</v>
          </cell>
          <cell r="F403">
            <v>2</v>
          </cell>
          <cell r="G403" t="str">
            <v>Code A</v>
          </cell>
        </row>
        <row r="404">
          <cell r="A404" t="str">
            <v>KHF-00-104265-QA-6050-32005-0000-3</v>
          </cell>
          <cell r="B404" t="str">
            <v>KHF_AIP_D_EXT_00307</v>
          </cell>
          <cell r="C404">
            <v>43206</v>
          </cell>
          <cell r="D404" t="str">
            <v>KHF-00-104265-QA-6050-32005-0000</v>
          </cell>
          <cell r="E404" t="str">
            <v>Quality Control Procedure for Handling of Welding Consumables</v>
          </cell>
          <cell r="F404">
            <v>3</v>
          </cell>
          <cell r="G404" t="str">
            <v>Code A</v>
          </cell>
        </row>
        <row r="405">
          <cell r="A405" t="str">
            <v>KHF-00-104265-RA-8241-51028-0000-1</v>
          </cell>
          <cell r="B405" t="str">
            <v>KHF_AIP_D_EXT_00308</v>
          </cell>
          <cell r="C405">
            <v>43206</v>
          </cell>
          <cell r="D405" t="str">
            <v>KHF-00-104265-RA-8241-51028-0000</v>
          </cell>
          <cell r="E405" t="str">
            <v>Material Approval Sheet for 18MM &amp; 25MM Thick Expansion Joint Filler Boards</v>
          </cell>
          <cell r="F405">
            <v>1</v>
          </cell>
          <cell r="G405" t="str">
            <v>Code A</v>
          </cell>
        </row>
        <row r="406">
          <cell r="A406" t="str">
            <v>KHF-00-104265-RA-8241-51029-0000-1</v>
          </cell>
          <cell r="B406" t="str">
            <v>KHF_AIP_D_EXT_00308</v>
          </cell>
          <cell r="C406">
            <v>43206</v>
          </cell>
          <cell r="D406" t="str">
            <v>KHF-00-104265-RA-8241-51029-0000</v>
          </cell>
          <cell r="E406" t="str">
            <v>Material Approval Sheet for SS Butter Fly Ties</v>
          </cell>
          <cell r="F406">
            <v>1</v>
          </cell>
          <cell r="G406" t="str">
            <v>Code A</v>
          </cell>
        </row>
        <row r="407">
          <cell r="A407" t="str">
            <v>KHF-00-104265-RA-8241-51030-0000-1</v>
          </cell>
          <cell r="B407" t="str">
            <v>KHF_AIP_D_EXT_00309</v>
          </cell>
          <cell r="C407">
            <v>43206</v>
          </cell>
          <cell r="D407" t="str">
            <v>KHF-00-104265-RA-8241-51030-0000</v>
          </cell>
          <cell r="E407" t="str">
            <v>Material Approval Sheet for Chain Link Type-B Fence with Standard Gates Type-3, Type-20 and Type-22</v>
          </cell>
          <cell r="F407">
            <v>1</v>
          </cell>
          <cell r="G407" t="str">
            <v>Code C</v>
          </cell>
        </row>
        <row r="408">
          <cell r="A408" t="str">
            <v>KHF-00-104265-RA-8241-51031-0000-1</v>
          </cell>
          <cell r="B408" t="str">
            <v>KHF_AIP_D_EXT_00310</v>
          </cell>
          <cell r="C408">
            <v>43206</v>
          </cell>
          <cell r="D408" t="str">
            <v>KHF-00-104265-RA-8241-51031-0000</v>
          </cell>
          <cell r="E408" t="str">
            <v>Material Approval Sheet for GIC Release Agent</v>
          </cell>
          <cell r="F408">
            <v>1</v>
          </cell>
          <cell r="G408" t="str">
            <v>Code A</v>
          </cell>
        </row>
        <row r="409">
          <cell r="A409" t="str">
            <v>KHF-00-104265-RA-8241-51032-0000-1</v>
          </cell>
          <cell r="B409" t="str">
            <v>KHF_AIP_D_EXT_00310</v>
          </cell>
          <cell r="C409">
            <v>43206</v>
          </cell>
          <cell r="D409" t="str">
            <v>KHF-00-104265-RA-8241-51032-0000</v>
          </cell>
          <cell r="E409" t="str">
            <v>Material Approval Sheet for UPVC Pipes Sleeves</v>
          </cell>
          <cell r="F409">
            <v>1</v>
          </cell>
          <cell r="G409" t="str">
            <v>Code A</v>
          </cell>
        </row>
        <row r="410">
          <cell r="A410" t="str">
            <v>KHF-00-104265-RA-8241-51033-0000-1</v>
          </cell>
          <cell r="B410" t="str">
            <v>KHF_AIP_D_EXT_00310</v>
          </cell>
          <cell r="C410">
            <v>43206</v>
          </cell>
          <cell r="D410" t="str">
            <v>KHF-00-104265-RA-8241-51033-0000</v>
          </cell>
          <cell r="E410" t="str">
            <v>Material Approval Sheet for Tufflex PS 250 GG Joint Sealant</v>
          </cell>
          <cell r="F410">
            <v>1</v>
          </cell>
          <cell r="G410" t="str">
            <v>Code A</v>
          </cell>
        </row>
        <row r="411">
          <cell r="A411" t="str">
            <v>KHF-00-104265-MP-6180-00132-0000-1</v>
          </cell>
          <cell r="B411" t="str">
            <v>KHF_AIP_D_EXT_00311</v>
          </cell>
          <cell r="C411">
            <v>43206</v>
          </cell>
          <cell r="D411" t="str">
            <v>KHF-00-104265-MP-6180-00132-0000</v>
          </cell>
          <cell r="E411" t="str">
            <v>Method Statement for Painting PCS-01</v>
          </cell>
          <cell r="F411">
            <v>1</v>
          </cell>
          <cell r="G411" t="str">
            <v>Code A</v>
          </cell>
        </row>
        <row r="412">
          <cell r="A412" t="str">
            <v>KHF-00-104265-AA-3341-00106-0000-1</v>
          </cell>
          <cell r="B412" t="str">
            <v>KHF_AIP_D_EXT_00312</v>
          </cell>
          <cell r="C412">
            <v>43207</v>
          </cell>
          <cell r="D412" t="str">
            <v>KHF-00-104265-AA-3341-00106-0000</v>
          </cell>
          <cell r="E412" t="str">
            <v>CV of Mr. Natarajan - QC Inspector-Civil</v>
          </cell>
          <cell r="F412">
            <v>1</v>
          </cell>
          <cell r="G412" t="str">
            <v>Code C</v>
          </cell>
        </row>
        <row r="413">
          <cell r="A413" t="str">
            <v>KHF-00-104265-AA-3341-60062-0000-1</v>
          </cell>
          <cell r="B413" t="str">
            <v>KHF_AIP_D_EXT_00313</v>
          </cell>
          <cell r="C413">
            <v>43207</v>
          </cell>
          <cell r="D413" t="str">
            <v>KHF-00-104265-AA-3341-60062-0000</v>
          </cell>
          <cell r="E413" t="str">
            <v>CV of Mr. Raja Sundar C - QC Inspector Civil</v>
          </cell>
          <cell r="F413">
            <v>1</v>
          </cell>
          <cell r="G413" t="str">
            <v>Code A</v>
          </cell>
        </row>
        <row r="414">
          <cell r="A414" t="str">
            <v>KHF-00-104265-AA-3341-60063-0000-1</v>
          </cell>
          <cell r="B414" t="str">
            <v>KHF_AIP_D_EXT_00314</v>
          </cell>
          <cell r="C414">
            <v>43207</v>
          </cell>
          <cell r="D414" t="str">
            <v>KHF-00-104265-AA-3341-60063-0000</v>
          </cell>
          <cell r="E414" t="str">
            <v>CV of Mr. Arnel P. Gozon - QC Inspector Civil</v>
          </cell>
          <cell r="F414">
            <v>1</v>
          </cell>
          <cell r="G414" t="str">
            <v>Code A</v>
          </cell>
        </row>
        <row r="415">
          <cell r="A415" t="str">
            <v>KHF-00-104265-RA-8241-00401-0000-1</v>
          </cell>
          <cell r="B415" t="str">
            <v>KHF_AIP_D_EXT_00315</v>
          </cell>
          <cell r="C415">
            <v>43207</v>
          </cell>
          <cell r="D415" t="str">
            <v>KHF-00-104265-RA-8241-00401-0000</v>
          </cell>
          <cell r="E415" t="str">
            <v>Material Approval Sheet for Hot Rolled Sections - Angles, Rods &amp; Plates</v>
          </cell>
          <cell r="F415">
            <v>1</v>
          </cell>
          <cell r="G415" t="str">
            <v>Code A</v>
          </cell>
        </row>
        <row r="416">
          <cell r="A416" t="str">
            <v>---</v>
          </cell>
          <cell r="B416" t="str">
            <v>KHF_AIP_D_EXT_00316</v>
          </cell>
          <cell r="C416">
            <v>43207</v>
          </cell>
          <cell r="D416" t="str">
            <v>-</v>
          </cell>
          <cell r="E416" t="str">
            <v>AFC Drawings</v>
          </cell>
          <cell r="F416" t="str">
            <v>-</v>
          </cell>
          <cell r="G416" t="str">
            <v>Total 33 drawings</v>
          </cell>
        </row>
        <row r="417">
          <cell r="A417" t="str">
            <v>KHF-00-104265-QA-6050-00105-0000-3</v>
          </cell>
          <cell r="B417" t="str">
            <v>KHF_AIP_D_EXT_00317</v>
          </cell>
          <cell r="C417">
            <v>43208</v>
          </cell>
          <cell r="D417" t="str">
            <v>KHF-00-104265-QA-6050-00105-0000</v>
          </cell>
          <cell r="E417" t="str">
            <v>Quality Control Plan for Welding Class 1 Pipelines</v>
          </cell>
          <cell r="F417">
            <v>3</v>
          </cell>
          <cell r="G417" t="str">
            <v>Code B</v>
          </cell>
        </row>
        <row r="418">
          <cell r="A418" t="str">
            <v>KHF-00-104265-BA-6070-00116-0000-2</v>
          </cell>
          <cell r="B418" t="str">
            <v>KHF_AIP_D_EXT_00318</v>
          </cell>
          <cell r="C418">
            <v>43208</v>
          </cell>
          <cell r="D418" t="str">
            <v>KHF-00-104265-BA-6070-00116-0000</v>
          </cell>
          <cell r="E418" t="str">
            <v>Method Statement for Adhesive Bonding and installation of GRE pipelines</v>
          </cell>
          <cell r="F418">
            <v>2</v>
          </cell>
          <cell r="G418" t="str">
            <v>Code A</v>
          </cell>
        </row>
        <row r="419">
          <cell r="A419" t="str">
            <v>KHF-00-104265-BA-6070-00117-0000-2</v>
          </cell>
          <cell r="B419" t="str">
            <v>KHF_AIP_D_EXT_00318</v>
          </cell>
          <cell r="C419">
            <v>43208</v>
          </cell>
          <cell r="D419" t="str">
            <v>KHF-00-104265-BA-6070-00117-0000</v>
          </cell>
          <cell r="E419" t="str">
            <v>Method Statement for GRE material transportation, handling, storage and control</v>
          </cell>
          <cell r="F419">
            <v>2</v>
          </cell>
          <cell r="G419" t="str">
            <v>Code A</v>
          </cell>
        </row>
        <row r="420">
          <cell r="A420" t="str">
            <v>KHF-00-104265-BA-6070-00118-0000-2</v>
          </cell>
          <cell r="B420" t="str">
            <v>KHF_AIP_D_EXT_00318</v>
          </cell>
          <cell r="C420">
            <v>43208</v>
          </cell>
          <cell r="D420" t="str">
            <v>KHF-00-104265-BA-6070-00118-0000</v>
          </cell>
          <cell r="E420" t="str">
            <v>Method Statement for Wadi Crossing Procedure-GRE P/L</v>
          </cell>
          <cell r="F420">
            <v>2</v>
          </cell>
          <cell r="G420" t="str">
            <v>Code A</v>
          </cell>
        </row>
        <row r="421">
          <cell r="A421" t="str">
            <v>KHF-00-104265-BA-6070-00119-0000-2</v>
          </cell>
          <cell r="B421" t="str">
            <v>KHF_AIP_D_EXT_00318</v>
          </cell>
          <cell r="C421">
            <v>43208</v>
          </cell>
          <cell r="D421" t="str">
            <v>KHF-00-104265-BA-6070-00119-0000</v>
          </cell>
          <cell r="E421" t="str">
            <v>Method Statement for Road Crossing Procedure-GRE P/L</v>
          </cell>
          <cell r="F421">
            <v>2</v>
          </cell>
          <cell r="G421" t="str">
            <v>Code A</v>
          </cell>
        </row>
        <row r="422">
          <cell r="A422" t="str">
            <v>KHF-00-104265-AA-3341-60065-0000-1</v>
          </cell>
          <cell r="B422" t="str">
            <v>KHF_AIP_D_EXT_00319</v>
          </cell>
          <cell r="C422">
            <v>43208</v>
          </cell>
          <cell r="D422" t="str">
            <v>KHF-00-104265-AA-3341-60065-0000</v>
          </cell>
          <cell r="E422" t="str">
            <v>CV of Mr. Haril Krishna - GRE Inspector</v>
          </cell>
          <cell r="F422">
            <v>1</v>
          </cell>
          <cell r="G422" t="str">
            <v>Code A</v>
          </cell>
        </row>
        <row r="423">
          <cell r="A423" t="str">
            <v>KHF-00-104265-HS-5798-10033-0000-2</v>
          </cell>
          <cell r="B423" t="str">
            <v>KHF_AIP_D_EXT_00320</v>
          </cell>
          <cell r="C423">
            <v>43209</v>
          </cell>
          <cell r="D423" t="str">
            <v>KHF-00-104265-HS-5798-10033-0000</v>
          </cell>
          <cell r="E423" t="str">
            <v>Site Security Plan</v>
          </cell>
          <cell r="F423">
            <v>2</v>
          </cell>
          <cell r="G423" t="str">
            <v>Code A</v>
          </cell>
        </row>
        <row r="424">
          <cell r="A424" t="str">
            <v>KHF-00-104265-RA-8241-51034-0000-1</v>
          </cell>
          <cell r="B424" t="str">
            <v>KHF_AIP_D_EXT_00321</v>
          </cell>
          <cell r="C424">
            <v>43209</v>
          </cell>
          <cell r="D424" t="str">
            <v>KHF-00-104265-RA-8241-51034-0000</v>
          </cell>
          <cell r="E424" t="str">
            <v>Material Approval Sheet for Concrete Grade C-10</v>
          </cell>
          <cell r="F424">
            <v>1</v>
          </cell>
          <cell r="G424" t="str">
            <v>Code B</v>
          </cell>
        </row>
        <row r="425">
          <cell r="A425" t="str">
            <v>KHF-00-104265-RA-8241-51035-0000-1</v>
          </cell>
          <cell r="B425" t="str">
            <v>KHF_AIP_D_EXT_00321</v>
          </cell>
          <cell r="C425">
            <v>43209</v>
          </cell>
          <cell r="D425" t="str">
            <v>KHF-00-104265-RA-8241-51035-0000</v>
          </cell>
          <cell r="E425" t="str">
            <v>Material Approval Sheet for Concrete Grade C-35</v>
          </cell>
          <cell r="F425">
            <v>1</v>
          </cell>
          <cell r="G425" t="str">
            <v>Code B</v>
          </cell>
        </row>
        <row r="426">
          <cell r="A426" t="str">
            <v>KHF-00-104265-AA-3341-00105-0000-1</v>
          </cell>
          <cell r="B426" t="str">
            <v>KHF_AIP_D_EXT_00322</v>
          </cell>
          <cell r="C426">
            <v>43209</v>
          </cell>
          <cell r="D426" t="str">
            <v>KHF-00-104265-AA-3341-00105-0000</v>
          </cell>
          <cell r="E426" t="str">
            <v>CV of Mr. Mohammd Akber - HSE Advisor</v>
          </cell>
          <cell r="F426">
            <v>1</v>
          </cell>
          <cell r="G426" t="str">
            <v>Code A</v>
          </cell>
        </row>
        <row r="427">
          <cell r="A427" t="str">
            <v>KHF-00-104265-HX-6180-10044-0000-1</v>
          </cell>
          <cell r="B427" t="str">
            <v>KHF_AIP_D_EXT_00323</v>
          </cell>
          <cell r="C427">
            <v>43209</v>
          </cell>
          <cell r="D427" t="str">
            <v>KHF-00-104265-HX-6180-10044-0000</v>
          </cell>
          <cell r="E427" t="str">
            <v>Procedure for Undertaking Night Working for Civil Works of Buildings</v>
          </cell>
          <cell r="F427">
            <v>1</v>
          </cell>
          <cell r="G427" t="str">
            <v>Code D</v>
          </cell>
        </row>
        <row r="428">
          <cell r="A428" t="str">
            <v>KHF-23-104133-MP-2343-00005-0001-6</v>
          </cell>
          <cell r="B428" t="str">
            <v>KHF_AIP_D_EXT_00324</v>
          </cell>
          <cell r="C428">
            <v>43209</v>
          </cell>
          <cell r="D428" t="str">
            <v>KHF-23-104133-MP-2343-00005-0001</v>
          </cell>
          <cell r="E428" t="str">
            <v>PIPING ISOMETRIC INDEX; POWER PLANT</v>
          </cell>
          <cell r="F428">
            <v>6</v>
          </cell>
          <cell r="G428" t="str">
            <v>AFC Drawing</v>
          </cell>
        </row>
        <row r="429">
          <cell r="A429" t="str">
            <v>KHF-00-104265-HX-6180-10012-0000-4</v>
          </cell>
          <cell r="B429" t="str">
            <v>KHF_AIP_D_EXT_00325</v>
          </cell>
          <cell r="C429">
            <v>43212</v>
          </cell>
          <cell r="D429" t="str">
            <v>KHF-00-104265-HX-6180-10012-0000</v>
          </cell>
          <cell r="E429" t="str">
            <v>Permit to Work Procedure (Greenfield)</v>
          </cell>
          <cell r="F429">
            <v>4</v>
          </cell>
          <cell r="G429" t="str">
            <v>Code B</v>
          </cell>
        </row>
        <row r="430">
          <cell r="A430" t="str">
            <v>KHF-00-104265-HX-6613-10015-0000-2</v>
          </cell>
          <cell r="B430" t="str">
            <v>KHF_AIP_D_EXT_00326</v>
          </cell>
          <cell r="C430">
            <v>43212</v>
          </cell>
          <cell r="D430" t="str">
            <v>KHF-00-104265-HX-6613-10015-0000</v>
          </cell>
          <cell r="E430" t="str">
            <v>Construction Services for Yibal Khuff  HEMP Register</v>
          </cell>
          <cell r="F430">
            <v>2</v>
          </cell>
          <cell r="G430" t="str">
            <v>Code B</v>
          </cell>
        </row>
        <row r="431">
          <cell r="A431" t="str">
            <v>KHF-00-104265-AA-5768-10028-0000-4</v>
          </cell>
          <cell r="B431" t="str">
            <v>KHF_AIP_D_EXT_00327</v>
          </cell>
          <cell r="C431">
            <v>43213</v>
          </cell>
          <cell r="D431" t="str">
            <v>KHF-00-104265-AA-5768-10028-0000</v>
          </cell>
          <cell r="E431" t="str">
            <v>Risk Management Plan and Strategies</v>
          </cell>
          <cell r="F431">
            <v>4</v>
          </cell>
          <cell r="G431" t="str">
            <v>Code A</v>
          </cell>
        </row>
        <row r="432">
          <cell r="A432" t="str">
            <v>KHF-00-104265-HE-7180-10034-0000-1</v>
          </cell>
          <cell r="B432" t="str">
            <v>KHF_AIP_D_EXT_00328</v>
          </cell>
          <cell r="C432">
            <v>43213</v>
          </cell>
          <cell r="D432" t="str">
            <v>KHF-00-104265-HE-7180-10034-0000</v>
          </cell>
          <cell r="E432" t="str">
            <v>YKP Environmental Management Plan / Impact Matrix</v>
          </cell>
          <cell r="F432">
            <v>1</v>
          </cell>
          <cell r="G432" t="str">
            <v>Code B</v>
          </cell>
        </row>
        <row r="433">
          <cell r="A433" t="str">
            <v>KHF-00-104265-HX-5880-10014-0000-3</v>
          </cell>
          <cell r="B433" t="str">
            <v>KHF_AIP_D_EXT_00329</v>
          </cell>
          <cell r="C433">
            <v>43213</v>
          </cell>
          <cell r="D433" t="str">
            <v>KHF-00-104265-HX-5880-10014-0000</v>
          </cell>
          <cell r="E433" t="str">
            <v>HSE Monitoring Plan</v>
          </cell>
          <cell r="F433">
            <v>3</v>
          </cell>
          <cell r="G433" t="str">
            <v>Code A</v>
          </cell>
        </row>
        <row r="434">
          <cell r="A434" t="str">
            <v>---</v>
          </cell>
          <cell r="B434" t="str">
            <v>KHF_AIP_D_EXT_00330</v>
          </cell>
          <cell r="C434">
            <v>43214</v>
          </cell>
          <cell r="D434" t="str">
            <v>-</v>
          </cell>
          <cell r="E434" t="str">
            <v>AFC Drawings</v>
          </cell>
          <cell r="F434" t="str">
            <v>-</v>
          </cell>
          <cell r="G434" t="str">
            <v>Total 43 drawings</v>
          </cell>
        </row>
        <row r="435">
          <cell r="A435" t="str">
            <v>KHF-00-104265-QA-5733-00402-0000-1</v>
          </cell>
          <cell r="B435" t="str">
            <v>KHF_AIP_D_EXT_00331</v>
          </cell>
          <cell r="C435">
            <v>43216</v>
          </cell>
          <cell r="D435" t="str">
            <v>KHF-00-104265-QA-5733-00402-0000</v>
          </cell>
          <cell r="E435" t="str">
            <v>Inspection &amp; Test Plan - Structural Steel Fabrication &amp; Welding</v>
          </cell>
          <cell r="F435">
            <v>1</v>
          </cell>
          <cell r="G435" t="str">
            <v>Code B</v>
          </cell>
        </row>
        <row r="436">
          <cell r="A436" t="str">
            <v>KHF-00-104265-EA-2384-00301-0001-3</v>
          </cell>
          <cell r="B436" t="str">
            <v>KHF_AIP_D_EXT_00332</v>
          </cell>
          <cell r="C436">
            <v>43220</v>
          </cell>
          <cell r="D436" t="str">
            <v>KHF-00-104265-EA-2384-00301-0001</v>
          </cell>
          <cell r="E436" t="str">
            <v>Single Line Diagram - Camp (Stage 1)</v>
          </cell>
          <cell r="F436">
            <v>3</v>
          </cell>
          <cell r="G436" t="str">
            <v>Code B</v>
          </cell>
        </row>
        <row r="437">
          <cell r="A437" t="str">
            <v>KHF-00-104265-CI-4180-00505-0001-1</v>
          </cell>
          <cell r="B437" t="str">
            <v>KHF_AIP_D_EXT_00333</v>
          </cell>
          <cell r="C437">
            <v>43220</v>
          </cell>
          <cell r="D437" t="str">
            <v>KHF-00-104265-CI-4180-00505-0001</v>
          </cell>
          <cell r="E437" t="str">
            <v>Proposed Camp - Drainage Layout</v>
          </cell>
          <cell r="F437">
            <v>1</v>
          </cell>
          <cell r="G437" t="str">
            <v>Code D</v>
          </cell>
        </row>
        <row r="438">
          <cell r="A438" t="str">
            <v>KHF-00-104265-CI-4180-00506-0001-1</v>
          </cell>
          <cell r="B438" t="str">
            <v>KHF_AIP_D_EXT_00333</v>
          </cell>
          <cell r="C438">
            <v>43220</v>
          </cell>
          <cell r="D438" t="str">
            <v>KHF-00-104265-CI-4180-00506-0001</v>
          </cell>
          <cell r="E438" t="str">
            <v>Proposed Camp - Plumbing Layout</v>
          </cell>
          <cell r="F438">
            <v>1</v>
          </cell>
          <cell r="G438" t="str">
            <v>Code D</v>
          </cell>
        </row>
        <row r="439">
          <cell r="A439" t="str">
            <v>KHF-00-104265-EA-2384-00507-0001-1</v>
          </cell>
          <cell r="B439" t="str">
            <v>KHF_AIP_D_EXT_00333</v>
          </cell>
          <cell r="C439">
            <v>43220</v>
          </cell>
          <cell r="D439" t="str">
            <v>KHF-00-104265-EA-2384-00507-0001</v>
          </cell>
          <cell r="E439" t="str">
            <v>Proposed Camp - SMDB-1 - Single Line Diagram</v>
          </cell>
          <cell r="F439">
            <v>1</v>
          </cell>
          <cell r="G439" t="str">
            <v>Code C</v>
          </cell>
        </row>
        <row r="440">
          <cell r="A440" t="str">
            <v>KHF-00-104265-EA-2384-00508-0001-1</v>
          </cell>
          <cell r="B440" t="str">
            <v>KHF_AIP_D_EXT_00333</v>
          </cell>
          <cell r="C440">
            <v>43220</v>
          </cell>
          <cell r="D440" t="str">
            <v>KHF-00-104265-EA-2384-00508-0001</v>
          </cell>
          <cell r="E440" t="str">
            <v>Proposed Camp - SMDB-3 - Single Line Diagram</v>
          </cell>
          <cell r="F440">
            <v>1</v>
          </cell>
          <cell r="G440" t="str">
            <v>Code C</v>
          </cell>
        </row>
        <row r="441">
          <cell r="A441" t="str">
            <v>KHF-00-104265-EA-4005-00501-0001-1</v>
          </cell>
          <cell r="B441" t="str">
            <v>KHF_AIP_D_EXT_00333</v>
          </cell>
          <cell r="C441">
            <v>43220</v>
          </cell>
          <cell r="D441" t="str">
            <v>KHF-00-104265-EA-4005-00501-0001</v>
          </cell>
          <cell r="E441" t="str">
            <v>Proposed Camp - Cable Route Layout</v>
          </cell>
          <cell r="F441">
            <v>1</v>
          </cell>
          <cell r="G441" t="str">
            <v>Code D</v>
          </cell>
        </row>
        <row r="442">
          <cell r="A442" t="str">
            <v>KHF-00-104265-EA-4016-00504-0001-1</v>
          </cell>
          <cell r="B442" t="str">
            <v>KHF_AIP_D_EXT_00333</v>
          </cell>
          <cell r="C442">
            <v>43220</v>
          </cell>
          <cell r="D442" t="str">
            <v>KHF-00-104265-EA-4016-00504-0001</v>
          </cell>
          <cell r="E442" t="str">
            <v>Proposed Camp - Fire Alarm Layout</v>
          </cell>
          <cell r="F442">
            <v>1</v>
          </cell>
          <cell r="G442" t="str">
            <v>Code D</v>
          </cell>
        </row>
        <row r="443">
          <cell r="A443" t="str">
            <v>KHF-00-104265-EA-4025-00503-0001-1</v>
          </cell>
          <cell r="B443" t="str">
            <v>KHF_AIP_D_EXT_00333</v>
          </cell>
          <cell r="C443">
            <v>43220</v>
          </cell>
          <cell r="D443" t="str">
            <v>KHF-00-104265-EA-4025-00503-0001</v>
          </cell>
          <cell r="E443" t="str">
            <v>Proposed Camp - Lighting Layout</v>
          </cell>
          <cell r="F443">
            <v>1</v>
          </cell>
          <cell r="G443" t="str">
            <v>Code D</v>
          </cell>
        </row>
        <row r="444">
          <cell r="A444" t="str">
            <v>KHF-00-104265-EA-8809-00502-0001-1</v>
          </cell>
          <cell r="B444" t="str">
            <v>KHF_AIP_D_EXT_00333</v>
          </cell>
          <cell r="C444">
            <v>43220</v>
          </cell>
          <cell r="D444" t="str">
            <v>KHF-00-104265-EA-8809-00502-0001</v>
          </cell>
          <cell r="E444" t="str">
            <v>Proposed Camp - Earthing Layout</v>
          </cell>
          <cell r="F444">
            <v>1</v>
          </cell>
          <cell r="G444" t="str">
            <v>Code D</v>
          </cell>
        </row>
        <row r="445">
          <cell r="A445" t="str">
            <v>KHF-00-104265-AA-3341-60066-0000-1</v>
          </cell>
          <cell r="B445" t="str">
            <v>KHF_AIP_D_EXT_00334</v>
          </cell>
          <cell r="C445">
            <v>43222</v>
          </cell>
          <cell r="D445" t="str">
            <v>KHF-00-104265-AA-3341-60066-0000</v>
          </cell>
          <cell r="E445" t="str">
            <v>CV of Mr. Gangireddi Srinivasa Rao - Construction Engineer-Electrical</v>
          </cell>
          <cell r="F445">
            <v>1</v>
          </cell>
          <cell r="G445" t="str">
            <v>Code A</v>
          </cell>
        </row>
        <row r="446">
          <cell r="A446" t="str">
            <v>KHF-00-104265-HX-0709-10035-0000-2</v>
          </cell>
          <cell r="B446" t="str">
            <v>KHF_AIP_D_EXT_00335</v>
          </cell>
          <cell r="C446">
            <v>43222</v>
          </cell>
          <cell r="D446" t="str">
            <v>KHF-00-104265-HX-0709-10035-0000</v>
          </cell>
          <cell r="E446" t="str">
            <v>Health Risk Assessment Report</v>
          </cell>
          <cell r="F446">
            <v>2</v>
          </cell>
          <cell r="G446" t="str">
            <v>Code A</v>
          </cell>
        </row>
        <row r="447">
          <cell r="A447" t="str">
            <v>KHF-00-104133-MP-2358-00005-0000-5</v>
          </cell>
          <cell r="B447" t="str">
            <v>KHF_AIP_D_EXT_00336</v>
          </cell>
          <cell r="C447">
            <v>43222</v>
          </cell>
          <cell r="D447" t="str">
            <v>KHF-00-104133-MP-2358-00005-0000</v>
          </cell>
          <cell r="E447" t="str">
            <v>STANDARD PIPE SUPPORTS</v>
          </cell>
          <cell r="F447">
            <v>5</v>
          </cell>
          <cell r="G447" t="str">
            <v>AFC Drawing</v>
          </cell>
        </row>
        <row r="448">
          <cell r="A448" t="str">
            <v>KHF-00-104265-AA-3341-60064-0000-1</v>
          </cell>
          <cell r="B448" t="str">
            <v>KHF_AIP_D_EXT_00337</v>
          </cell>
          <cell r="C448">
            <v>43223</v>
          </cell>
          <cell r="D448" t="str">
            <v>KHF-00-104265-AA-3341-60064-0000</v>
          </cell>
          <cell r="E448" t="str">
            <v>CV of Mr. Balendran S - Lead QA\QC Engineer</v>
          </cell>
          <cell r="F448">
            <v>1</v>
          </cell>
          <cell r="G448" t="str">
            <v>Code B</v>
          </cell>
        </row>
        <row r="449">
          <cell r="A449" t="str">
            <v>KHF-00-104265-QA-6050-00102-0000-3</v>
          </cell>
          <cell r="B449" t="str">
            <v>KHF_AIP_D_EXT_00338</v>
          </cell>
          <cell r="C449">
            <v>43223</v>
          </cell>
          <cell r="D449" t="str">
            <v>KHF-00-104265-QA-6050-00102-0000</v>
          </cell>
          <cell r="E449" t="str">
            <v>Quality Control Plan for Earth Works</v>
          </cell>
          <cell r="F449">
            <v>3</v>
          </cell>
          <cell r="G449" t="str">
            <v>Code A</v>
          </cell>
        </row>
        <row r="450">
          <cell r="A450" t="str">
            <v>---</v>
          </cell>
          <cell r="B450" t="str">
            <v>KHF_AIP_D_EXT_00339</v>
          </cell>
          <cell r="C450">
            <v>43223</v>
          </cell>
          <cell r="D450" t="str">
            <v>-</v>
          </cell>
          <cell r="E450" t="str">
            <v>AFC Drawings</v>
          </cell>
          <cell r="F450" t="str">
            <v>-</v>
          </cell>
          <cell r="G450" t="str">
            <v>Total 13 drawings</v>
          </cell>
        </row>
        <row r="451">
          <cell r="A451" t="str">
            <v>---</v>
          </cell>
          <cell r="B451" t="str">
            <v>KHF_AIP_D_EXT_00340</v>
          </cell>
          <cell r="C451">
            <v>43223</v>
          </cell>
          <cell r="D451" t="str">
            <v>-</v>
          </cell>
          <cell r="E451" t="str">
            <v>AFC Drawings</v>
          </cell>
          <cell r="F451" t="str">
            <v>-</v>
          </cell>
          <cell r="G451" t="str">
            <v>Total 105 drawings</v>
          </cell>
        </row>
        <row r="452">
          <cell r="A452" t="str">
            <v>KHF-00-104265-BA-6070-00115-0000-1</v>
          </cell>
          <cell r="B452" t="str">
            <v>KHF_AIP_D_EXT_00341</v>
          </cell>
          <cell r="C452">
            <v>43226</v>
          </cell>
          <cell r="D452" t="str">
            <v>KHF-00-104265-BA-6070-00115-0000</v>
          </cell>
          <cell r="E452" t="str">
            <v>Method Statement for Hydrotesting of CS Pipelines</v>
          </cell>
          <cell r="F452">
            <v>1</v>
          </cell>
          <cell r="G452" t="str">
            <v>Code B</v>
          </cell>
        </row>
        <row r="453">
          <cell r="A453" t="str">
            <v>KHF-00-104265-QA-5733-23002-0000-2</v>
          </cell>
          <cell r="B453" t="str">
            <v>KHF_AIP_D_EXT_00342</v>
          </cell>
          <cell r="C453">
            <v>43226</v>
          </cell>
          <cell r="D453" t="str">
            <v>KHF-00-104265-QA-5733-23002-0000</v>
          </cell>
          <cell r="E453" t="str">
            <v>Inspection &amp; Test Plan for HV/LV Cable Glanding &amp; Termination</v>
          </cell>
          <cell r="F453">
            <v>2</v>
          </cell>
          <cell r="G453" t="str">
            <v>Code B</v>
          </cell>
        </row>
        <row r="454">
          <cell r="A454" t="str">
            <v>KHF-00-104265-QA-5733-23003-0000-2</v>
          </cell>
          <cell r="B454" t="str">
            <v>KHF_AIP_D_EXT_00342</v>
          </cell>
          <cell r="C454">
            <v>43226</v>
          </cell>
          <cell r="D454" t="str">
            <v>KHF-00-104265-QA-5733-23003-0000</v>
          </cell>
          <cell r="E454" t="str">
            <v>Inspection &amp; Test Plan for Switch Gear Installation Works</v>
          </cell>
          <cell r="F454">
            <v>2</v>
          </cell>
          <cell r="G454" t="str">
            <v>Code B</v>
          </cell>
        </row>
        <row r="455">
          <cell r="A455" t="str">
            <v>KHF-00-104265-QA-5733-24003-0000-2</v>
          </cell>
          <cell r="B455" t="str">
            <v>KHF_AIP_D_EXT_00343</v>
          </cell>
          <cell r="C455">
            <v>43226</v>
          </cell>
          <cell r="D455" t="str">
            <v>KHF-00-104265-QA-5733-24003-0000</v>
          </cell>
          <cell r="E455" t="str">
            <v>Inspection &amp; Test Plan for Installation of Field Instruments, Instrument Panels, JB's &amp; Supports</v>
          </cell>
          <cell r="F455">
            <v>2</v>
          </cell>
          <cell r="G455" t="str">
            <v>Code A</v>
          </cell>
        </row>
        <row r="456">
          <cell r="A456" t="str">
            <v>KHF-00-104265-QA-5733-24002-0000-2</v>
          </cell>
          <cell r="B456" t="str">
            <v>KHF_AIP_D_EXT_00344</v>
          </cell>
          <cell r="C456">
            <v>43226</v>
          </cell>
          <cell r="D456" t="str">
            <v>KHF-00-104265-QA-5733-24002-0000</v>
          </cell>
          <cell r="E456" t="str">
            <v>Inspection &amp; Test Plan for Instrument Cable Glanding, Termination &amp; Earthing</v>
          </cell>
          <cell r="F456">
            <v>2</v>
          </cell>
          <cell r="G456" t="str">
            <v>Code A</v>
          </cell>
        </row>
        <row r="457">
          <cell r="A457" t="str">
            <v>KHF-00-104265-RA-8241-51027-0000-2</v>
          </cell>
          <cell r="B457" t="str">
            <v>KHF_AIP_D_EXT_00345</v>
          </cell>
          <cell r="C457">
            <v>43226</v>
          </cell>
          <cell r="D457" t="str">
            <v>KHF-00-104265-RA-8241-51027-0000</v>
          </cell>
          <cell r="E457" t="str">
            <v>Material Approval Sheet for Water proof Membrane / Tanking System</v>
          </cell>
          <cell r="F457">
            <v>2</v>
          </cell>
          <cell r="G457" t="str">
            <v>Code B</v>
          </cell>
        </row>
        <row r="458">
          <cell r="A458" t="str">
            <v>KHF-00-104265-QA-5733-00406-0000-1</v>
          </cell>
          <cell r="B458" t="str">
            <v>KHF_AIP_D_EXT_00346</v>
          </cell>
          <cell r="C458">
            <v>43226</v>
          </cell>
          <cell r="D458" t="str">
            <v>KHF-00-104265-QA-5733-00406-0000</v>
          </cell>
          <cell r="E458" t="str">
            <v>Inspection &amp; Test Plan - Structural Steel Hot Dip Galvanizing</v>
          </cell>
          <cell r="F458">
            <v>1</v>
          </cell>
          <cell r="G458" t="str">
            <v>Code B</v>
          </cell>
        </row>
        <row r="459">
          <cell r="A459" t="str">
            <v>KHF-00-104265-BA-6065-00404-0000-1</v>
          </cell>
          <cell r="B459" t="str">
            <v>KHF_AIP_D_EXT_00347</v>
          </cell>
          <cell r="C459">
            <v>43227</v>
          </cell>
          <cell r="D459" t="str">
            <v>KHF-00-104265-BA-6065-00404-0000</v>
          </cell>
          <cell r="E459" t="str">
            <v>Welding Procedure Specification</v>
          </cell>
          <cell r="F459">
            <v>1</v>
          </cell>
          <cell r="G459" t="str">
            <v>Code B</v>
          </cell>
        </row>
        <row r="460">
          <cell r="A460" t="str">
            <v>KHF-00-104265-BA-6065-50081-0000-1</v>
          </cell>
          <cell r="B460" t="str">
            <v>KHF_AIP_D_EXT_00348</v>
          </cell>
          <cell r="C460">
            <v>43227</v>
          </cell>
          <cell r="D460" t="str">
            <v>KHF-00-104265-BA-6065-50081-0000</v>
          </cell>
          <cell r="E460" t="str">
            <v>WPS Register - Structural</v>
          </cell>
          <cell r="F460">
            <v>1</v>
          </cell>
          <cell r="G460" t="str">
            <v>Code B</v>
          </cell>
        </row>
        <row r="461">
          <cell r="A461" t="str">
            <v>KHF-00-104265-BA-6065-50082-0000-1</v>
          </cell>
          <cell r="B461" t="str">
            <v>KHF_AIP_D_EXT_00349</v>
          </cell>
          <cell r="C461">
            <v>43227</v>
          </cell>
          <cell r="D461" t="str">
            <v>KHF-00-104265-BA-6065-50082-0000</v>
          </cell>
          <cell r="E461" t="str">
            <v>Welding Procedure Specification (AIP-WPS-M-397 (C311527))- Carbon Steel - 3.0 mm to 14.0 mm</v>
          </cell>
          <cell r="F461">
            <v>1</v>
          </cell>
          <cell r="G461" t="str">
            <v>Code B</v>
          </cell>
        </row>
        <row r="462">
          <cell r="A462" t="str">
            <v>KHF-00-104265-LA-5009-00102-0000-1</v>
          </cell>
          <cell r="B462" t="str">
            <v>KHF_AIP_D_EXT_00350</v>
          </cell>
          <cell r="C462">
            <v>43227</v>
          </cell>
          <cell r="D462" t="str">
            <v>KHF-00-104265-LA-5009-00102-0000</v>
          </cell>
          <cell r="E462" t="str">
            <v>Material Approval Sheet (MAS) for Pre and Post Padding Material (Dune Sand)</v>
          </cell>
          <cell r="F462">
            <v>1</v>
          </cell>
          <cell r="G462" t="str">
            <v>Code A</v>
          </cell>
        </row>
        <row r="463">
          <cell r="A463" t="str">
            <v>KHF-00-104265-QA-5733-22010-0000-2</v>
          </cell>
          <cell r="B463" t="str">
            <v>KHF_AIP_D_EXT_00351</v>
          </cell>
          <cell r="C463">
            <v>43227</v>
          </cell>
          <cell r="D463" t="str">
            <v>KHF-00-104265-QA-5733-22010-0000</v>
          </cell>
          <cell r="E463" t="str">
            <v>Inspection &amp; Test Plan for Installation of HRSG Stacks</v>
          </cell>
          <cell r="F463">
            <v>2</v>
          </cell>
          <cell r="G463" t="str">
            <v>Code B</v>
          </cell>
        </row>
        <row r="464">
          <cell r="A464" t="str">
            <v>KHF-00-104265-QA-6050-00108-0000-1</v>
          </cell>
          <cell r="B464" t="str">
            <v>KHF_AIP_D_EXT_00352</v>
          </cell>
          <cell r="C464">
            <v>43227</v>
          </cell>
          <cell r="D464" t="str">
            <v>KHF-00-104265-QA-6050-00108-0000</v>
          </cell>
          <cell r="E464" t="str">
            <v>Quality Control Plan for Coating (PCS 02A)</v>
          </cell>
          <cell r="F464">
            <v>1</v>
          </cell>
          <cell r="G464" t="str">
            <v>Code B</v>
          </cell>
        </row>
        <row r="465">
          <cell r="A465" t="str">
            <v>KHF-00-104265-QA-5733-23001-0000-1</v>
          </cell>
          <cell r="B465" t="str">
            <v>KHF_AIP_D_EXT_00353</v>
          </cell>
          <cell r="C465">
            <v>43227</v>
          </cell>
          <cell r="D465" t="str">
            <v>KHF-00-104265-QA-5733-23001-0000</v>
          </cell>
          <cell r="E465" t="str">
            <v>Inspection &amp; Test Plan for HV/LV Cable Laying &amp; Testing</v>
          </cell>
          <cell r="F465">
            <v>1</v>
          </cell>
          <cell r="G465" t="str">
            <v>Code B</v>
          </cell>
        </row>
        <row r="466">
          <cell r="A466" t="str">
            <v>KHF-00-104265-QA-5733-23005-0000-1</v>
          </cell>
          <cell r="B466" t="str">
            <v>KHF_AIP_D_EXT_00353</v>
          </cell>
          <cell r="C466">
            <v>43227</v>
          </cell>
          <cell r="D466" t="str">
            <v>KHF-00-104265-QA-5733-23005-0000</v>
          </cell>
          <cell r="E466" t="str">
            <v>Inspection &amp; Test Plan for HV/LV Cable Laying &amp; Testing</v>
          </cell>
          <cell r="F466">
            <v>1</v>
          </cell>
          <cell r="G466" t="str">
            <v>Code B</v>
          </cell>
        </row>
        <row r="467">
          <cell r="A467" t="str">
            <v>KHF-00-104133-TA-4380-00060-0001-2</v>
          </cell>
          <cell r="B467" t="str">
            <v>KHF_AIP_D_EXT_00354</v>
          </cell>
          <cell r="C467">
            <v>43228</v>
          </cell>
          <cell r="D467" t="str">
            <v>KHF-00-104133-TA-4380-00060-0001</v>
          </cell>
          <cell r="E467" t="str">
            <v>TELECOMMUNICATION MTO FOR ONPLOT &amp; OFFPLOT</v>
          </cell>
          <cell r="F467">
            <v>2</v>
          </cell>
          <cell r="G467" t="str">
            <v>AFC Drawing</v>
          </cell>
        </row>
        <row r="468">
          <cell r="A468" t="str">
            <v>KHF-00-104265-RA-8241-51042-0000-1</v>
          </cell>
          <cell r="B468" t="str">
            <v>KHF_AIP_D_EXT_00355</v>
          </cell>
          <cell r="C468">
            <v>43228</v>
          </cell>
          <cell r="D468" t="str">
            <v>KHF-00-104265-RA-8241-51042-0000</v>
          </cell>
          <cell r="E468" t="str">
            <v>Material Approval Sheet for Earthing Materials</v>
          </cell>
          <cell r="F468">
            <v>1</v>
          </cell>
          <cell r="G468" t="str">
            <v>Code A</v>
          </cell>
        </row>
        <row r="469">
          <cell r="A469" t="str">
            <v>KHF-00-104265-BA-6065-50051-0000-2</v>
          </cell>
          <cell r="B469" t="str">
            <v>KHF_AIP_D_EXT_00356</v>
          </cell>
          <cell r="C469">
            <v>43229</v>
          </cell>
          <cell r="D469" t="str">
            <v>KHF-00-104265-BA-6065-50051-0000</v>
          </cell>
          <cell r="E469" t="str">
            <v>WPS Register - On-Plot Piping</v>
          </cell>
          <cell r="F469">
            <v>2</v>
          </cell>
          <cell r="G469" t="str">
            <v>Code B</v>
          </cell>
        </row>
        <row r="470">
          <cell r="A470" t="str">
            <v>KHF-00-104265-BA-6065-50052-0000-2</v>
          </cell>
          <cell r="B470" t="str">
            <v>KHF_AIP_D_EXT_00356</v>
          </cell>
          <cell r="C470">
            <v>43229</v>
          </cell>
          <cell r="D470" t="str">
            <v>KHF-00-104265-BA-6065-50052-0000</v>
          </cell>
          <cell r="E470" t="str">
            <v>Welding Procedure Specification - (AIP-WPS-T-077 (C311527)) Carbon Steel 1.5mm to 12.7mm</v>
          </cell>
          <cell r="F470">
            <v>2</v>
          </cell>
          <cell r="G470" t="str">
            <v>Code B</v>
          </cell>
        </row>
        <row r="471">
          <cell r="A471" t="str">
            <v>KHF-00-104265-BA-6065-50053-0000-2</v>
          </cell>
          <cell r="B471" t="str">
            <v>KHF_AIP_D_EXT_00356</v>
          </cell>
          <cell r="C471">
            <v>43229</v>
          </cell>
          <cell r="D471" t="str">
            <v>KHF-00-104265-BA-6065-50053-0000</v>
          </cell>
          <cell r="E471" t="str">
            <v>Welding Procedure Specification - (AIP-WPS-TM-549 (C311527)) Carbon Steel 1.5mm to 10.3mm</v>
          </cell>
          <cell r="F471">
            <v>2</v>
          </cell>
          <cell r="G471" t="str">
            <v>Code B</v>
          </cell>
        </row>
        <row r="472">
          <cell r="A472" t="str">
            <v>KHF-00-104265-BA-6065-50054-0000-2</v>
          </cell>
          <cell r="B472" t="str">
            <v>KHF_AIP_D_EXT_00356</v>
          </cell>
          <cell r="C472">
            <v>43229</v>
          </cell>
          <cell r="D472" t="str">
            <v>KHF-00-104265-BA-6065-50054-0000</v>
          </cell>
          <cell r="E472" t="str">
            <v>Welding Procedure Specification - (AIP-WPS-T-065 (C311527)) Stainless Steel 1.15mm to 6.10mm</v>
          </cell>
          <cell r="F472">
            <v>2</v>
          </cell>
          <cell r="G472" t="str">
            <v>Code B</v>
          </cell>
        </row>
        <row r="473">
          <cell r="A473" t="str">
            <v>KHF-00-104265-BA-6065-50055-0000-2</v>
          </cell>
          <cell r="B473" t="str">
            <v>KHF_AIP_D_EXT_00356</v>
          </cell>
          <cell r="C473">
            <v>43229</v>
          </cell>
          <cell r="D473" t="str">
            <v>KHF-00-104265-BA-6065-50055-0000</v>
          </cell>
          <cell r="E473" t="str">
            <v>Welding Procedure Specification - (AIP-WPS-TM-196 (C311527)) Stainless Steel 5.0mm to 40.0mm</v>
          </cell>
          <cell r="F473">
            <v>2</v>
          </cell>
          <cell r="G473" t="str">
            <v>Code B</v>
          </cell>
        </row>
        <row r="474">
          <cell r="A474" t="str">
            <v>KHF-00-104265-BA-6065-50056-0000-1</v>
          </cell>
          <cell r="B474" t="str">
            <v>KHF_AIP_D_EXT_00356</v>
          </cell>
          <cell r="C474">
            <v>43229</v>
          </cell>
          <cell r="D474" t="str">
            <v>KHF-00-104265-BA-6065-50056-0000</v>
          </cell>
          <cell r="E474" t="str">
            <v>Welding Procedure Specification - (AIP-WPS-TM-491 (C311527)) Carbon Steel 11.1mm to 20.0mm</v>
          </cell>
          <cell r="F474">
            <v>1</v>
          </cell>
          <cell r="G474" t="str">
            <v>Code B</v>
          </cell>
        </row>
        <row r="475">
          <cell r="A475" t="str">
            <v>KHF-00-104265-HE-7180-10034-0000-2</v>
          </cell>
          <cell r="B475" t="str">
            <v>KHF_AIP_D_EXT_00357</v>
          </cell>
          <cell r="C475">
            <v>43229</v>
          </cell>
          <cell r="D475" t="str">
            <v>KHF-00-104265-HE-7180-10034-0000</v>
          </cell>
          <cell r="E475" t="str">
            <v>YKP Environmental Management Plan / Impact Matrix</v>
          </cell>
          <cell r="F475">
            <v>2</v>
          </cell>
          <cell r="G475" t="str">
            <v>Code A</v>
          </cell>
        </row>
        <row r="476">
          <cell r="A476" t="str">
            <v>KHF-00-104265-BA-6065-00131-0000-1</v>
          </cell>
          <cell r="B476" t="str">
            <v>KHF_AIP_D_EXT_00358</v>
          </cell>
          <cell r="C476">
            <v>43230</v>
          </cell>
          <cell r="D476" t="str">
            <v>KHF-00-104265-BA-6065-00131-0000</v>
          </cell>
          <cell r="E476" t="str">
            <v>Welding Procedure Specification - Mainline 16 PL5</v>
          </cell>
          <cell r="F476">
            <v>1</v>
          </cell>
          <cell r="G476" t="str">
            <v>Code B</v>
          </cell>
        </row>
        <row r="477">
          <cell r="A477" t="str">
            <v>KHF-00-104265-BA-6065-00132-0000-1</v>
          </cell>
          <cell r="B477" t="str">
            <v>KHF_AIP_D_EXT_00358</v>
          </cell>
          <cell r="C477">
            <v>43230</v>
          </cell>
          <cell r="D477" t="str">
            <v>KHF-00-104265-BA-6065-00132-0000</v>
          </cell>
          <cell r="E477" t="str">
            <v>Welding Procedure Specification - Mainline 16 PL1 &amp; 2</v>
          </cell>
          <cell r="F477">
            <v>1</v>
          </cell>
          <cell r="G477" t="str">
            <v>Code B</v>
          </cell>
        </row>
        <row r="478">
          <cell r="A478" t="str">
            <v>KHF-00-104265-QA-5798-10009-0000-3</v>
          </cell>
          <cell r="B478" t="str">
            <v>KHF_AIP_D_EXT_00359</v>
          </cell>
          <cell r="C478">
            <v>43230</v>
          </cell>
          <cell r="D478" t="str">
            <v>KHF-00-104265-QA-5798-10009-0000</v>
          </cell>
          <cell r="E478" t="str">
            <v>Contract Quality Plan</v>
          </cell>
          <cell r="F478">
            <v>3</v>
          </cell>
          <cell r="G478" t="str">
            <v>Code B</v>
          </cell>
        </row>
        <row r="479">
          <cell r="A479" t="str">
            <v>KHF-00-104265-RA-8241-51044-0000-1</v>
          </cell>
          <cell r="B479" t="str">
            <v>KHF_AIP_D_EXT_00360</v>
          </cell>
          <cell r="C479">
            <v>43230</v>
          </cell>
          <cell r="D479" t="str">
            <v>KHF-00-104265-RA-8241-51044-0000</v>
          </cell>
          <cell r="E479" t="str">
            <v>Material Approval Sheet for Potable Water for Construction Purpose</v>
          </cell>
          <cell r="F479">
            <v>1</v>
          </cell>
          <cell r="G479" t="str">
            <v>Code D</v>
          </cell>
        </row>
        <row r="480">
          <cell r="A480" t="str">
            <v>KHF-00-104265-QA-6180-10018-0000-3</v>
          </cell>
          <cell r="B480" t="str">
            <v>KHF_AIP_D_EXT_00361</v>
          </cell>
          <cell r="C480">
            <v>43233</v>
          </cell>
          <cell r="D480" t="str">
            <v>KHF-00-104265-QA-6180-10018-0000</v>
          </cell>
          <cell r="E480" t="str">
            <v>Project Audit Procedure</v>
          </cell>
          <cell r="F480">
            <v>3</v>
          </cell>
          <cell r="G480" t="str">
            <v>Code B</v>
          </cell>
        </row>
        <row r="481">
          <cell r="A481" t="str">
            <v>KHF-00-104265-RA-8241-51039-0000-1</v>
          </cell>
          <cell r="B481" t="str">
            <v>KHF_AIP_D_EXT_00362</v>
          </cell>
          <cell r="C481">
            <v>43233</v>
          </cell>
          <cell r="D481" t="str">
            <v>KHF-00-104265-RA-8241-51039-0000</v>
          </cell>
          <cell r="E481" t="str">
            <v>Material Approval Sheet for 200 MM &amp; 100 MM Thick Solid Blocks OPC - 10.50 N\MM2</v>
          </cell>
          <cell r="F481">
            <v>1</v>
          </cell>
          <cell r="G481" t="str">
            <v>Code B</v>
          </cell>
        </row>
        <row r="482">
          <cell r="A482" t="str">
            <v>KHF-00-104265-QA-5733-24001-0000-2</v>
          </cell>
          <cell r="B482" t="str">
            <v>KHF_AIP_D_EXT_00363</v>
          </cell>
          <cell r="C482">
            <v>43233</v>
          </cell>
          <cell r="D482" t="str">
            <v>KHF-00-104265-QA-5733-24001-0000</v>
          </cell>
          <cell r="E482" t="str">
            <v>Inspection &amp; Test Plan - Instrument Cable Laying &amp; Cable Tray Installation</v>
          </cell>
          <cell r="F482">
            <v>2</v>
          </cell>
          <cell r="G482" t="str">
            <v>Code B</v>
          </cell>
        </row>
        <row r="483">
          <cell r="A483" t="str">
            <v>---</v>
          </cell>
          <cell r="B483" t="str">
            <v>KHF_AIP_D_EXT_00364</v>
          </cell>
          <cell r="C483">
            <v>43233</v>
          </cell>
          <cell r="D483" t="str">
            <v>-</v>
          </cell>
          <cell r="E483" t="str">
            <v>AFC Drawings</v>
          </cell>
          <cell r="F483" t="str">
            <v>-</v>
          </cell>
          <cell r="G483" t="str">
            <v>Total 37 drawings</v>
          </cell>
        </row>
        <row r="484">
          <cell r="A484" t="str">
            <v>KHF-00-104265-AA-3341-60071-0000-1</v>
          </cell>
          <cell r="B484" t="str">
            <v>KHF_AIP_D_EXT_00365</v>
          </cell>
          <cell r="C484">
            <v>43235</v>
          </cell>
          <cell r="D484" t="str">
            <v>KHF-00-104265-AA-3341-60071-0000</v>
          </cell>
          <cell r="E484" t="str">
            <v>CV of Mr. Edwin Ortega - Male Nurse</v>
          </cell>
          <cell r="F484">
            <v>1</v>
          </cell>
          <cell r="G484" t="str">
            <v>Code A</v>
          </cell>
        </row>
        <row r="485">
          <cell r="A485" t="str">
            <v>KHF-00-104265-AA-3341-60068-0000-1</v>
          </cell>
          <cell r="B485" t="str">
            <v>KHF_AIP_D_EXT_00366</v>
          </cell>
          <cell r="C485">
            <v>43236</v>
          </cell>
          <cell r="D485" t="str">
            <v>KHF-00-104265-AA-3341-60068-0000</v>
          </cell>
          <cell r="E485" t="str">
            <v>CV of Mr. Anil Sharma - Instrumentation Construction Engineer</v>
          </cell>
          <cell r="F485">
            <v>1</v>
          </cell>
          <cell r="G485" t="str">
            <v>Code B</v>
          </cell>
        </row>
        <row r="486">
          <cell r="A486" t="str">
            <v>KHF-00-104265-HX-6180-10044-0000-2</v>
          </cell>
          <cell r="B486" t="str">
            <v>KHF_AIP_D_EXT_00367</v>
          </cell>
          <cell r="C486">
            <v>43236</v>
          </cell>
          <cell r="D486" t="str">
            <v>KHF-00-104265-HX-6180-10044-0000</v>
          </cell>
          <cell r="E486" t="str">
            <v>Procedure for Undertaking Night Working for Civil Works of  132KV GIS Building</v>
          </cell>
          <cell r="F486">
            <v>2</v>
          </cell>
          <cell r="G486" t="str">
            <v>Code D</v>
          </cell>
        </row>
        <row r="487">
          <cell r="A487" t="str">
            <v>KHF-00-104265-QA-6050-00110-0000-3</v>
          </cell>
          <cell r="B487" t="str">
            <v>KHF_AIP_D_EXT_00368</v>
          </cell>
          <cell r="C487">
            <v>43236</v>
          </cell>
          <cell r="D487" t="str">
            <v>KHF-00-104265-QA-6050-00110-0000</v>
          </cell>
          <cell r="E487" t="str">
            <v>Quality Control Plan for GRE Pipeline Installation &amp; Testing of Adhesive Bonding</v>
          </cell>
          <cell r="F487">
            <v>3</v>
          </cell>
          <cell r="G487" t="str">
            <v>Code B</v>
          </cell>
        </row>
        <row r="488">
          <cell r="A488" t="str">
            <v>---</v>
          </cell>
          <cell r="B488" t="str">
            <v>KHF_AIP_D_EXT_00369</v>
          </cell>
          <cell r="C488">
            <v>43237</v>
          </cell>
          <cell r="D488" t="str">
            <v>-</v>
          </cell>
          <cell r="E488" t="str">
            <v>AFC Drawings</v>
          </cell>
          <cell r="F488" t="str">
            <v>-</v>
          </cell>
          <cell r="G488" t="str">
            <v>Total 27 drawings</v>
          </cell>
        </row>
        <row r="489">
          <cell r="A489" t="str">
            <v>KHF-00-104265-AA-3341-00108-0000-1</v>
          </cell>
          <cell r="B489" t="str">
            <v>KHF_AIP_D_EXT_00370</v>
          </cell>
          <cell r="C489">
            <v>43240</v>
          </cell>
          <cell r="D489" t="str">
            <v>KHF-00-104265-AA-3341-00108-0000</v>
          </cell>
          <cell r="E489" t="str">
            <v>CV of Mr. Umashankar - Painting/Coating Inspector</v>
          </cell>
          <cell r="F489">
            <v>1</v>
          </cell>
          <cell r="G489" t="str">
            <v>Code A</v>
          </cell>
        </row>
        <row r="490">
          <cell r="A490" t="str">
            <v>KHF-00-104265-AA-3341-00111-0000-1</v>
          </cell>
          <cell r="B490" t="str">
            <v>KHF_AIP_D_EXT_00371</v>
          </cell>
          <cell r="C490">
            <v>43240</v>
          </cell>
          <cell r="D490" t="str">
            <v>KHF-00-104265-AA-3341-00111-0000</v>
          </cell>
          <cell r="E490" t="str">
            <v>CV of Mr. Mohd. Khalik Ansari-NDT Technician</v>
          </cell>
          <cell r="F490">
            <v>1</v>
          </cell>
          <cell r="G490" t="str">
            <v>Code B</v>
          </cell>
        </row>
        <row r="491">
          <cell r="A491" t="str">
            <v>KHF-00-104265-AA-3341-00112-0000-1</v>
          </cell>
          <cell r="B491" t="str">
            <v>KHF_AIP_D_EXT_00371</v>
          </cell>
          <cell r="C491">
            <v>43240</v>
          </cell>
          <cell r="D491" t="str">
            <v>KHF-00-104265-AA-3341-00112-0000</v>
          </cell>
          <cell r="E491" t="str">
            <v>CV of Mr. Madhu Desalanka-NDT Technician</v>
          </cell>
          <cell r="F491">
            <v>1</v>
          </cell>
          <cell r="G491" t="str">
            <v>Code B</v>
          </cell>
        </row>
        <row r="492">
          <cell r="A492" t="str">
            <v>KHF-00-104265-AA-3341-00113-0000-1</v>
          </cell>
          <cell r="B492" t="str">
            <v>KHF_AIP_D_EXT_00371</v>
          </cell>
          <cell r="C492">
            <v>43240</v>
          </cell>
          <cell r="D492" t="str">
            <v>KHF-00-104265-AA-3341-00113-0000</v>
          </cell>
          <cell r="E492" t="str">
            <v>CV of Mr. Mohammed Alimuddin-NDT Technician</v>
          </cell>
          <cell r="F492">
            <v>1</v>
          </cell>
          <cell r="G492" t="str">
            <v>Code B</v>
          </cell>
        </row>
        <row r="493">
          <cell r="A493" t="str">
            <v>KHF-00-104265-AA-3341-00114-0000-1</v>
          </cell>
          <cell r="B493" t="str">
            <v>KHF_AIP_D_EXT_00371</v>
          </cell>
          <cell r="C493">
            <v>43240</v>
          </cell>
          <cell r="D493" t="str">
            <v>KHF-00-104265-AA-3341-00114-0000</v>
          </cell>
          <cell r="E493" t="str">
            <v>CV of Mr. Gore Bahadur Sen-NDT Technician</v>
          </cell>
          <cell r="F493">
            <v>1</v>
          </cell>
          <cell r="G493" t="str">
            <v>Code B</v>
          </cell>
        </row>
        <row r="494">
          <cell r="A494" t="str">
            <v>KHF-00-104265-AA-3341-60075-0000-1</v>
          </cell>
          <cell r="B494" t="str">
            <v>KHF_AIP_D_EXT_00372</v>
          </cell>
          <cell r="C494">
            <v>43240</v>
          </cell>
          <cell r="D494" t="str">
            <v>KHF-00-104265-AA-3341-60075-0000</v>
          </cell>
          <cell r="E494" t="str">
            <v>CV of Mr. Kamlesh Bhandari - Pipeline Coating Inspector</v>
          </cell>
          <cell r="F494">
            <v>1</v>
          </cell>
          <cell r="G494" t="str">
            <v>Code B</v>
          </cell>
        </row>
        <row r="495">
          <cell r="A495" t="str">
            <v>KHF-00-104265-BA-6070-00403-0000-1</v>
          </cell>
          <cell r="B495" t="str">
            <v>KHF_AIP_D_EXT_00373</v>
          </cell>
          <cell r="C495">
            <v>43240</v>
          </cell>
          <cell r="D495" t="str">
            <v>KHF-00-104265-BA-6070-00403-0000</v>
          </cell>
          <cell r="E495" t="str">
            <v>Method Statement - Structural Steel Fabrication &amp; Welding</v>
          </cell>
          <cell r="F495">
            <v>1</v>
          </cell>
          <cell r="G495" t="str">
            <v>Code B</v>
          </cell>
        </row>
        <row r="496">
          <cell r="A496" t="str">
            <v>KHF-00-104265-RA-6038-00101-0000-2</v>
          </cell>
          <cell r="B496" t="str">
            <v>KHF_AIP_D_EXT_00374</v>
          </cell>
          <cell r="C496">
            <v>43240</v>
          </cell>
          <cell r="D496" t="str">
            <v>KHF-00-104265-RA-6038-00101-0000</v>
          </cell>
          <cell r="E496" t="str">
            <v>Procedure for X-Ray Radiographic Testing of Pipelines</v>
          </cell>
          <cell r="F496">
            <v>2</v>
          </cell>
          <cell r="G496" t="str">
            <v>Code A</v>
          </cell>
        </row>
        <row r="497">
          <cell r="A497" t="str">
            <v>KHF-00-104265-RA-8241-51036-0000-1</v>
          </cell>
          <cell r="B497" t="str">
            <v>KHF_AIP_D_EXT_00375</v>
          </cell>
          <cell r="C497">
            <v>43240</v>
          </cell>
          <cell r="D497" t="str">
            <v>KHF-00-104265-RA-8241-51036-0000</v>
          </cell>
          <cell r="E497" t="str">
            <v>Material Approval Sheet for 75MM Thick Extruded Polystyrene Insulation - 35 KG/CUM Density</v>
          </cell>
          <cell r="F497">
            <v>1</v>
          </cell>
          <cell r="G497" t="str">
            <v>Code B</v>
          </cell>
        </row>
        <row r="498">
          <cell r="A498" t="str">
            <v>KHF-00-104265-RA-8241-51037-0000-1</v>
          </cell>
          <cell r="B498" t="str">
            <v>KHF_AIP_D_EXT_00375</v>
          </cell>
          <cell r="C498">
            <v>43240</v>
          </cell>
          <cell r="D498" t="str">
            <v>KHF-00-104265-RA-8241-51037-0000</v>
          </cell>
          <cell r="E498" t="str">
            <v>Material Approval Sheet for 50MM Thick Extruded Polystyrene Insulation - 35 KG/CUM Density</v>
          </cell>
          <cell r="F498">
            <v>1</v>
          </cell>
          <cell r="G498" t="str">
            <v>Code B</v>
          </cell>
        </row>
        <row r="499">
          <cell r="A499" t="str">
            <v>KHF-00-104265-RA-8241-51038-0000-1</v>
          </cell>
          <cell r="B499" t="str">
            <v>KHF_AIP_D_EXT_00376</v>
          </cell>
          <cell r="C499">
            <v>43240</v>
          </cell>
          <cell r="D499" t="str">
            <v>KHF-00-104265-RA-8241-51038-0000</v>
          </cell>
          <cell r="E499" t="str">
            <v>Material Approval Sheet for 200 MM &amp; 100 MM Thick Solid Blocks (OPC) - 10.50 N/MM2</v>
          </cell>
          <cell r="F499">
            <v>1</v>
          </cell>
          <cell r="G499" t="str">
            <v>Code A</v>
          </cell>
        </row>
        <row r="500">
          <cell r="A500" t="str">
            <v>KHF-00-104265-RA-8241-51040-0000-1</v>
          </cell>
          <cell r="B500" t="str">
            <v>KHF_AIP_D_EXT_00377</v>
          </cell>
          <cell r="C500">
            <v>43240</v>
          </cell>
          <cell r="D500" t="str">
            <v>KHF-00-104265-RA-8241-51040-0000</v>
          </cell>
          <cell r="E500" t="str">
            <v>Material Approval Sheet for Structural Steel Grade-S275 JR for Hot Rolled Steel Flat Bars</v>
          </cell>
          <cell r="F500">
            <v>1</v>
          </cell>
          <cell r="G500" t="str">
            <v>Code A</v>
          </cell>
        </row>
        <row r="501">
          <cell r="A501" t="str">
            <v>KHF-00-104265-RA-8241-51041-0000-1</v>
          </cell>
          <cell r="B501" t="str">
            <v>KHF_AIP_D_EXT_00378</v>
          </cell>
          <cell r="C501">
            <v>43240</v>
          </cell>
          <cell r="D501" t="str">
            <v>KHF-00-104265-RA-8241-51041-0000</v>
          </cell>
          <cell r="E501" t="str">
            <v>Material Approval Sheet for 200 MM &amp; 100 MM Thick Solid Blocks (OPC) - 10.50 N/MM2 and 200 MM Thick Solid Blocks (OPC) - 10.50 N/MM2 (2 Hours Fire Rated Block)</v>
          </cell>
          <cell r="F501">
            <v>1</v>
          </cell>
          <cell r="G501" t="str">
            <v>Code B</v>
          </cell>
        </row>
        <row r="502">
          <cell r="A502" t="str">
            <v>---</v>
          </cell>
          <cell r="B502" t="str">
            <v>KHF_AIP_D_EXT_00379</v>
          </cell>
          <cell r="C502">
            <v>43240</v>
          </cell>
          <cell r="D502" t="str">
            <v>-</v>
          </cell>
          <cell r="E502" t="str">
            <v>AFC Drawings</v>
          </cell>
          <cell r="F502" t="str">
            <v>-</v>
          </cell>
          <cell r="G502" t="str">
            <v>Total 04 drawings</v>
          </cell>
        </row>
        <row r="503">
          <cell r="A503" t="str">
            <v>KHF-00-104265-HX-6613-10015-0000-3</v>
          </cell>
          <cell r="B503" t="str">
            <v>KHF_AIP_D_EXT_00380</v>
          </cell>
          <cell r="C503">
            <v>43241</v>
          </cell>
          <cell r="D503" t="str">
            <v>KHF-00-104265-HX-6613-10015-0000</v>
          </cell>
          <cell r="E503" t="str">
            <v>Construction Services for Yibal Khuff HEMP Register</v>
          </cell>
          <cell r="F503">
            <v>3</v>
          </cell>
          <cell r="G503" t="str">
            <v>Code A</v>
          </cell>
        </row>
        <row r="504">
          <cell r="A504" t="str">
            <v>KHF-00-104265-QA-5733-00402-0000-2</v>
          </cell>
          <cell r="B504" t="str">
            <v>KHF_AIP_D_EXT_00381</v>
          </cell>
          <cell r="C504">
            <v>43241</v>
          </cell>
          <cell r="D504" t="str">
            <v>KHF-00-104265-QA-5733-00402-0000</v>
          </cell>
          <cell r="E504" t="str">
            <v>Inspection &amp; Test Plan - Structural Steel Fabrication &amp; Welding</v>
          </cell>
          <cell r="F504">
            <v>2</v>
          </cell>
          <cell r="G504" t="str">
            <v>Code A</v>
          </cell>
        </row>
        <row r="505">
          <cell r="A505" t="str">
            <v>KHF-00-104265-QA-5733-00406-0000-2</v>
          </cell>
          <cell r="B505" t="str">
            <v>KHF_AIP_D_EXT_00382</v>
          </cell>
          <cell r="C505">
            <v>43241</v>
          </cell>
          <cell r="D505" t="str">
            <v>KHF-00-104265-QA-5733-00406-0000</v>
          </cell>
          <cell r="E505" t="str">
            <v>Inspection &amp; Test Plan - Structural Steel Hot Dip Galvanizing</v>
          </cell>
          <cell r="F505">
            <v>2</v>
          </cell>
          <cell r="G505" t="str">
            <v>Code A</v>
          </cell>
        </row>
        <row r="506">
          <cell r="A506" t="str">
            <v>KHF-00-104265-QA-5733-21006-0000-2</v>
          </cell>
          <cell r="B506" t="str">
            <v>KHF_AIP_D_EXT_00383</v>
          </cell>
          <cell r="C506">
            <v>43241</v>
          </cell>
          <cell r="D506" t="str">
            <v>KHF-00-104265-QA-5733-21006-0000</v>
          </cell>
          <cell r="E506" t="str">
            <v>Inspection &amp; Test Plan for Concrete Works</v>
          </cell>
          <cell r="F506">
            <v>2</v>
          </cell>
          <cell r="G506" t="str">
            <v>Code A</v>
          </cell>
        </row>
        <row r="507">
          <cell r="A507" t="str">
            <v>KHF-00-104265-QA-5733-22010-0000-3</v>
          </cell>
          <cell r="B507" t="str">
            <v>KHF_AIP_D_EXT_00384</v>
          </cell>
          <cell r="C507">
            <v>43241</v>
          </cell>
          <cell r="D507" t="str">
            <v>KHF-00-104265-QA-5733-22010-0000</v>
          </cell>
          <cell r="E507" t="str">
            <v>Inspection &amp; Test Plan for Installation of HRSG Stacks</v>
          </cell>
          <cell r="F507">
            <v>3</v>
          </cell>
          <cell r="G507" t="str">
            <v>Code A</v>
          </cell>
        </row>
        <row r="508">
          <cell r="A508" t="str">
            <v>KHF-00-104265-QA-5733-23001-0000-2</v>
          </cell>
          <cell r="B508" t="str">
            <v>KHF_AIP_D_EXT_00385</v>
          </cell>
          <cell r="C508">
            <v>43241</v>
          </cell>
          <cell r="D508" t="str">
            <v>KHF-00-104265-QA-5733-23001-0000</v>
          </cell>
          <cell r="E508" t="str">
            <v>Inspection &amp; Test Plan for HV\LV Cable Lying &amp; Testing</v>
          </cell>
          <cell r="F508">
            <v>2</v>
          </cell>
          <cell r="G508" t="str">
            <v>Code A</v>
          </cell>
        </row>
        <row r="509">
          <cell r="A509" t="str">
            <v>KHF-00-104265-QA-5733-23005-0000-2</v>
          </cell>
          <cell r="B509" t="str">
            <v>KHF_AIP_D_EXT_00385</v>
          </cell>
          <cell r="C509">
            <v>43241</v>
          </cell>
          <cell r="D509" t="str">
            <v>KHF-00-104265-QA-5733-23005-0000</v>
          </cell>
          <cell r="E509" t="str">
            <v>Inspection &amp; Test Plan for Earthing Works</v>
          </cell>
          <cell r="F509">
            <v>2</v>
          </cell>
          <cell r="G509" t="str">
            <v>Code A</v>
          </cell>
        </row>
        <row r="510">
          <cell r="A510" t="str">
            <v>KHF-00-104265-QA-5733-23002-0000-3</v>
          </cell>
          <cell r="B510" t="str">
            <v>KHF_AIP_D_EXT_00386</v>
          </cell>
          <cell r="C510">
            <v>43241</v>
          </cell>
          <cell r="D510" t="str">
            <v>KHF-00-104265-QA-5733-23002-0000</v>
          </cell>
          <cell r="E510" t="str">
            <v>Inspection &amp; Test Plan for HV\LV Glanding &amp; Termination</v>
          </cell>
          <cell r="F510">
            <v>3</v>
          </cell>
          <cell r="G510" t="str">
            <v>Code A</v>
          </cell>
        </row>
        <row r="511">
          <cell r="A511" t="str">
            <v>KHF-00-104265-QA-5733-23003-0000-3</v>
          </cell>
          <cell r="B511" t="str">
            <v>KHF_AIP_D_EXT_00386</v>
          </cell>
          <cell r="C511">
            <v>43241</v>
          </cell>
          <cell r="D511" t="str">
            <v>KHF-00-104265-QA-5733-23003-0000</v>
          </cell>
          <cell r="E511" t="str">
            <v>Inspection &amp; Test Plan for Switchgear Installation Works</v>
          </cell>
          <cell r="F511">
            <v>3</v>
          </cell>
          <cell r="G511" t="str">
            <v>Code A</v>
          </cell>
        </row>
        <row r="512">
          <cell r="A512" t="str">
            <v>---</v>
          </cell>
          <cell r="B512" t="str">
            <v>KHF_AIP_D_EXT_00387</v>
          </cell>
          <cell r="C512">
            <v>43241</v>
          </cell>
          <cell r="D512" t="str">
            <v>-</v>
          </cell>
          <cell r="E512" t="str">
            <v>AFC Drawings</v>
          </cell>
          <cell r="F512" t="str">
            <v>-</v>
          </cell>
          <cell r="G512" t="str">
            <v>Total 02 drawings</v>
          </cell>
        </row>
        <row r="513">
          <cell r="A513" t="str">
            <v>KHF-00-104265-QA-6180-00122-0000-2</v>
          </cell>
          <cell r="B513" t="str">
            <v>KHF_AIP_D_EXT_00388</v>
          </cell>
          <cell r="C513">
            <v>43241</v>
          </cell>
          <cell r="D513" t="str">
            <v>KHF-00-104265-QA-6180-00122-0000</v>
          </cell>
          <cell r="E513" t="str">
            <v>Quality Control Procedure for Material Handling, Storage &amp; Control</v>
          </cell>
          <cell r="F513">
            <v>2</v>
          </cell>
          <cell r="G513" t="str">
            <v>Code B</v>
          </cell>
        </row>
        <row r="514">
          <cell r="A514" t="str">
            <v>KHF-00-104265-RA-6038-00102-0000-2</v>
          </cell>
          <cell r="B514" t="str">
            <v>KHF_AIP_D_EXT_00389</v>
          </cell>
          <cell r="C514">
            <v>43241</v>
          </cell>
          <cell r="D514" t="str">
            <v>KHF-00-104265-RA-6038-00102-0000</v>
          </cell>
          <cell r="E514" t="str">
            <v>Procedure for External X-Ray Radiographic Testing of Pipelines</v>
          </cell>
          <cell r="F514">
            <v>2</v>
          </cell>
          <cell r="G514" t="str">
            <v>Code A</v>
          </cell>
        </row>
        <row r="515">
          <cell r="A515" t="str">
            <v>KHF-00-104265-RA-6038-00103-0000-2</v>
          </cell>
          <cell r="B515" t="str">
            <v>KHF_AIP_D_EXT_00390</v>
          </cell>
          <cell r="C515">
            <v>43241</v>
          </cell>
          <cell r="D515" t="str">
            <v>KHF-00-104265-RA-6038-00103-0000</v>
          </cell>
          <cell r="E515" t="str">
            <v>Procedure for Magnetic Particle Testing of Pipelines</v>
          </cell>
          <cell r="F515">
            <v>2</v>
          </cell>
          <cell r="G515" t="str">
            <v>Code A</v>
          </cell>
        </row>
        <row r="516">
          <cell r="A516" t="str">
            <v>KHF-00-104265-RA-6038-00104-0000-2</v>
          </cell>
          <cell r="B516" t="str">
            <v>KHF_AIP_D_EXT_00391</v>
          </cell>
          <cell r="C516">
            <v>43241</v>
          </cell>
          <cell r="D516" t="str">
            <v>KHF-00-104265-RA-6038-00104-0000</v>
          </cell>
          <cell r="E516" t="str">
            <v>Procedure for Ultrasonic Testing for Lamination for Pipelines</v>
          </cell>
          <cell r="F516">
            <v>2</v>
          </cell>
          <cell r="G516" t="str">
            <v>Code B</v>
          </cell>
        </row>
        <row r="517">
          <cell r="A517" t="str">
            <v>KHF-00-104265-RA-6038-00105-0000-1</v>
          </cell>
          <cell r="B517" t="str">
            <v>KHF_AIP_D_EXT_00392</v>
          </cell>
          <cell r="C517">
            <v>43241</v>
          </cell>
          <cell r="D517" t="str">
            <v>KHF-00-104265-RA-6038-00105-0000</v>
          </cell>
          <cell r="E517" t="str">
            <v>Procedure for Ultrasonic Testing of Pipelines Welds</v>
          </cell>
          <cell r="F517">
            <v>1</v>
          </cell>
          <cell r="G517" t="str">
            <v>Code B</v>
          </cell>
        </row>
        <row r="518">
          <cell r="A518" t="str">
            <v>KHF-00-104265-AA-5760-10036-0000-1</v>
          </cell>
          <cell r="B518" t="str">
            <v>KHF_AIP_D_EXT_00393</v>
          </cell>
          <cell r="C518">
            <v>43241</v>
          </cell>
          <cell r="D518" t="str">
            <v>KHF-00-104265-AA-5760-10036-0000</v>
          </cell>
          <cell r="E518" t="str">
            <v>Contract Execution Plan</v>
          </cell>
          <cell r="F518">
            <v>1</v>
          </cell>
          <cell r="G518" t="str">
            <v>Code D</v>
          </cell>
        </row>
        <row r="519">
          <cell r="A519" t="str">
            <v>KHF-00-104265-QA-5798-00101-0000-3</v>
          </cell>
          <cell r="B519" t="str">
            <v>KHF_AIP_D_EXT_00394</v>
          </cell>
          <cell r="C519">
            <v>43241</v>
          </cell>
          <cell r="D519" t="str">
            <v>KHF-00-104265-QA-5798-00101-0000</v>
          </cell>
          <cell r="E519" t="str">
            <v>Project Quality Plan</v>
          </cell>
          <cell r="F519">
            <v>3</v>
          </cell>
          <cell r="G519" t="str">
            <v>Code D</v>
          </cell>
        </row>
        <row r="520">
          <cell r="A520" t="str">
            <v>KHF-00-104265-AA-3341-00110-0000-1</v>
          </cell>
          <cell r="B520" t="str">
            <v>KHF_AIP_D_EXT_00395</v>
          </cell>
          <cell r="C520">
            <v>43241</v>
          </cell>
          <cell r="D520" t="str">
            <v>KHF-00-104265-AA-3341-00110-0000</v>
          </cell>
          <cell r="E520" t="str">
            <v>CV of Mr. MD Rashid Jamal - Hydrotesting Engineer for GRE and CS Pipeline</v>
          </cell>
          <cell r="F520">
            <v>1</v>
          </cell>
          <cell r="G520" t="str">
            <v>Code A</v>
          </cell>
        </row>
        <row r="521">
          <cell r="A521" t="str">
            <v>KHF-00-104265-QA-5733-24001-0000-3</v>
          </cell>
          <cell r="B521" t="str">
            <v>KHF_AIP_D_EXT_00396</v>
          </cell>
          <cell r="C521">
            <v>43241</v>
          </cell>
          <cell r="D521" t="str">
            <v>KHF-00-104265-QA-5733-24001-0000</v>
          </cell>
          <cell r="E521" t="str">
            <v>Inspection &amp; Test Plan for Instrument Cable Laying &amp; Cable Tray Installation</v>
          </cell>
          <cell r="F521">
            <v>3</v>
          </cell>
          <cell r="G521" t="str">
            <v>Code A</v>
          </cell>
        </row>
        <row r="522">
          <cell r="A522" t="str">
            <v>KHF-00-104265-VA-6047-10006-0000-4</v>
          </cell>
          <cell r="B522" t="str">
            <v>KHF_AIP_D_EXT_00397</v>
          </cell>
          <cell r="C522">
            <v>43241</v>
          </cell>
          <cell r="D522" t="str">
            <v>KHF-00-104265-VA-6047-10006-0000</v>
          </cell>
          <cell r="E522" t="str">
            <v>Contract Procurement Plan</v>
          </cell>
          <cell r="F522">
            <v>4</v>
          </cell>
          <cell r="G522" t="str">
            <v>Code A</v>
          </cell>
        </row>
        <row r="523">
          <cell r="A523" t="str">
            <v>KHF-00-104265-AA-3341-60073-0000-1</v>
          </cell>
          <cell r="B523" t="str">
            <v>KHF_AIP_D_EXT_00398</v>
          </cell>
          <cell r="C523">
            <v>43243</v>
          </cell>
          <cell r="D523" t="str">
            <v>KHF-00-104265-AA-3341-60073-0000</v>
          </cell>
          <cell r="E523" t="str">
            <v>CV of Mr. Minesh Kumar Laroyian - Information Management Lead</v>
          </cell>
          <cell r="F523">
            <v>1</v>
          </cell>
          <cell r="G523" t="str">
            <v>Code D</v>
          </cell>
        </row>
        <row r="524">
          <cell r="A524" t="str">
            <v>---</v>
          </cell>
          <cell r="B524" t="str">
            <v>KHF_AIP_D_EXT_00399</v>
          </cell>
          <cell r="C524">
            <v>43244</v>
          </cell>
          <cell r="D524" t="str">
            <v>-</v>
          </cell>
          <cell r="E524" t="str">
            <v>AFC Drawings</v>
          </cell>
          <cell r="F524" t="str">
            <v>-</v>
          </cell>
          <cell r="G524" t="str">
            <v>Total 22 drawings</v>
          </cell>
        </row>
        <row r="525">
          <cell r="A525" t="str">
            <v>KHF-00-104265-AA-3341-60069-0000-1</v>
          </cell>
          <cell r="B525" t="str">
            <v>KHF_AIP_D_EXT_00400</v>
          </cell>
          <cell r="C525">
            <v>43247</v>
          </cell>
          <cell r="D525" t="str">
            <v>KHF-00-104265-AA-3341-60069-0000</v>
          </cell>
          <cell r="E525" t="str">
            <v>CV of Mr. Raja Chockanathan - Welding Inspector Pipelines</v>
          </cell>
          <cell r="F525">
            <v>1</v>
          </cell>
          <cell r="G525" t="str">
            <v>Code D</v>
          </cell>
        </row>
        <row r="526">
          <cell r="A526" t="str">
            <v>KHF-00-104265-AA-3341-00107-0000-1</v>
          </cell>
          <cell r="B526" t="str">
            <v>KHF_AIP_D_EXT_00401</v>
          </cell>
          <cell r="C526">
            <v>43247</v>
          </cell>
          <cell r="D526" t="str">
            <v>KHF-00-104265-AA-3341-00107-0000</v>
          </cell>
          <cell r="E526" t="str">
            <v>CV of Mr. Joby Antony - Welding Inspector</v>
          </cell>
          <cell r="F526">
            <v>1</v>
          </cell>
          <cell r="G526" t="str">
            <v>Code C</v>
          </cell>
        </row>
        <row r="527">
          <cell r="A527" t="str">
            <v>KHF-00-104265-AA-3341-60074-0000-1</v>
          </cell>
          <cell r="B527" t="str">
            <v>KHF_AIP_D_EXT_00402</v>
          </cell>
          <cell r="C527">
            <v>43247</v>
          </cell>
          <cell r="D527" t="str">
            <v>KHF-00-104265-AA-3341-60074-0000</v>
          </cell>
          <cell r="E527" t="str">
            <v>CV of Mr. Sunil Kumar Nayak - Welding Inspector - Pipelines</v>
          </cell>
          <cell r="F527">
            <v>1</v>
          </cell>
          <cell r="G527" t="str">
            <v>Code B</v>
          </cell>
        </row>
        <row r="528">
          <cell r="A528" t="str">
            <v>KHF-00-104265-AA-3341-60077-0000-1</v>
          </cell>
          <cell r="B528" t="str">
            <v>KHF_AIP_D_EXT_00403</v>
          </cell>
          <cell r="C528">
            <v>43247</v>
          </cell>
          <cell r="D528" t="str">
            <v>KHF-00-104265-AA-3341-60077-0000</v>
          </cell>
          <cell r="E528" t="str">
            <v>CV of Mr. Dixon P Davis - Welding Inspector Pipeline</v>
          </cell>
          <cell r="F528">
            <v>1</v>
          </cell>
          <cell r="G528" t="str">
            <v>Code B</v>
          </cell>
        </row>
        <row r="529">
          <cell r="A529" t="str">
            <v>KHF-00-104265-AA-3341-00109-0000-1</v>
          </cell>
          <cell r="B529" t="str">
            <v>KHF_AIP_D_EXT_00404</v>
          </cell>
          <cell r="C529">
            <v>43247</v>
          </cell>
          <cell r="D529" t="str">
            <v>KHF-00-104265-AA-3341-00109-0000</v>
          </cell>
          <cell r="E529" t="str">
            <v>CV of Mr. S.Govind Prabhu - Hydrotesting Engineer for GRE and CS Pipeline</v>
          </cell>
          <cell r="F529">
            <v>1</v>
          </cell>
          <cell r="G529" t="str">
            <v>Code D</v>
          </cell>
        </row>
        <row r="530">
          <cell r="A530" t="str">
            <v>KHF-00-104265-QA-6180-00137-0000-1</v>
          </cell>
          <cell r="B530" t="str">
            <v>KHF_AIP_D_EXT_00405</v>
          </cell>
          <cell r="C530">
            <v>43247</v>
          </cell>
          <cell r="D530" t="str">
            <v>KHF-00-104265-QA-6180-00137-0000</v>
          </cell>
          <cell r="E530" t="str">
            <v>Procedure for New Electrode Batch testing</v>
          </cell>
          <cell r="F530">
            <v>1</v>
          </cell>
          <cell r="G530" t="str">
            <v>Code B</v>
          </cell>
        </row>
        <row r="531">
          <cell r="A531" t="str">
            <v>KHF-00-104265-AA-3341-00115-0000-1</v>
          </cell>
          <cell r="B531" t="str">
            <v>KHF_AIP_D_EXT_00406</v>
          </cell>
          <cell r="C531">
            <v>43247</v>
          </cell>
          <cell r="D531" t="str">
            <v>KHF-00-104265-AA-3341-00115-0000</v>
          </cell>
          <cell r="E531" t="str">
            <v>CV of Mr. Fernandes Phardy - NDT Technician</v>
          </cell>
          <cell r="F531">
            <v>1</v>
          </cell>
          <cell r="G531" t="str">
            <v>Code B</v>
          </cell>
        </row>
        <row r="532">
          <cell r="A532" t="str">
            <v>KHF-00-104265-AA-3341-00116-0000-1</v>
          </cell>
          <cell r="B532" t="str">
            <v>KHF_AIP_D_EXT_00406</v>
          </cell>
          <cell r="C532">
            <v>43247</v>
          </cell>
          <cell r="D532" t="str">
            <v>KHF-00-104265-AA-3341-00116-0000</v>
          </cell>
          <cell r="E532" t="str">
            <v>CV of Mr. Nilratan Ojha - NDT Technician</v>
          </cell>
          <cell r="F532">
            <v>1</v>
          </cell>
          <cell r="G532" t="str">
            <v>Code B</v>
          </cell>
        </row>
        <row r="533">
          <cell r="A533" t="str">
            <v>KHF-00-104265-AA-6180-10023-0000-2</v>
          </cell>
          <cell r="B533" t="str">
            <v>KHF_AIP_D_EXT_00407</v>
          </cell>
          <cell r="C533">
            <v>43248</v>
          </cell>
          <cell r="D533" t="str">
            <v>KHF-00-104265-AA-6180-10023-0000</v>
          </cell>
          <cell r="E533" t="str">
            <v>Procedure for Technical Deviation and Technical Query</v>
          </cell>
          <cell r="F533">
            <v>2</v>
          </cell>
          <cell r="G533" t="str">
            <v>Code B</v>
          </cell>
        </row>
        <row r="534">
          <cell r="A534" t="str">
            <v>KHF-00-104265-BA-6070-00120-0000-1</v>
          </cell>
          <cell r="B534" t="str">
            <v>KHF_AIP_D_EXT_00408</v>
          </cell>
          <cell r="C534">
            <v>43249</v>
          </cell>
          <cell r="D534" t="str">
            <v>KHF-00-104265-BA-6070-00120-0000</v>
          </cell>
          <cell r="E534" t="str">
            <v>Method Statement for Hydrotesting of GRE Pipeline</v>
          </cell>
          <cell r="F534">
            <v>1</v>
          </cell>
          <cell r="G534" t="str">
            <v>Code B</v>
          </cell>
        </row>
        <row r="535">
          <cell r="A535" t="str">
            <v>KHF-00-104265-BA-6070-00407-0000-1</v>
          </cell>
          <cell r="B535" t="str">
            <v>KHF_AIP_D_EXT_00409</v>
          </cell>
          <cell r="C535">
            <v>43250</v>
          </cell>
          <cell r="D535" t="str">
            <v>KHF-00-104265-BA-6070-00407-0000</v>
          </cell>
          <cell r="E535" t="str">
            <v>Method Statement - Structural Steel Hot Dip Galvanizing</v>
          </cell>
          <cell r="F535">
            <v>1</v>
          </cell>
          <cell r="G535" t="str">
            <v>Code C</v>
          </cell>
        </row>
        <row r="536">
          <cell r="A536" t="str">
            <v>KHF-00-104265-RA-6038-00107-0000-1</v>
          </cell>
          <cell r="B536" t="str">
            <v>KHF_AIP_D_EXT_00410</v>
          </cell>
          <cell r="C536">
            <v>43250</v>
          </cell>
          <cell r="D536" t="str">
            <v>KHF-00-104265-RA-6038-00107-0000</v>
          </cell>
          <cell r="E536" t="str">
            <v>Procedure for Radiation Safety</v>
          </cell>
          <cell r="F536">
            <v>1</v>
          </cell>
          <cell r="G536" t="str">
            <v>Code C</v>
          </cell>
        </row>
        <row r="537">
          <cell r="A537" t="str">
            <v>---</v>
          </cell>
          <cell r="B537" t="str">
            <v>KHF_AIP_D_EXT_00411</v>
          </cell>
          <cell r="C537">
            <v>43251</v>
          </cell>
          <cell r="D537" t="str">
            <v>-</v>
          </cell>
          <cell r="E537" t="str">
            <v>AFC Drawings</v>
          </cell>
          <cell r="F537" t="str">
            <v>-</v>
          </cell>
          <cell r="G537" t="str">
            <v>Total 17 drawings</v>
          </cell>
        </row>
        <row r="538">
          <cell r="A538" t="str">
            <v>KHF-00-104265-QA-6050-00103-0000-1</v>
          </cell>
          <cell r="B538" t="str">
            <v>KHF_AIP_D_EXT_00412</v>
          </cell>
          <cell r="C538">
            <v>43251</v>
          </cell>
          <cell r="D538" t="str">
            <v>KHF-00-104265-QA-6050-00103-0000</v>
          </cell>
          <cell r="E538" t="str">
            <v>Quality Control Plan for Concrete Works</v>
          </cell>
          <cell r="F538">
            <v>1</v>
          </cell>
          <cell r="G538" t="str">
            <v>Code B</v>
          </cell>
        </row>
        <row r="539">
          <cell r="A539" t="str">
            <v>KHF-00-104265-QA-6050-00106-0000-3</v>
          </cell>
          <cell r="B539" t="str">
            <v>KHF_AIP_D_EXT_00413</v>
          </cell>
          <cell r="C539">
            <v>43251</v>
          </cell>
          <cell r="D539" t="str">
            <v>KHF-00-104265-QA-6050-00106-0000</v>
          </cell>
          <cell r="E539" t="str">
            <v>Quality Control Plan for Installation of CS Pipelines</v>
          </cell>
          <cell r="F539">
            <v>3</v>
          </cell>
          <cell r="G539" t="str">
            <v>Code B</v>
          </cell>
        </row>
        <row r="540">
          <cell r="A540" t="str">
            <v>KHF-00-104265-AA-6180-10023-0000-3</v>
          </cell>
          <cell r="B540" t="str">
            <v>KHF_AIP_D_EXT_00414</v>
          </cell>
          <cell r="C540">
            <v>43251</v>
          </cell>
          <cell r="D540" t="str">
            <v>KHF-00-104265-AA-6180-10023-0000</v>
          </cell>
          <cell r="E540" t="str">
            <v>Procedure for Technical Deviation &amp; Technical Query</v>
          </cell>
          <cell r="F540">
            <v>3</v>
          </cell>
          <cell r="G540" t="str">
            <v>Code A</v>
          </cell>
        </row>
        <row r="541">
          <cell r="A541" t="str">
            <v>KHF-00-104265-QA-6050-00105-0000-4</v>
          </cell>
          <cell r="B541" t="str">
            <v>KHF_AIP_D_EXT_00415</v>
          </cell>
          <cell r="C541">
            <v>43251</v>
          </cell>
          <cell r="D541" t="str">
            <v>KHF-00-104265-QA-6050-00105-0000</v>
          </cell>
          <cell r="E541" t="str">
            <v>Quality Control Plan for Welding of Pipeline</v>
          </cell>
          <cell r="F541">
            <v>4</v>
          </cell>
          <cell r="G541" t="str">
            <v>Code A</v>
          </cell>
        </row>
        <row r="542">
          <cell r="A542" t="str">
            <v>KHF-00-104265-AA-3341-60079-0000-1</v>
          </cell>
          <cell r="B542" t="str">
            <v>KHF_AIP_D_EXT_00416</v>
          </cell>
          <cell r="C542">
            <v>43254</v>
          </cell>
          <cell r="D542" t="str">
            <v>KHF-00-104265-AA-3341-60079-0000</v>
          </cell>
          <cell r="E542" t="str">
            <v>CV of Mr. DHARMA RAO DRONADULA - ELECTRICAL QC INSPECTOR</v>
          </cell>
          <cell r="F542">
            <v>1</v>
          </cell>
          <cell r="G542" t="str">
            <v>Code B</v>
          </cell>
        </row>
        <row r="543">
          <cell r="A543" t="str">
            <v>KHF-00-104265-BA-6070-41003-0000-1</v>
          </cell>
          <cell r="B543" t="str">
            <v>KHF_AIP_D_EXT_00417</v>
          </cell>
          <cell r="C543">
            <v>43254</v>
          </cell>
          <cell r="D543" t="str">
            <v>KHF-00-104265-BA-6070-41003-0000</v>
          </cell>
          <cell r="E543" t="str">
            <v>Method Statement for Application of Tanking Membrane</v>
          </cell>
          <cell r="F543">
            <v>1</v>
          </cell>
          <cell r="G543" t="str">
            <v>Code B</v>
          </cell>
        </row>
        <row r="544">
          <cell r="A544" t="str">
            <v>KHF-00-104265-RA-8241-51043-0000-1</v>
          </cell>
          <cell r="B544" t="str">
            <v>KHF_AIP_D_EXT_00418</v>
          </cell>
          <cell r="C544">
            <v>43254</v>
          </cell>
          <cell r="D544" t="str">
            <v>KHF-00-104265-RA-8241-51043-0000</v>
          </cell>
          <cell r="E544" t="str">
            <v>Material Approval Sheet for Ironmongery (Doors)</v>
          </cell>
          <cell r="F544">
            <v>1</v>
          </cell>
          <cell r="G544" t="str">
            <v>Code B</v>
          </cell>
        </row>
        <row r="545">
          <cell r="A545" t="str">
            <v>KHF-00-104265-RA-8241-51046-0000-1</v>
          </cell>
          <cell r="B545" t="str">
            <v>KHF_AIP_D_EXT_00419</v>
          </cell>
          <cell r="C545">
            <v>43254</v>
          </cell>
          <cell r="D545" t="str">
            <v>KHF-00-104265-RA-8241-51046-0000</v>
          </cell>
          <cell r="E545" t="str">
            <v>Material Approval Sheet for UPVC Sleeves</v>
          </cell>
          <cell r="F545">
            <v>1</v>
          </cell>
          <cell r="G545" t="str">
            <v>Code B</v>
          </cell>
        </row>
        <row r="546">
          <cell r="A546" t="str">
            <v>KHF-00-104265-AA-3341-00117-0000-1</v>
          </cell>
          <cell r="B546" t="str">
            <v>KHF_AIP_D_EXT_00420</v>
          </cell>
          <cell r="C546">
            <v>43255</v>
          </cell>
          <cell r="D546" t="str">
            <v>KHF-00-104265-AA-3341-00117-0000</v>
          </cell>
          <cell r="E546" t="str">
            <v>CV of Mr. Sangeeth- GRE Pipeline Hydro testing Engineer (including 500m initial test)</v>
          </cell>
          <cell r="F546">
            <v>1</v>
          </cell>
          <cell r="G546" t="str">
            <v>Code D</v>
          </cell>
        </row>
        <row r="547">
          <cell r="A547" t="str">
            <v>KHF-00-104265-AA-3341-60072-0000-1</v>
          </cell>
          <cell r="B547" t="str">
            <v>KHF_AIP_D_EXT_00421</v>
          </cell>
          <cell r="C547">
            <v>43255</v>
          </cell>
          <cell r="D547" t="str">
            <v>KHF-00-104265-AA-3341-60072-0000</v>
          </cell>
          <cell r="E547" t="str">
            <v>CV of Mr. Joshva Immanuel James - Male Nurse</v>
          </cell>
          <cell r="F547">
            <v>1</v>
          </cell>
          <cell r="G547" t="str">
            <v>Code D</v>
          </cell>
        </row>
        <row r="548">
          <cell r="A548" t="str">
            <v>KHF-00-104265-FA-5765-10040-0000-3</v>
          </cell>
          <cell r="B548" t="str">
            <v>KHF_AIP_D_EXT_00422</v>
          </cell>
          <cell r="C548">
            <v>43255</v>
          </cell>
          <cell r="D548" t="str">
            <v>KHF-00-104265-FA-5765-10040-0000</v>
          </cell>
          <cell r="E548" t="str">
            <v>Project Schedule - Level 04</v>
          </cell>
          <cell r="F548">
            <v>3</v>
          </cell>
          <cell r="G548" t="str">
            <v>Code B</v>
          </cell>
        </row>
        <row r="549">
          <cell r="A549" t="str">
            <v>KHF-00-104265-AA-3341-60076-0000-1</v>
          </cell>
          <cell r="B549" t="str">
            <v>KHF_AIP_D_EXT_00423</v>
          </cell>
          <cell r="C549">
            <v>43257</v>
          </cell>
          <cell r="D549" t="str">
            <v>KHF-00-104265-AA-3341-60076-0000</v>
          </cell>
          <cell r="E549" t="str">
            <v>CV of Mr. GREGORY SKARIA AYYAMKULANGARA-COMPLETION ENGINEER</v>
          </cell>
          <cell r="F549">
            <v>1</v>
          </cell>
          <cell r="G549" t="str">
            <v>Code D</v>
          </cell>
        </row>
        <row r="550">
          <cell r="A550" t="str">
            <v>KHF-00-104265-BA-6070-00109-0000-1</v>
          </cell>
          <cell r="B550" t="str">
            <v>KHF_AIP_D_EXT_00424</v>
          </cell>
          <cell r="C550">
            <v>43257</v>
          </cell>
          <cell r="D550" t="str">
            <v>KHF-00-104265-BA-6070-00109-0000</v>
          </cell>
          <cell r="E550" t="str">
            <v>Method Statement for Shrink Sleeve Application (PE &amp; PP Sleeve)</v>
          </cell>
          <cell r="F550">
            <v>1</v>
          </cell>
          <cell r="G550" t="str">
            <v>Code A</v>
          </cell>
        </row>
        <row r="551">
          <cell r="A551" t="str">
            <v>KHF-00-104265-HX-6180-10044-0000-3</v>
          </cell>
          <cell r="B551" t="str">
            <v>KHF_AIP_D_EXT_00425</v>
          </cell>
          <cell r="C551">
            <v>43257</v>
          </cell>
          <cell r="D551" t="str">
            <v>KHF-00-104265-HX-6180-10044-0000</v>
          </cell>
          <cell r="E551" t="str">
            <v>Method Statement for Undertaking Night Working for Civil Works of 132 KV GIS Building</v>
          </cell>
          <cell r="F551">
            <v>3</v>
          </cell>
          <cell r="G551" t="str">
            <v>Code B</v>
          </cell>
        </row>
        <row r="552">
          <cell r="A552" t="str">
            <v>KHF-00-104265-RA-8241-51045-0000-1</v>
          </cell>
          <cell r="B552" t="str">
            <v>KHF_AIP_D_EXT_00426</v>
          </cell>
          <cell r="C552">
            <v>43257</v>
          </cell>
          <cell r="D552" t="str">
            <v>KHF-00-104265-RA-8241-51045-0000</v>
          </cell>
          <cell r="E552" t="str">
            <v>Material Approval Sheet for Steel Doors Double Skinned Fire Rated</v>
          </cell>
          <cell r="F552">
            <v>1</v>
          </cell>
          <cell r="G552" t="str">
            <v>Code B</v>
          </cell>
        </row>
        <row r="553">
          <cell r="A553" t="str">
            <v>KHF-00-104265-RA-6038-00405-0000-1</v>
          </cell>
          <cell r="B553" t="str">
            <v>KHF_AIP_D_EXT_00427</v>
          </cell>
          <cell r="C553">
            <v>43258</v>
          </cell>
          <cell r="D553" t="str">
            <v>KHF-00-104265-RA-6038-00405-0000</v>
          </cell>
          <cell r="E553" t="str">
            <v>Procedure - Magnetic particle Examination for Structural Steel Works</v>
          </cell>
          <cell r="F553">
            <v>1</v>
          </cell>
          <cell r="G553" t="str">
            <v>Code A</v>
          </cell>
        </row>
        <row r="554">
          <cell r="A554" t="str">
            <v>KHF-00-104265-AA-3341-60082-0000-1</v>
          </cell>
          <cell r="B554" t="str">
            <v>KHF_AIP_D_EXT_00428</v>
          </cell>
          <cell r="C554">
            <v>43258</v>
          </cell>
          <cell r="D554" t="str">
            <v>KHF-00-104265-AA-3341-60082-0000</v>
          </cell>
          <cell r="E554" t="str">
            <v>CV of MR. SEBASTIAN GEORGE - LEAD FIELD PIPELINE ENGINEER</v>
          </cell>
          <cell r="F554">
            <v>1</v>
          </cell>
          <cell r="G554" t="str">
            <v>Code D</v>
          </cell>
        </row>
        <row r="555">
          <cell r="A555" t="str">
            <v>---</v>
          </cell>
          <cell r="B555" t="str">
            <v>KHF_AIP_D_EXT_00429</v>
          </cell>
          <cell r="C555">
            <v>43258</v>
          </cell>
          <cell r="D555" t="str">
            <v>-</v>
          </cell>
          <cell r="E555" t="str">
            <v>AFC Drawings</v>
          </cell>
          <cell r="F555" t="str">
            <v>-</v>
          </cell>
          <cell r="G555" t="str">
            <v>Total 09 drawings</v>
          </cell>
        </row>
        <row r="556">
          <cell r="A556" t="str">
            <v>KHF-00-104265-AA-3341-60070-0000-1</v>
          </cell>
          <cell r="B556" t="str">
            <v>KHF_AIP_D_EXT_00430</v>
          </cell>
          <cell r="C556">
            <v>43261</v>
          </cell>
          <cell r="D556" t="str">
            <v>KHF-00-104265-AA-3341-60070-0000</v>
          </cell>
          <cell r="E556" t="str">
            <v>CV of Mr. Raja Arumugam- Senior Laboratory Technician (Exova Limited LLC)</v>
          </cell>
          <cell r="F556">
            <v>1</v>
          </cell>
          <cell r="G556" t="str">
            <v>Code A</v>
          </cell>
        </row>
        <row r="557">
          <cell r="A557" t="str">
            <v>KHF-00-104265-QA-6180-10045-0000-1</v>
          </cell>
          <cell r="B557" t="str">
            <v>KHF_AIP_D_EXT_00430</v>
          </cell>
          <cell r="C557">
            <v>43261</v>
          </cell>
          <cell r="D557" t="str">
            <v>KHF-00-104265-QA-6180-10045-0000</v>
          </cell>
          <cell r="E557" t="str">
            <v>Method Statement for the tests to be conducted in Site Civil Laboratory</v>
          </cell>
          <cell r="F557">
            <v>1</v>
          </cell>
          <cell r="G557" t="str">
            <v>Code D</v>
          </cell>
        </row>
        <row r="558">
          <cell r="A558" t="str">
            <v>KHF-23-104133-MP-2343-00006-0001   -2</v>
          </cell>
          <cell r="B558" t="str">
            <v>KHF_AIP_D_EXT_00431</v>
          </cell>
          <cell r="C558">
            <v>43262</v>
          </cell>
          <cell r="D558" t="str">
            <v xml:space="preserve">KHF-23-104133-MP-2343-00006-0001   </v>
          </cell>
          <cell r="E558" t="str">
            <v>PIPING ISOMETRIC INDEX; UNDER GROUND- POWER PLANT</v>
          </cell>
          <cell r="F558">
            <v>2</v>
          </cell>
          <cell r="G558" t="str">
            <v>AFC Drawing</v>
          </cell>
        </row>
        <row r="559">
          <cell r="A559" t="str">
            <v>KHF-00-104265-AA-3341-60081-0000-1</v>
          </cell>
          <cell r="B559" t="str">
            <v>KHF_AIP_D_EXT_00432</v>
          </cell>
          <cell r="C559">
            <v>43262</v>
          </cell>
          <cell r="D559" t="str">
            <v>KHF-00-104265-AA-3341-60081-0000</v>
          </cell>
          <cell r="E559" t="str">
            <v>CV of Mr. A. BALASUBRAMANIA PANDIAN - QA/QC INSPECTOR - E&amp; I</v>
          </cell>
          <cell r="F559">
            <v>1</v>
          </cell>
          <cell r="G559" t="str">
            <v>Code B</v>
          </cell>
        </row>
        <row r="560">
          <cell r="A560" t="str">
            <v>KHF-00-104265-BA-6065-50001-0000-1</v>
          </cell>
          <cell r="B560" t="str">
            <v>KHF_AIP_D_EXT_00433</v>
          </cell>
          <cell r="C560">
            <v>43263</v>
          </cell>
          <cell r="D560" t="str">
            <v>KHF-00-104265-BA-6065-50001-0000</v>
          </cell>
          <cell r="E560" t="str">
            <v>PWPS Procedure - Pipeline Fittings and Branch Connections</v>
          </cell>
          <cell r="F560">
            <v>1</v>
          </cell>
          <cell r="G560" t="str">
            <v>Code B</v>
          </cell>
        </row>
        <row r="561">
          <cell r="A561" t="str">
            <v>KHF-00-104265-BA-6065-00133-0000-1</v>
          </cell>
          <cell r="B561" t="str">
            <v>KHF_AIP_D_EXT_00434</v>
          </cell>
          <cell r="C561">
            <v>43263</v>
          </cell>
          <cell r="D561" t="str">
            <v>KHF-00-104265-BA-6065-00133-0000</v>
          </cell>
          <cell r="E561" t="str">
            <v>Welding Procedure Specification Tie-in, 16 PL-5</v>
          </cell>
          <cell r="F561">
            <v>1</v>
          </cell>
          <cell r="G561" t="str">
            <v>Code A</v>
          </cell>
        </row>
        <row r="562">
          <cell r="A562" t="str">
            <v>KHF-00-104265-BA-6065-00134-0000-1</v>
          </cell>
          <cell r="B562" t="str">
            <v>KHF_AIP_D_EXT_00434</v>
          </cell>
          <cell r="C562">
            <v>43263</v>
          </cell>
          <cell r="D562" t="str">
            <v>KHF-00-104265-BA-6065-00134-0000</v>
          </cell>
          <cell r="E562" t="str">
            <v>Welding Procedure Specification Mainline 8 PL-7,8,9 &amp; 9A</v>
          </cell>
          <cell r="F562">
            <v>1</v>
          </cell>
          <cell r="G562" t="str">
            <v>Code A</v>
          </cell>
        </row>
        <row r="563">
          <cell r="A563" t="str">
            <v>KHF-00-104265-BA-6065-00135-0000-1</v>
          </cell>
          <cell r="B563" t="str">
            <v>KHF_AIP_D_EXT_00434</v>
          </cell>
          <cell r="C563">
            <v>43263</v>
          </cell>
          <cell r="D563" t="str">
            <v>KHF-00-104265-BA-6065-00135-0000</v>
          </cell>
          <cell r="E563" t="str">
            <v>Welding Procedure Specification Tie-in, 8 PL-7 &amp; 6 PL-8,9 &amp; 9A</v>
          </cell>
          <cell r="F563">
            <v>1</v>
          </cell>
          <cell r="G563" t="str">
            <v>Code A</v>
          </cell>
        </row>
        <row r="564">
          <cell r="A564" t="str">
            <v>KHF-00-104265-BA-6065-00136-0000-1</v>
          </cell>
          <cell r="B564" t="str">
            <v>KHF_AIP_D_EXT_00434</v>
          </cell>
          <cell r="C564">
            <v>43263</v>
          </cell>
          <cell r="D564" t="str">
            <v>KHF-00-104265-BA-6065-00136-0000</v>
          </cell>
          <cell r="E564" t="str">
            <v>Welding Procedure Specification Tie-in, 16 PL-1 &amp; PL-2,12 PL-3 &amp; 4)</v>
          </cell>
          <cell r="F564">
            <v>1</v>
          </cell>
          <cell r="G564" t="str">
            <v>Code A</v>
          </cell>
        </row>
        <row r="565">
          <cell r="A565" t="str">
            <v>KHF-00-104265-BA-6065-00104-0000-4</v>
          </cell>
          <cell r="B565" t="str">
            <v>KHF_AIP_D_EXT_00435</v>
          </cell>
          <cell r="C565">
            <v>43263</v>
          </cell>
          <cell r="D565" t="str">
            <v>KHF-00-104265-BA-6065-00104-0000</v>
          </cell>
          <cell r="E565" t="str">
            <v>Welding Procedure Specification (FP Repair 16 PL5)</v>
          </cell>
          <cell r="F565">
            <v>4</v>
          </cell>
          <cell r="G565" t="str">
            <v>Code A</v>
          </cell>
        </row>
        <row r="566">
          <cell r="A566" t="str">
            <v>KHF-00-104265-BA-6065-00105-0000-4</v>
          </cell>
          <cell r="B566" t="str">
            <v>KHF_AIP_D_EXT_00435</v>
          </cell>
          <cell r="C566">
            <v>43263</v>
          </cell>
          <cell r="D566" t="str">
            <v>KHF-00-104265-BA-6065-00105-0000</v>
          </cell>
          <cell r="E566" t="str">
            <v>Welding Procedure Specification (PP Repair 16 PL5)</v>
          </cell>
          <cell r="F566">
            <v>4</v>
          </cell>
          <cell r="G566" t="str">
            <v>Code A</v>
          </cell>
        </row>
        <row r="567">
          <cell r="A567" t="str">
            <v>KHF-00-104265-BA-6065-00112-0000-2</v>
          </cell>
          <cell r="B567" t="str">
            <v>KHF_AIP_D_EXT_00435</v>
          </cell>
          <cell r="C567">
            <v>43263</v>
          </cell>
          <cell r="D567" t="str">
            <v>KHF-00-104265-BA-6065-00112-0000</v>
          </cell>
          <cell r="E567" t="str">
            <v>Welding Procedure Specification (FP Repair 16 PL 1 &amp; PL 2)</v>
          </cell>
          <cell r="F567">
            <v>2</v>
          </cell>
          <cell r="G567" t="str">
            <v>Code A</v>
          </cell>
        </row>
        <row r="568">
          <cell r="A568" t="str">
            <v>KHF-00-104265-BA-6065-00113-0000-2</v>
          </cell>
          <cell r="B568" t="str">
            <v>KHF_AIP_D_EXT_00435</v>
          </cell>
          <cell r="C568">
            <v>43263</v>
          </cell>
          <cell r="D568" t="str">
            <v>KHF-00-104265-BA-6065-00113-0000</v>
          </cell>
          <cell r="E568" t="str">
            <v>Welding Procedure Specification (PP repair 16 PL 1 &amp; PL 2)</v>
          </cell>
          <cell r="F568">
            <v>2</v>
          </cell>
          <cell r="G568" t="str">
            <v>Code A</v>
          </cell>
        </row>
        <row r="569">
          <cell r="A569" t="str">
            <v>KHF-00-104265-BA-6065-00108-0000-2</v>
          </cell>
          <cell r="B569" t="str">
            <v>KHF_AIP_D_EXT_00436</v>
          </cell>
          <cell r="C569">
            <v>43263</v>
          </cell>
          <cell r="D569" t="str">
            <v>KHF-00-104265-BA-6065-00108-0000</v>
          </cell>
          <cell r="E569" t="str">
            <v>Welding Procedure Specification (FP Repair 8 PL-7,8,9, &amp; 9A)</v>
          </cell>
          <cell r="F569">
            <v>2</v>
          </cell>
          <cell r="G569" t="str">
            <v>Code A</v>
          </cell>
        </row>
        <row r="570">
          <cell r="A570" t="str">
            <v>KHF-00-104265-BA-6065-00109-0000-2</v>
          </cell>
          <cell r="B570" t="str">
            <v>KHF_AIP_D_EXT_00436</v>
          </cell>
          <cell r="C570">
            <v>43263</v>
          </cell>
          <cell r="D570" t="str">
            <v>KHF-00-104265-BA-6065-00109-0000</v>
          </cell>
          <cell r="E570" t="str">
            <v>Welding Procedure Specification (PP Repair 8 PL-7,8,9, &amp; 9A)</v>
          </cell>
          <cell r="F570">
            <v>2</v>
          </cell>
          <cell r="G570" t="str">
            <v>Code A</v>
          </cell>
        </row>
        <row r="571">
          <cell r="A571" t="str">
            <v>KHF-00-104265-BA-6065-00131-0000-2</v>
          </cell>
          <cell r="B571" t="str">
            <v>KHF_AIP_D_EXT_00437</v>
          </cell>
          <cell r="C571">
            <v>43263</v>
          </cell>
          <cell r="D571" t="str">
            <v>KHF-00-104265-BA-6065-00131-0000</v>
          </cell>
          <cell r="E571" t="str">
            <v>Welding Procedure Specification Mainline-16 PL5</v>
          </cell>
          <cell r="F571">
            <v>2</v>
          </cell>
          <cell r="G571" t="str">
            <v>Code A</v>
          </cell>
        </row>
        <row r="572">
          <cell r="A572" t="str">
            <v>KHF-00-104265-BA-6065-00132-0000-2</v>
          </cell>
          <cell r="B572" t="str">
            <v>KHF_AIP_D_EXT_00437</v>
          </cell>
          <cell r="C572">
            <v>43263</v>
          </cell>
          <cell r="D572" t="str">
            <v>KHF-00-104265-BA-6065-00132-0000</v>
          </cell>
          <cell r="E572" t="str">
            <v>Welding Procedure Specification Mainline-16 PL1 &amp; 2</v>
          </cell>
          <cell r="F572">
            <v>2</v>
          </cell>
          <cell r="G572" t="str">
            <v>Code A</v>
          </cell>
        </row>
        <row r="573">
          <cell r="A573" t="str">
            <v>KHF-00-104265-BA-6065-00119-0000-1</v>
          </cell>
          <cell r="B573" t="str">
            <v>KHF_AIP_D_EXT_00438</v>
          </cell>
          <cell r="C573">
            <v>43263</v>
          </cell>
          <cell r="D573" t="str">
            <v>KHF-00-104265-BA-6065-00119-0000</v>
          </cell>
          <cell r="E573" t="str">
            <v>Proposed Welding Procedure Specification - CP Cleat On PL-5</v>
          </cell>
          <cell r="F573">
            <v>1</v>
          </cell>
          <cell r="G573" t="str">
            <v>Code A</v>
          </cell>
        </row>
        <row r="574">
          <cell r="A574" t="str">
            <v>KHF-00-104265-BA-6065-00121-0000-1</v>
          </cell>
          <cell r="B574" t="str">
            <v>KHF_AIP_D_EXT_00438</v>
          </cell>
          <cell r="C574">
            <v>43263</v>
          </cell>
          <cell r="D574" t="str">
            <v>KHF-00-104265-BA-6065-00121-0000</v>
          </cell>
          <cell r="E574" t="str">
            <v>Proposed Welding Procedure Specification - CP Cleat On PL-1, 2, 3, 4, 7, 8, 9 &amp; 9A</v>
          </cell>
          <cell r="F574">
            <v>1</v>
          </cell>
          <cell r="G574" t="str">
            <v>Code A</v>
          </cell>
        </row>
        <row r="575">
          <cell r="A575" t="str">
            <v>KHF-00-104265-BA-6065-00138-0000-1</v>
          </cell>
          <cell r="B575" t="str">
            <v>KHF_AIP_D_EXT_00439</v>
          </cell>
          <cell r="C575">
            <v>43263</v>
          </cell>
          <cell r="D575" t="str">
            <v>KHF-00-104265-BA-6065-00138-0000</v>
          </cell>
          <cell r="E575" t="str">
            <v>Welding Procedure Specification - Full Penetration Repair 16 PL5</v>
          </cell>
          <cell r="F575">
            <v>1</v>
          </cell>
          <cell r="G575" t="str">
            <v>Code B</v>
          </cell>
        </row>
        <row r="576">
          <cell r="A576" t="str">
            <v>KHF-00-104265-BA-6065-00139-0000-1</v>
          </cell>
          <cell r="B576" t="str">
            <v>KHF_AIP_D_EXT_00439</v>
          </cell>
          <cell r="C576">
            <v>43263</v>
          </cell>
          <cell r="D576" t="str">
            <v>KHF-00-104265-BA-6065-00139-0000</v>
          </cell>
          <cell r="E576" t="str">
            <v>Welding Procedure Specification - Partial Penetration Repair 16 PL5</v>
          </cell>
          <cell r="F576">
            <v>1</v>
          </cell>
          <cell r="G576" t="str">
            <v>Code B</v>
          </cell>
        </row>
        <row r="577">
          <cell r="A577" t="str">
            <v>KHF-00-104133-JA-6611-00009-0000-7</v>
          </cell>
          <cell r="B577" t="str">
            <v>KHF_AIP_D_EXT_00440</v>
          </cell>
          <cell r="C577">
            <v>43263</v>
          </cell>
          <cell r="D577" t="str">
            <v>KHF-00-104133-JA-6611-00009-0000</v>
          </cell>
          <cell r="E577" t="str">
            <v>NAVISWORK MODEL FOR OFF PLOT AND POWER PLANT</v>
          </cell>
          <cell r="F577">
            <v>7</v>
          </cell>
          <cell r="G577" t="str">
            <v>IFI</v>
          </cell>
        </row>
        <row r="578">
          <cell r="A578" t="str">
            <v>KHF-00-104265-BA-6070-00403-0000-2</v>
          </cell>
          <cell r="B578" t="str">
            <v>KHF_AIP_D_EXT_00441</v>
          </cell>
          <cell r="C578">
            <v>43264</v>
          </cell>
          <cell r="D578" t="str">
            <v>KHF-00-104265-BA-6070-00403-0000</v>
          </cell>
          <cell r="E578" t="str">
            <v>Method Statement for Structural Steel Fabrication &amp; Welding</v>
          </cell>
          <cell r="F578">
            <v>2</v>
          </cell>
          <cell r="G578" t="str">
            <v>Code A</v>
          </cell>
        </row>
        <row r="579">
          <cell r="A579" t="str">
            <v>---</v>
          </cell>
          <cell r="B579" t="str">
            <v>KHF_AIP_D_EXT_00442</v>
          </cell>
          <cell r="C579">
            <v>43264</v>
          </cell>
          <cell r="D579" t="str">
            <v>-</v>
          </cell>
          <cell r="E579" t="str">
            <v>AFC Drawings</v>
          </cell>
          <cell r="F579" t="str">
            <v>-</v>
          </cell>
          <cell r="G579" t="str">
            <v>Total 15 drawings</v>
          </cell>
        </row>
        <row r="580">
          <cell r="A580" t="str">
            <v>KHF-00-104265-AA-3341-60080-0000-1</v>
          </cell>
          <cell r="B580" t="str">
            <v>KHF_AIP_D_EXT_00443</v>
          </cell>
          <cell r="C580">
            <v>43270</v>
          </cell>
          <cell r="D580" t="str">
            <v>KHF-00-104265-AA-3341-60080-0000</v>
          </cell>
          <cell r="E580" t="str">
            <v>CV of Mr. Bibin Babu - Male Nurse</v>
          </cell>
          <cell r="F580">
            <v>1</v>
          </cell>
          <cell r="G580" t="str">
            <v>Code D</v>
          </cell>
        </row>
        <row r="581">
          <cell r="A581" t="str">
            <v>KHF-00-104265-AA-3341-60083-0000-1</v>
          </cell>
          <cell r="B581" t="str">
            <v>KHF_AIP_D_EXT_00444</v>
          </cell>
          <cell r="C581">
            <v>43270</v>
          </cell>
          <cell r="D581" t="str">
            <v>KHF-00-104265-AA-3341-60083-0000</v>
          </cell>
          <cell r="E581" t="str">
            <v>CV OF MR.AMARNATHAN BALASUBRAMANIAN -  QUALITY INSPECTOR - PAINTING</v>
          </cell>
          <cell r="F581">
            <v>1</v>
          </cell>
          <cell r="G581" t="str">
            <v>Code D</v>
          </cell>
        </row>
        <row r="582">
          <cell r="A582" t="str">
            <v>KHF-00-104265-AA-3341-60084-0000-1</v>
          </cell>
          <cell r="B582" t="str">
            <v>KHF_AIP_D_EXT_00445</v>
          </cell>
          <cell r="C582">
            <v>43270</v>
          </cell>
          <cell r="D582" t="str">
            <v>KHF-00-104265-AA-3341-60084-0000</v>
          </cell>
          <cell r="E582" t="str">
            <v>CV OF MR. ANEES AHAMED SHAIK - QUALITY INSPECTOR - INSTRUMENTATION</v>
          </cell>
          <cell r="F582">
            <v>1</v>
          </cell>
          <cell r="G582" t="str">
            <v>Code B</v>
          </cell>
        </row>
        <row r="583">
          <cell r="A583" t="str">
            <v>KHF-00-104265-QA-6050-00103-0000-2</v>
          </cell>
          <cell r="B583" t="str">
            <v>KHF_AIP_D_EXT_00446</v>
          </cell>
          <cell r="C583">
            <v>43270</v>
          </cell>
          <cell r="D583" t="str">
            <v>KHF-00-104265-QA-6050-00103-0000</v>
          </cell>
          <cell r="E583" t="str">
            <v>Quality Control Plan for Concrete Work</v>
          </cell>
          <cell r="F583">
            <v>2</v>
          </cell>
          <cell r="G583" t="str">
            <v>Code A</v>
          </cell>
        </row>
        <row r="584">
          <cell r="A584" t="str">
            <v>KHF-00-104265-QA-6050-00112-0000-1</v>
          </cell>
          <cell r="B584" t="str">
            <v>KHF_AIP_D_EXT_00447</v>
          </cell>
          <cell r="C584">
            <v>43270</v>
          </cell>
          <cell r="D584" t="str">
            <v>KHF-00-104265-QA-6050-00112-0000</v>
          </cell>
          <cell r="E584" t="str">
            <v>Quality Control Plan for Heat Shrink Sleeve Application  (PE &amp; PP Sleeves)</v>
          </cell>
          <cell r="F584">
            <v>1</v>
          </cell>
          <cell r="G584" t="str">
            <v>Code A</v>
          </cell>
        </row>
        <row r="585">
          <cell r="A585" t="str">
            <v>KHF-00-104265-QA-6180-10077-0000-2</v>
          </cell>
          <cell r="B585" t="str">
            <v>KHF_AIP_D_EXT_00448</v>
          </cell>
          <cell r="C585">
            <v>43270</v>
          </cell>
          <cell r="D585" t="str">
            <v>KHF-00-104265-QA-6180-10077-0000</v>
          </cell>
          <cell r="E585" t="str">
            <v>Non-conformance Control Procedure</v>
          </cell>
          <cell r="F585">
            <v>2</v>
          </cell>
          <cell r="G585" t="str">
            <v>Code A</v>
          </cell>
        </row>
        <row r="586">
          <cell r="A586" t="str">
            <v>KHF-00-104265-RA-8241-51044-0000-2</v>
          </cell>
          <cell r="B586" t="str">
            <v>KHF_AIP_D_EXT_00449</v>
          </cell>
          <cell r="C586">
            <v>43270</v>
          </cell>
          <cell r="D586" t="str">
            <v>KHF-00-104265-RA-8241-51044-0000</v>
          </cell>
          <cell r="E586" t="str">
            <v>Material Approval Sheet for Portable Water for Construction Purpose</v>
          </cell>
          <cell r="F586">
            <v>2</v>
          </cell>
          <cell r="G586" t="str">
            <v>Code A</v>
          </cell>
        </row>
        <row r="587">
          <cell r="A587" t="str">
            <v>KHF-00-104265-RA-6038-00104-0000-3</v>
          </cell>
          <cell r="B587" t="str">
            <v>KHF_AIP_D_EXT_00450</v>
          </cell>
          <cell r="C587">
            <v>43271</v>
          </cell>
          <cell r="D587" t="str">
            <v>KHF-00-104265-RA-6038-00104-0000</v>
          </cell>
          <cell r="E587" t="str">
            <v>Procedure for Ultrasonic Testing for Lamination for Pipelines</v>
          </cell>
          <cell r="F587">
            <v>3</v>
          </cell>
          <cell r="G587" t="str">
            <v>Code A</v>
          </cell>
        </row>
        <row r="588">
          <cell r="A588" t="str">
            <v>KHF-00-104265-RA-6038-00105-0000-2</v>
          </cell>
          <cell r="B588" t="str">
            <v>KHF_AIP_D_EXT_00451</v>
          </cell>
          <cell r="C588">
            <v>43271</v>
          </cell>
          <cell r="D588" t="str">
            <v>KHF-00-104265-RA-6038-00105-0000</v>
          </cell>
          <cell r="E588" t="str">
            <v>Procedure for Ultrasonic Testing for Pipeline Welds</v>
          </cell>
          <cell r="F588">
            <v>2</v>
          </cell>
          <cell r="G588" t="str">
            <v>Code B</v>
          </cell>
        </row>
        <row r="589">
          <cell r="A589" t="str">
            <v>---</v>
          </cell>
          <cell r="B589" t="str">
            <v>KHF_AIP_D_EXT_00452</v>
          </cell>
          <cell r="C589">
            <v>43272</v>
          </cell>
          <cell r="D589" t="str">
            <v>-</v>
          </cell>
          <cell r="E589" t="str">
            <v>AFC Drawings</v>
          </cell>
          <cell r="F589" t="str">
            <v>-</v>
          </cell>
          <cell r="G589" t="str">
            <v>Total 32 drawings</v>
          </cell>
        </row>
        <row r="590">
          <cell r="A590" t="str">
            <v>KHF-00-104265-AA-3341-60078-0000-1</v>
          </cell>
          <cell r="B590" t="str">
            <v>KHF_AIP_D_EXT_00453</v>
          </cell>
          <cell r="C590">
            <v>43272</v>
          </cell>
          <cell r="D590" t="str">
            <v>KHF-00-104265-AA-3341-60078-0000</v>
          </cell>
          <cell r="E590" t="str">
            <v>CV of Mr. B. Sambathkumar - Flawless Project Delivery (FPD) Coordinator</v>
          </cell>
          <cell r="F590">
            <v>1</v>
          </cell>
          <cell r="G590" t="str">
            <v>Code A</v>
          </cell>
        </row>
        <row r="591">
          <cell r="A591" t="str">
            <v>KHF-00-104265-BA-6065-50003-0000-1</v>
          </cell>
          <cell r="B591" t="str">
            <v>KHF_AIP_D_EXT_00454</v>
          </cell>
          <cell r="C591">
            <v>43275</v>
          </cell>
          <cell r="D591" t="str">
            <v>KHF-00-104265-BA-6065-50003-0000</v>
          </cell>
          <cell r="E591" t="str">
            <v>PWPS - Pipe to Barred Tee / Flange - Applicable for Pipeline PL8 &amp; PL9</v>
          </cell>
          <cell r="F591">
            <v>1</v>
          </cell>
          <cell r="G591" t="str">
            <v>Code A</v>
          </cell>
        </row>
        <row r="592">
          <cell r="A592" t="str">
            <v>KHF-00-104265-BA-6065-50004-0000-1</v>
          </cell>
          <cell r="B592" t="str">
            <v>KHF_AIP_D_EXT_00454</v>
          </cell>
          <cell r="C592">
            <v>43275</v>
          </cell>
          <cell r="D592" t="str">
            <v>KHF-00-104265-BA-6065-50004-0000</v>
          </cell>
          <cell r="E592" t="str">
            <v>PWPS - Pipe to Barred Tee / Flange - Applicable for Pipeline PL5</v>
          </cell>
          <cell r="F592">
            <v>1</v>
          </cell>
          <cell r="G592" t="str">
            <v>Code A</v>
          </cell>
        </row>
        <row r="593">
          <cell r="A593" t="str">
            <v>KHF-00-104265-BA-6065-50005-0000-1</v>
          </cell>
          <cell r="B593" t="str">
            <v>KHF_AIP_D_EXT_00454</v>
          </cell>
          <cell r="C593">
            <v>43275</v>
          </cell>
          <cell r="D593" t="str">
            <v>KHF-00-104265-BA-6065-50005-0000</v>
          </cell>
          <cell r="E593" t="str">
            <v>PWPS - Pipe to Weldolet welding - Applicable for pipeline PL1, PL2, PL3, PL4, PL7, P8, PL9 &amp; PL9A</v>
          </cell>
          <cell r="F593">
            <v>1</v>
          </cell>
          <cell r="G593" t="str">
            <v>Code A</v>
          </cell>
        </row>
        <row r="594">
          <cell r="A594" t="str">
            <v>KHF-00-104265-BA-6065-50006-0000-1</v>
          </cell>
          <cell r="B594" t="str">
            <v>KHF_AIP_D_EXT_00454</v>
          </cell>
          <cell r="C594">
            <v>43275</v>
          </cell>
          <cell r="D594" t="str">
            <v>KHF-00-104265-BA-6065-50006-0000</v>
          </cell>
          <cell r="E594" t="str">
            <v>PWPS - Pipe to Weldolet welding - Applicable for pipeline PL5</v>
          </cell>
          <cell r="F594">
            <v>1</v>
          </cell>
          <cell r="G594" t="str">
            <v>Code A</v>
          </cell>
        </row>
        <row r="595">
          <cell r="A595" t="str">
            <v>KHF-00-104265-BA-6065-50007-0000-1</v>
          </cell>
          <cell r="B595" t="str">
            <v>KHF_AIP_D_EXT_00454</v>
          </cell>
          <cell r="C595">
            <v>43275</v>
          </cell>
          <cell r="D595" t="str">
            <v>KHF-00-104265-BA-6065-50007-0000</v>
          </cell>
          <cell r="E595" t="str">
            <v>PWPS - Weldolet to flange welding applicable for butt welding for pipeline PL1, PL2, PL3, PL4, PL5, PL7, P8, PL9 &amp; P9A</v>
          </cell>
          <cell r="F595">
            <v>1</v>
          </cell>
          <cell r="G595" t="str">
            <v>Code A</v>
          </cell>
        </row>
        <row r="596">
          <cell r="A596" t="str">
            <v>KHF-00-104265-BA-6065-50008-0000-1</v>
          </cell>
          <cell r="B596" t="str">
            <v>KHF_AIP_D_EXT_00454</v>
          </cell>
          <cell r="C596">
            <v>43275</v>
          </cell>
          <cell r="D596" t="str">
            <v>KHF-00-104265-BA-6065-50008-0000</v>
          </cell>
          <cell r="E596" t="str">
            <v>PWPS - Reduced tee to flange welding applicable for pipeline PL1, PL2, PL3 &amp; PL4</v>
          </cell>
          <cell r="F596">
            <v>1</v>
          </cell>
          <cell r="G596" t="str">
            <v>Code A</v>
          </cell>
        </row>
        <row r="597">
          <cell r="A597" t="str">
            <v>KHF-00-104265-BA-6065-50009-0000-1</v>
          </cell>
          <cell r="B597" t="str">
            <v>KHF_AIP_D_EXT_00455</v>
          </cell>
          <cell r="C597">
            <v>43275</v>
          </cell>
          <cell r="D597" t="str">
            <v>KHF-00-104265-BA-6065-50009-0000</v>
          </cell>
          <cell r="E597" t="str">
            <v>PWPS - Repair procedure applicable for PL1, PL2, PL3, PL4, PL5, PL7, PL8, PL9 &amp; PL9A</v>
          </cell>
          <cell r="F597">
            <v>1</v>
          </cell>
          <cell r="G597" t="str">
            <v>Code A</v>
          </cell>
        </row>
        <row r="598">
          <cell r="A598" t="str">
            <v>KHF-00-104265-AA-3341-60052-0000-1</v>
          </cell>
          <cell r="B598" t="str">
            <v>KHF_AIP_D_EXT_00456</v>
          </cell>
          <cell r="C598">
            <v>43276</v>
          </cell>
          <cell r="D598" t="str">
            <v>KHF-00-104265-AA-3341-60052-0000</v>
          </cell>
          <cell r="E598" t="str">
            <v>CV of Mr. Prathap Prabhakaran - Information Management Lead</v>
          </cell>
          <cell r="F598">
            <v>1</v>
          </cell>
          <cell r="G598" t="str">
            <v>Code A</v>
          </cell>
        </row>
        <row r="599">
          <cell r="A599" t="str">
            <v>KHF-00-104265-LA-5009-00108-0000-1</v>
          </cell>
          <cell r="B599" t="str">
            <v>KHF_AIP_D_EXT_00457</v>
          </cell>
          <cell r="C599">
            <v>43278</v>
          </cell>
          <cell r="D599" t="str">
            <v>KHF-00-104265-LA-5009-00108-0000</v>
          </cell>
          <cell r="E599" t="str">
            <v>MAS for 100mm G.I.Pipe (FOC Casing at Road Crossing in CS Pipeline)</v>
          </cell>
          <cell r="F599">
            <v>1</v>
          </cell>
          <cell r="G599" t="str">
            <v>Code B</v>
          </cell>
        </row>
        <row r="600">
          <cell r="A600" t="str">
            <v>KHF-00-104265-BA-6070-41004-0000-1</v>
          </cell>
          <cell r="B600" t="str">
            <v>KHF_AIP_D_EXT_00458</v>
          </cell>
          <cell r="C600">
            <v>43279</v>
          </cell>
          <cell r="D600" t="str">
            <v>KHF-00-104265-BA-6070-41004-0000</v>
          </cell>
          <cell r="E600" t="str">
            <v>Method of Statement for Precast Concrete Works</v>
          </cell>
          <cell r="F600">
            <v>1</v>
          </cell>
          <cell r="G600" t="str">
            <v>Code B</v>
          </cell>
        </row>
        <row r="601">
          <cell r="A601" t="str">
            <v>KHF-00-104265-BA-6070-41005-0000-1</v>
          </cell>
          <cell r="B601" t="str">
            <v>KHF_AIP_D_EXT_00459</v>
          </cell>
          <cell r="C601">
            <v>43279</v>
          </cell>
          <cell r="D601" t="str">
            <v>KHF-00-104265-BA-6070-41005-0000</v>
          </cell>
          <cell r="E601" t="str">
            <v>Method of Statement for Installation of Precast Foundations, Pipe Supports, Fencing Post &amp; Gates</v>
          </cell>
          <cell r="F601">
            <v>1</v>
          </cell>
          <cell r="G601" t="str">
            <v>Code B</v>
          </cell>
        </row>
        <row r="602">
          <cell r="A602" t="str">
            <v>---</v>
          </cell>
          <cell r="B602" t="str">
            <v>KHF_AIP_D_EXT_00460</v>
          </cell>
          <cell r="C602">
            <v>43279</v>
          </cell>
          <cell r="D602" t="str">
            <v>-</v>
          </cell>
          <cell r="E602" t="str">
            <v>AFC Drawings</v>
          </cell>
          <cell r="F602" t="str">
            <v>-</v>
          </cell>
          <cell r="G602" t="str">
            <v>Total 25 drawings</v>
          </cell>
        </row>
        <row r="603">
          <cell r="A603" t="str">
            <v>KHF-00-104265-BA-6070-00115-0000-2</v>
          </cell>
          <cell r="B603" t="str">
            <v>KHF_AIP_D_EXT_00461</v>
          </cell>
          <cell r="C603">
            <v>43279</v>
          </cell>
          <cell r="D603" t="str">
            <v>KHF-00-104265-BA-6070-00115-0000</v>
          </cell>
          <cell r="E603" t="str">
            <v>Method Statement for Hydrotesting of CS Pipelines</v>
          </cell>
          <cell r="F603">
            <v>2</v>
          </cell>
          <cell r="G603" t="str">
            <v>Code A</v>
          </cell>
        </row>
        <row r="604">
          <cell r="A604" t="str">
            <v>KHF-00-104265-RA-8241-51048-0000-1</v>
          </cell>
          <cell r="B604" t="str">
            <v>KHF_AIP_D_EXT_00462</v>
          </cell>
          <cell r="C604">
            <v>43282</v>
          </cell>
          <cell r="D604" t="str">
            <v>KHF-00-104265-RA-8241-51048-0000</v>
          </cell>
          <cell r="E604" t="str">
            <v>Material Approval Sheet for Washed Sand (Fine Aggregate)</v>
          </cell>
          <cell r="F604">
            <v>1</v>
          </cell>
          <cell r="G604" t="str">
            <v>Code A</v>
          </cell>
        </row>
        <row r="605">
          <cell r="A605" t="str">
            <v>KHF-00-104265-RA-8241-51053-0000-1</v>
          </cell>
          <cell r="B605" t="str">
            <v>KHF_AIP_D_EXT_00463</v>
          </cell>
          <cell r="C605">
            <v>43282</v>
          </cell>
          <cell r="D605" t="str">
            <v>KHF-00-104265-RA-8241-51053-0000</v>
          </cell>
          <cell r="E605" t="str">
            <v>Material Approval Sheet for UPVC/HPVC/GI/PPR &amp; Electrical Conduits/Fittings</v>
          </cell>
          <cell r="F605">
            <v>1</v>
          </cell>
          <cell r="G605" t="str">
            <v>Code B</v>
          </cell>
        </row>
        <row r="606">
          <cell r="A606" t="str">
            <v>KHF-00-104265-QA-5733-21021-0000-1</v>
          </cell>
          <cell r="B606" t="str">
            <v>KHF_AIP_D_EXT_00464</v>
          </cell>
          <cell r="C606">
            <v>43282</v>
          </cell>
          <cell r="D606" t="str">
            <v>KHF-00-104265-QA-5733-21021-0000</v>
          </cell>
          <cell r="E606" t="str">
            <v>Inspection &amp; Test Plan for Precast Concrete Elements</v>
          </cell>
          <cell r="F606">
            <v>1</v>
          </cell>
          <cell r="G606" t="str">
            <v>Code A</v>
          </cell>
        </row>
        <row r="607">
          <cell r="A607" t="str">
            <v>KHF-00-104265-AA-3341-60085-0000-1</v>
          </cell>
          <cell r="B607" t="str">
            <v>KHF_AIP_D_EXT_00465</v>
          </cell>
          <cell r="C607">
            <v>43282</v>
          </cell>
          <cell r="D607" t="str">
            <v>KHF-00-104265-AA-3341-60085-0000</v>
          </cell>
          <cell r="E607" t="str">
            <v>CV OF MR. RAJESH CK - QC INSPECTOR PAINTING &amp; COATING</v>
          </cell>
          <cell r="F607">
            <v>1</v>
          </cell>
          <cell r="G607" t="str">
            <v>Code B</v>
          </cell>
        </row>
        <row r="608">
          <cell r="A608" t="str">
            <v>KHF-00-104265-AA-3341-60086-0000-1</v>
          </cell>
          <cell r="B608" t="str">
            <v>KHF_AIP_D_EXT_00466</v>
          </cell>
          <cell r="C608">
            <v>43282</v>
          </cell>
          <cell r="D608" t="str">
            <v>KHF-00-104265-AA-3341-60086-0000</v>
          </cell>
          <cell r="E608" t="str">
            <v>CV OF MR. V. RAGURAMAN - QC INSPECTOR COATING</v>
          </cell>
          <cell r="F608">
            <v>1</v>
          </cell>
          <cell r="G608" t="str">
            <v>Code A</v>
          </cell>
        </row>
        <row r="609">
          <cell r="A609" t="str">
            <v>KHF-00-104265-AA-3341-00125-0000-1</v>
          </cell>
          <cell r="B609" t="str">
            <v>KHF_AIP_D_EXT_00467</v>
          </cell>
          <cell r="C609">
            <v>43283</v>
          </cell>
          <cell r="D609" t="str">
            <v>KHF-00-104265-AA-3341-00125-0000</v>
          </cell>
          <cell r="E609" t="str">
            <v>CV OF MR. SOHEL VAHORA - GRE INSPECTOR &amp; COATING INSPECTOR</v>
          </cell>
          <cell r="F609">
            <v>1</v>
          </cell>
          <cell r="G609" t="str">
            <v>Code D</v>
          </cell>
        </row>
        <row r="610">
          <cell r="A610" t="str">
            <v>KHF-00-104265-QA-6180-00122-0000-3</v>
          </cell>
          <cell r="B610" t="str">
            <v>KHF_AIP_D_EXT_00468</v>
          </cell>
          <cell r="C610">
            <v>43283</v>
          </cell>
          <cell r="D610" t="str">
            <v>KHF-00-104265-QA-6180-00122-0000</v>
          </cell>
          <cell r="E610" t="str">
            <v>Quality Control Procedure for Material Handling, Storage &amp; Control</v>
          </cell>
          <cell r="F610">
            <v>3</v>
          </cell>
          <cell r="G610" t="str">
            <v>Code B</v>
          </cell>
        </row>
        <row r="611">
          <cell r="A611" t="str">
            <v>KHF-00-104265-AA-3341-00124-0000-1</v>
          </cell>
          <cell r="B611" t="str">
            <v>KHF_AIP_D_EXT_00469</v>
          </cell>
          <cell r="C611">
            <v>43284</v>
          </cell>
          <cell r="D611" t="str">
            <v>KHF-00-104265-AA-3341-00124-0000</v>
          </cell>
          <cell r="E611" t="str">
            <v>CV OF MR. HARISH RAJENDRAN - WELDING INSPECTOR</v>
          </cell>
          <cell r="F611">
            <v>1</v>
          </cell>
          <cell r="G611" t="str">
            <v>Code C</v>
          </cell>
        </row>
        <row r="612">
          <cell r="A612" t="str">
            <v>KHF-00-104265-LA-5009-00111-0000-1</v>
          </cell>
          <cell r="B612" t="str">
            <v>KHF_AIP_D_EXT_00470</v>
          </cell>
          <cell r="C612">
            <v>43284</v>
          </cell>
          <cell r="D612" t="str">
            <v>KHF-00-104265-LA-5009-00111-0000</v>
          </cell>
          <cell r="E612" t="str">
            <v>MAS for STOPAQ MATERIAL (For Wrapping &amp; Coating of Casing Pipe)</v>
          </cell>
          <cell r="F612">
            <v>1</v>
          </cell>
          <cell r="G612" t="str">
            <v>Code A</v>
          </cell>
        </row>
        <row r="613">
          <cell r="A613" t="str">
            <v>KHF-00-104265-LA-5009-00112-0000-1</v>
          </cell>
          <cell r="B613" t="str">
            <v>KHF_AIP_D_EXT_00470</v>
          </cell>
          <cell r="C613">
            <v>43284</v>
          </cell>
          <cell r="D613" t="str">
            <v>KHF-00-104265-LA-5009-00112-0000</v>
          </cell>
          <cell r="E613" t="str">
            <v>MAS for COPPER SLAG (For Surface preparation for CS Pipe Line)</v>
          </cell>
          <cell r="F613">
            <v>1</v>
          </cell>
          <cell r="G613" t="str">
            <v>Code A</v>
          </cell>
        </row>
        <row r="614">
          <cell r="A614" t="str">
            <v>KHF-00-104265-BA-6065-00140-0000-1</v>
          </cell>
          <cell r="B614" t="str">
            <v>KHF_AIP_D_EXT_00471</v>
          </cell>
          <cell r="C614">
            <v>43285</v>
          </cell>
          <cell r="D614" t="str">
            <v>KHF-00-104265-BA-6065-00140-0000</v>
          </cell>
          <cell r="E614" t="str">
            <v>Welding Procedure Specification - FP Repair, PL-7, 8, 9 &amp; 9A</v>
          </cell>
          <cell r="F614">
            <v>1</v>
          </cell>
          <cell r="G614" t="str">
            <v>Code B</v>
          </cell>
        </row>
        <row r="615">
          <cell r="A615" t="str">
            <v>KHF-00-104265-BA-6065-00141-0000-1</v>
          </cell>
          <cell r="B615" t="str">
            <v>KHF_AIP_D_EXT_00471</v>
          </cell>
          <cell r="C615">
            <v>43285</v>
          </cell>
          <cell r="D615" t="str">
            <v>KHF-00-104265-BA-6065-00141-0000</v>
          </cell>
          <cell r="E615" t="str">
            <v>Welding Procedure Specification - PP Repair, PL-7, 8, 9 &amp; 9A</v>
          </cell>
          <cell r="F615">
            <v>1</v>
          </cell>
          <cell r="G615" t="str">
            <v>Code B</v>
          </cell>
        </row>
        <row r="616">
          <cell r="A616" t="str">
            <v>KHF-00-104265-AA-3341-60090-0000-1</v>
          </cell>
          <cell r="B616" t="str">
            <v>KHF_AIP_D_EXT_00472</v>
          </cell>
          <cell r="C616">
            <v>43285</v>
          </cell>
          <cell r="D616" t="str">
            <v>KHF-00-104265-AA-3341-60090-0000</v>
          </cell>
          <cell r="E616" t="str">
            <v>CV of P. Balakrishnan - QCI Painting &amp; Coating (AL HASSAN)</v>
          </cell>
          <cell r="F616">
            <v>1</v>
          </cell>
          <cell r="G616" t="str">
            <v>Code A</v>
          </cell>
        </row>
        <row r="617">
          <cell r="A617" t="str">
            <v>KHF-00-104265-FA-5765-10048-0000-1</v>
          </cell>
          <cell r="B617" t="str">
            <v>KHF_AIP_D_EXT_00473</v>
          </cell>
          <cell r="C617">
            <v>43285</v>
          </cell>
          <cell r="D617" t="str">
            <v>KHF-00-104265-FA-5765-10048-0000</v>
          </cell>
          <cell r="E617" t="str">
            <v>132 KV GIS Building Schedule with Material Tracking Register</v>
          </cell>
          <cell r="F617">
            <v>1</v>
          </cell>
          <cell r="G617" t="str">
            <v>Code D</v>
          </cell>
        </row>
        <row r="618">
          <cell r="A618" t="str">
            <v>---</v>
          </cell>
          <cell r="B618" t="str">
            <v>KHF_AIP_D_EXT_00474</v>
          </cell>
          <cell r="C618">
            <v>43286</v>
          </cell>
          <cell r="D618" t="str">
            <v>-</v>
          </cell>
          <cell r="E618" t="str">
            <v>AFC Drawings</v>
          </cell>
          <cell r="F618" t="str">
            <v>-</v>
          </cell>
          <cell r="G618" t="str">
            <v>Total 29 drawings</v>
          </cell>
        </row>
        <row r="619">
          <cell r="A619" t="str">
            <v>---</v>
          </cell>
          <cell r="B619" t="str">
            <v>KHF_AIP_D_EXT_00475</v>
          </cell>
          <cell r="C619">
            <v>43286</v>
          </cell>
          <cell r="D619" t="str">
            <v>-</v>
          </cell>
          <cell r="E619" t="str">
            <v>AFC Drawings</v>
          </cell>
          <cell r="F619" t="str">
            <v>-</v>
          </cell>
          <cell r="G619" t="str">
            <v>Total 22 drawings</v>
          </cell>
        </row>
        <row r="620">
          <cell r="A620" t="str">
            <v>KHF-00-104265-AA-3341-60088-0000-1</v>
          </cell>
          <cell r="B620" t="str">
            <v>KHF_AIP_D_EXT_00476</v>
          </cell>
          <cell r="C620">
            <v>43289</v>
          </cell>
          <cell r="D620" t="str">
            <v>KHF-00-104265-AA-3341-60088-0000</v>
          </cell>
          <cell r="E620" t="str">
            <v>CV OF MR.KUNDAN SINGH - QC INSPECTOR - MECHANICAL</v>
          </cell>
          <cell r="F620">
            <v>1</v>
          </cell>
          <cell r="G620" t="str">
            <v>Code B</v>
          </cell>
        </row>
        <row r="621">
          <cell r="A621" t="str">
            <v>KHF-00-104265-CX-6070-10051-0000-1</v>
          </cell>
          <cell r="B621" t="str">
            <v>KHF_AIP_D_EXT_00477</v>
          </cell>
          <cell r="C621">
            <v>43289</v>
          </cell>
          <cell r="D621" t="str">
            <v>KHF-00-104265-CX-6070-10051-0000</v>
          </cell>
          <cell r="E621" t="str">
            <v>Test Procedure for Measuring Concrete Temperature with Thermocouple</v>
          </cell>
          <cell r="F621">
            <v>1</v>
          </cell>
          <cell r="G621" t="str">
            <v>Code B</v>
          </cell>
        </row>
        <row r="622">
          <cell r="A622" t="str">
            <v>KHF-00-104265-QA-6050-00101-0000-3</v>
          </cell>
          <cell r="B622" t="str">
            <v>KHF_AIP_D_EXT_00478</v>
          </cell>
          <cell r="C622">
            <v>43289</v>
          </cell>
          <cell r="D622" t="str">
            <v>KHF-00-104265-QA-6050-00101-0000</v>
          </cell>
          <cell r="E622" t="str">
            <v>Quality Control Plan for Surveying &amp; Setting out</v>
          </cell>
          <cell r="F622">
            <v>3</v>
          </cell>
          <cell r="G622" t="str">
            <v>Code A</v>
          </cell>
        </row>
        <row r="623">
          <cell r="A623" t="str">
            <v>KHF-00-104265-AA-3341-60091-0000-1</v>
          </cell>
          <cell r="B623" t="str">
            <v>KHF_AIP_D_EXT_00479</v>
          </cell>
          <cell r="C623">
            <v>43289</v>
          </cell>
          <cell r="D623" t="str">
            <v>KHF-00-104265-AA-3341-60091-0000</v>
          </cell>
          <cell r="E623" t="str">
            <v>CV OF S.M.SIDDIQUI - LEAD PRE-COMMISSIONING ENGINEER</v>
          </cell>
          <cell r="F623">
            <v>1</v>
          </cell>
          <cell r="G623" t="str">
            <v>Code B</v>
          </cell>
        </row>
        <row r="624">
          <cell r="A624" t="str">
            <v>KHF-00-104265-LA-5009-00113-0000-1</v>
          </cell>
          <cell r="B624" t="str">
            <v>KHF_AIP_D_EXT_00480</v>
          </cell>
          <cell r="C624">
            <v>43289</v>
          </cell>
          <cell r="D624" t="str">
            <v>KHF-00-104265-LA-5009-00113-0000</v>
          </cell>
          <cell r="E624" t="str">
            <v>MAS for Paint (Hemadur 87550) for PCS2A Coating of Split Casing</v>
          </cell>
          <cell r="F624">
            <v>1</v>
          </cell>
          <cell r="G624" t="str">
            <v>Code A</v>
          </cell>
        </row>
        <row r="625">
          <cell r="A625" t="str">
            <v>KHF-00-104265-AA-3341-60089-0000-1</v>
          </cell>
          <cell r="B625" t="str">
            <v>KHF_AIP_D_EXT_00481</v>
          </cell>
          <cell r="C625">
            <v>43291</v>
          </cell>
          <cell r="D625" t="str">
            <v>KHF-00-104265-AA-3341-60089-0000</v>
          </cell>
          <cell r="E625" t="str">
            <v>CV OF MR DILSHAN DEVARAJ VIJAYAMMA - MALE NURSE</v>
          </cell>
          <cell r="F625">
            <v>1</v>
          </cell>
          <cell r="G625" t="str">
            <v>Code A</v>
          </cell>
        </row>
        <row r="626">
          <cell r="A626" t="str">
            <v>KHF-00-104265-LA-5009-00103-0000-1</v>
          </cell>
          <cell r="B626" t="str">
            <v>KHF_AIP_D_EXT_00482</v>
          </cell>
          <cell r="C626">
            <v>43291</v>
          </cell>
          <cell r="D626" t="str">
            <v>KHF-00-104265-LA-5009-00103-0000</v>
          </cell>
          <cell r="E626" t="str">
            <v>MAS- for Pre &amp; Post Padding Material (Dune Sand -Gulfar)</v>
          </cell>
          <cell r="F626">
            <v>1</v>
          </cell>
          <cell r="G626" t="str">
            <v>Code A</v>
          </cell>
        </row>
        <row r="627">
          <cell r="A627" t="str">
            <v>KHF-00-104265-LA-5009-00104-0000-1</v>
          </cell>
          <cell r="B627" t="str">
            <v>KHF_AIP_D_EXT_00482</v>
          </cell>
          <cell r="C627">
            <v>43291</v>
          </cell>
          <cell r="D627" t="str">
            <v>KHF-00-104265-LA-5009-00104-0000</v>
          </cell>
          <cell r="E627" t="str">
            <v>MAS- Wadi Crossing Gabion boxes (GI coated wire mesh 3.5mm dia)</v>
          </cell>
          <cell r="F627">
            <v>1</v>
          </cell>
          <cell r="G627" t="str">
            <v>Code B</v>
          </cell>
        </row>
        <row r="628">
          <cell r="A628" t="str">
            <v>KHF-00-104265-LA-5009-00107-0000-1</v>
          </cell>
          <cell r="B628" t="str">
            <v>KHF_AIP_D_EXT_00482</v>
          </cell>
          <cell r="C628">
            <v>43291</v>
          </cell>
          <cell r="D628" t="str">
            <v>KHF-00-104265-LA-5009-00107-0000</v>
          </cell>
          <cell r="E628" t="str">
            <v>MAS for BRC Mesh-Road Crossing in Existing CS Pipeline</v>
          </cell>
          <cell r="F628">
            <v>1</v>
          </cell>
          <cell r="G628" t="str">
            <v>Code B</v>
          </cell>
        </row>
        <row r="629">
          <cell r="A629" t="str">
            <v>KHF-00-104265-QA-6050-00108-0000-2</v>
          </cell>
          <cell r="B629" t="str">
            <v>KHF_AIP_D_EXT_00483</v>
          </cell>
          <cell r="C629">
            <v>43291</v>
          </cell>
          <cell r="D629" t="str">
            <v>KHF-00-104265-QA-6050-00108-0000</v>
          </cell>
          <cell r="E629" t="str">
            <v>Quality Control Plan for Coating (PCS 02A)</v>
          </cell>
          <cell r="F629">
            <v>2</v>
          </cell>
          <cell r="G629" t="str">
            <v>Code B</v>
          </cell>
        </row>
        <row r="630">
          <cell r="A630" t="str">
            <v>KHF-00-104265-RA-6038-00108-0000-1</v>
          </cell>
          <cell r="B630" t="str">
            <v>KHF_AIP_D_EXT_00484</v>
          </cell>
          <cell r="C630">
            <v>43291</v>
          </cell>
          <cell r="D630" t="str">
            <v>KHF-00-104265-RA-6038-00108-0000</v>
          </cell>
          <cell r="E630" t="str">
            <v>Procedure for Digitization of Radiographs</v>
          </cell>
          <cell r="F630">
            <v>1</v>
          </cell>
          <cell r="G630" t="str">
            <v>Code B</v>
          </cell>
        </row>
        <row r="631">
          <cell r="A631" t="str">
            <v>KHF-00-104265-RA-8241-51047-0000-1</v>
          </cell>
          <cell r="B631" t="str">
            <v>KHF_AIP_D_EXT_00485</v>
          </cell>
          <cell r="C631">
            <v>43291</v>
          </cell>
          <cell r="D631" t="str">
            <v>KHF-00-104265-RA-8241-51047-0000</v>
          </cell>
          <cell r="E631" t="str">
            <v>Material Approval Sheet for Structural Steel Material S275 JR</v>
          </cell>
          <cell r="F631">
            <v>1</v>
          </cell>
          <cell r="G631" t="str">
            <v>Code A</v>
          </cell>
        </row>
        <row r="632">
          <cell r="A632" t="str">
            <v>KHF-00-104265-RA-8241-51051-0000-1</v>
          </cell>
          <cell r="B632" t="str">
            <v>KHF_AIP_D_EXT_00486</v>
          </cell>
          <cell r="C632">
            <v>43291</v>
          </cell>
          <cell r="D632" t="str">
            <v>KHF-00-104265-RA-8241-51051-0000</v>
          </cell>
          <cell r="E632" t="str">
            <v>Material Approval Sheet for Raised Access Floor</v>
          </cell>
          <cell r="F632">
            <v>1</v>
          </cell>
          <cell r="G632" t="str">
            <v>Code B</v>
          </cell>
        </row>
        <row r="633">
          <cell r="A633" t="str">
            <v>KHF-00-104265-RA-8241-51055-0000-1</v>
          </cell>
          <cell r="B633" t="str">
            <v>KHF_AIP_D_EXT_00487</v>
          </cell>
          <cell r="C633">
            <v>43291</v>
          </cell>
          <cell r="D633" t="str">
            <v>KHF-00-104265-RA-8241-51055-0000</v>
          </cell>
          <cell r="E633" t="str">
            <v>Material Approval Sheet for Welded Steel Fabric</v>
          </cell>
          <cell r="F633">
            <v>1</v>
          </cell>
          <cell r="G633" t="str">
            <v>Code B</v>
          </cell>
        </row>
        <row r="634">
          <cell r="A634" t="str">
            <v>KHF-00-104265-RA-8241-51036-0000-2</v>
          </cell>
          <cell r="B634" t="str">
            <v>KHF_AIP_D_EXT_00488</v>
          </cell>
          <cell r="C634">
            <v>43292</v>
          </cell>
          <cell r="D634" t="str">
            <v>KHF-00-104265-RA-8241-51036-0000</v>
          </cell>
          <cell r="E634" t="str">
            <v>Material Approval Sheet for 75MM Thick Extruded Polystyrene Insulation - 35 KG/CUM Density</v>
          </cell>
          <cell r="F634">
            <v>2</v>
          </cell>
          <cell r="G634" t="str">
            <v>Code A</v>
          </cell>
        </row>
        <row r="635">
          <cell r="A635" t="str">
            <v>KHF-00-104265-RA-8241-51037-0000-2</v>
          </cell>
          <cell r="B635" t="str">
            <v>KHF_AIP_D_EXT_00488</v>
          </cell>
          <cell r="C635">
            <v>43292</v>
          </cell>
          <cell r="D635" t="str">
            <v>KHF-00-104265-RA-8241-51037-0000</v>
          </cell>
          <cell r="E635" t="str">
            <v>Material Approval Sheet for 50MM Thick Extruded Polystyrene Insulation - 35 KG/CUM Density</v>
          </cell>
          <cell r="F635">
            <v>2</v>
          </cell>
          <cell r="G635" t="str">
            <v>Code A</v>
          </cell>
        </row>
        <row r="636">
          <cell r="A636" t="str">
            <v>KHF-23-104133-MH-4306-00001-0000-1</v>
          </cell>
          <cell r="B636" t="str">
            <v>KHF_AIP_D_EXT_00489</v>
          </cell>
          <cell r="C636">
            <v>43292</v>
          </cell>
          <cell r="D636" t="str">
            <v>KHF-23-104133-MH-4306-00001-0000</v>
          </cell>
          <cell r="E636" t="str">
            <v>CONSTRUCTION BILL OF QUANTITIES FOR HVAC-POWER PLANT BUILDINGS</v>
          </cell>
          <cell r="F636">
            <v>1</v>
          </cell>
          <cell r="G636" t="str">
            <v>IFI</v>
          </cell>
        </row>
        <row r="637">
          <cell r="A637" t="str">
            <v>KHF-00-104133-RA-7880-00001-0000-4</v>
          </cell>
          <cell r="B637" t="str">
            <v>KHF_AIP_D_EXT_00490</v>
          </cell>
          <cell r="C637">
            <v>43293</v>
          </cell>
          <cell r="D637" t="str">
            <v>KHF-00-104133-RA-7880-00001-0000</v>
          </cell>
          <cell r="E637" t="str">
            <v>SCOPE OF WORK AND SPECIFICATION OF CATHODIC PROTECTION SYSTEM FOR ON PLOT; OFF PLOT AND WELL CASINGS</v>
          </cell>
          <cell r="F637">
            <v>4</v>
          </cell>
          <cell r="G637" t="str">
            <v>IFI</v>
          </cell>
        </row>
        <row r="638">
          <cell r="A638" t="str">
            <v>KHF-00-104133-TA-7880-00010-0000-4</v>
          </cell>
          <cell r="B638" t="str">
            <v>KHF_AIP_D_EXT_00490</v>
          </cell>
          <cell r="C638">
            <v>43293</v>
          </cell>
          <cell r="D638" t="str">
            <v>KHF-00-104133-TA-7880-00010-0000</v>
          </cell>
          <cell r="E638" t="str">
            <v>IT INFRASTRUCTUREDESIGN SPECIFICATION-FO CABLE LAYING / INSTALLATION PROCEDURE ALONG THE PIPELINES</v>
          </cell>
          <cell r="F638">
            <v>4</v>
          </cell>
          <cell r="G638" t="str">
            <v>IFI</v>
          </cell>
        </row>
        <row r="639">
          <cell r="A639" t="str">
            <v>---</v>
          </cell>
          <cell r="B639" t="str">
            <v>KHF_AIP_D_EXT_00491</v>
          </cell>
          <cell r="C639">
            <v>43293</v>
          </cell>
          <cell r="D639" t="str">
            <v>-</v>
          </cell>
          <cell r="E639" t="str">
            <v>AFC Drawings</v>
          </cell>
          <cell r="F639" t="str">
            <v>-</v>
          </cell>
          <cell r="G639" t="str">
            <v>Total 105 drawings</v>
          </cell>
        </row>
        <row r="640">
          <cell r="A640" t="str">
            <v>KHF-00-104265-AA-3341-60092-0000-1</v>
          </cell>
          <cell r="B640" t="str">
            <v>KHF_AIP_D_EXT_00492</v>
          </cell>
          <cell r="C640">
            <v>43293</v>
          </cell>
          <cell r="D640" t="str">
            <v>KHF-00-104265-AA-3341-60092-0000</v>
          </cell>
          <cell r="E640" t="str">
            <v>CV of Mr. Soriya Miteshkumar - Project Controls Manager</v>
          </cell>
          <cell r="F640">
            <v>1</v>
          </cell>
          <cell r="G640" t="str">
            <v>Code A</v>
          </cell>
        </row>
        <row r="641">
          <cell r="A641" t="str">
            <v>KHF-00-104265-AA-3341-00118-0000-1</v>
          </cell>
          <cell r="B641" t="str">
            <v>KHF_AIP_D_EXT_00493</v>
          </cell>
          <cell r="C641">
            <v>43293</v>
          </cell>
          <cell r="D641" t="str">
            <v>KHF-00-104265-AA-3341-00118-0000</v>
          </cell>
          <cell r="E641" t="str">
            <v>CV OF MR. SUNIL VK - NDT TECHNICIAN</v>
          </cell>
          <cell r="F641">
            <v>1</v>
          </cell>
          <cell r="G641" t="str">
            <v>Code B</v>
          </cell>
        </row>
        <row r="642">
          <cell r="A642" t="str">
            <v>KHF-00-104265-QA-6050-00109-0000-1</v>
          </cell>
          <cell r="B642" t="str">
            <v>KHF_AIP_D_EXT_00494</v>
          </cell>
          <cell r="C642">
            <v>43293</v>
          </cell>
          <cell r="D642" t="str">
            <v>KHF-00-104265-QA-6050-00109-0000</v>
          </cell>
          <cell r="E642" t="str">
            <v>Quality Control Plan for Application of Stopaq</v>
          </cell>
          <cell r="F642">
            <v>1</v>
          </cell>
          <cell r="G642" t="str">
            <v>Code B</v>
          </cell>
        </row>
        <row r="643">
          <cell r="A643" t="str">
            <v>---</v>
          </cell>
          <cell r="B643" t="str">
            <v>KHF_AIP_D_EXT_00495</v>
          </cell>
          <cell r="C643">
            <v>43293</v>
          </cell>
          <cell r="D643" t="str">
            <v>-</v>
          </cell>
          <cell r="E643" t="str">
            <v>AFC Drawings</v>
          </cell>
          <cell r="F643" t="str">
            <v>-</v>
          </cell>
          <cell r="G643" t="str">
            <v>Total 04 drawings</v>
          </cell>
        </row>
        <row r="644">
          <cell r="A644" t="str">
            <v>KHF-00-104265-RA-8241-51050-0000-1</v>
          </cell>
          <cell r="B644" t="str">
            <v>KHF_AIP_D_EXT_00496</v>
          </cell>
          <cell r="C644">
            <v>43296</v>
          </cell>
          <cell r="D644" t="str">
            <v>KHF-00-104265-RA-8241-51050-0000</v>
          </cell>
          <cell r="E644" t="str">
            <v>Material Approval Sheet for Roof Waterproofing System</v>
          </cell>
          <cell r="F644">
            <v>1</v>
          </cell>
          <cell r="G644" t="str">
            <v>Code B</v>
          </cell>
        </row>
        <row r="645">
          <cell r="A645" t="str">
            <v>KHF-00-104265-AA-3341-00119-0000-1</v>
          </cell>
          <cell r="B645" t="str">
            <v>KHF_AIP_D_EXT_00497</v>
          </cell>
          <cell r="C645">
            <v>43296</v>
          </cell>
          <cell r="D645" t="str">
            <v>KHF-00-104265-AA-3341-00119-0000</v>
          </cell>
          <cell r="E645" t="str">
            <v>CV OF MR. SARAT KUMAR BAL- NDT TECHNICIAN</v>
          </cell>
          <cell r="F645">
            <v>1</v>
          </cell>
          <cell r="G645" t="str">
            <v>Code A</v>
          </cell>
        </row>
        <row r="646">
          <cell r="A646" t="str">
            <v>KHF-00-104265-AA-3341-00120-0000-1</v>
          </cell>
          <cell r="B646" t="str">
            <v>KHF_AIP_D_EXT_00497</v>
          </cell>
          <cell r="C646">
            <v>43296</v>
          </cell>
          <cell r="D646" t="str">
            <v>KHF-00-104265-AA-3341-00120-0000</v>
          </cell>
          <cell r="E646" t="str">
            <v>CV OF MR. PARMESWAR NISHAD- NDT TECHNICIAN</v>
          </cell>
          <cell r="F646">
            <v>1</v>
          </cell>
          <cell r="G646" t="str">
            <v>Code B</v>
          </cell>
        </row>
        <row r="647">
          <cell r="A647" t="str">
            <v>KHF-00-104265-AA-3341-00121-0000-1</v>
          </cell>
          <cell r="B647" t="str">
            <v>KHF_AIP_D_EXT_00497</v>
          </cell>
          <cell r="C647">
            <v>43296</v>
          </cell>
          <cell r="D647" t="str">
            <v>KHF-00-104265-AA-3341-00121-0000</v>
          </cell>
          <cell r="E647" t="str">
            <v>CV OF MR. NIRMAL KHATUYA- NDT TECHNICIAN</v>
          </cell>
          <cell r="F647">
            <v>1</v>
          </cell>
          <cell r="G647" t="str">
            <v>Code B</v>
          </cell>
        </row>
        <row r="648">
          <cell r="A648" t="str">
            <v>KHF-00-104265-AA-3341-00122-0000-1</v>
          </cell>
          <cell r="B648" t="str">
            <v>KHF_AIP_D_EXT_00497</v>
          </cell>
          <cell r="C648">
            <v>43296</v>
          </cell>
          <cell r="D648" t="str">
            <v>KHF-00-104265-AA-3341-00122-0000</v>
          </cell>
          <cell r="E648" t="str">
            <v>CV OF MR. SAKTHI MUNIAPPAN- NDT TECHNICIAN</v>
          </cell>
          <cell r="F648">
            <v>1</v>
          </cell>
          <cell r="G648" t="str">
            <v>Code B</v>
          </cell>
        </row>
        <row r="649">
          <cell r="A649" t="str">
            <v>KHF-00-104265-AA-3341-00123-0000-1</v>
          </cell>
          <cell r="B649" t="str">
            <v>KHF_AIP_D_EXT_00497</v>
          </cell>
          <cell r="C649">
            <v>43296</v>
          </cell>
          <cell r="D649" t="str">
            <v>KHF-00-104265-AA-3341-00123-0000</v>
          </cell>
          <cell r="E649" t="str">
            <v>CV OF MR. SANDEEP KUMAR RAJU- NDT TECHNICIAN</v>
          </cell>
          <cell r="F649">
            <v>1</v>
          </cell>
          <cell r="G649" t="str">
            <v>Code A</v>
          </cell>
        </row>
        <row r="650">
          <cell r="A650" t="str">
            <v>KHF-00-104265-QA-5733-00603-0000-1</v>
          </cell>
          <cell r="B650" t="str">
            <v>KHF_AIP_D_EXT_00498</v>
          </cell>
          <cell r="C650">
            <v>43296</v>
          </cell>
          <cell r="D650" t="str">
            <v>KHF-00-104265-QA-5733-00603-0000</v>
          </cell>
          <cell r="E650" t="str">
            <v>Inspection &amp; Test Plan for External Surface Preparation &amp; Painting PCS-1 &amp; PCS-6 (Off Plot / Power Plant)</v>
          </cell>
          <cell r="F650">
            <v>1</v>
          </cell>
          <cell r="G650" t="str">
            <v>Code A</v>
          </cell>
        </row>
        <row r="651">
          <cell r="A651" t="str">
            <v>KHF-00-104265-RA-8241-51058-0000-1</v>
          </cell>
          <cell r="B651" t="str">
            <v>KHF_AIP_D_EXT_00499</v>
          </cell>
          <cell r="C651">
            <v>43296</v>
          </cell>
          <cell r="D651" t="str">
            <v>KHF-00-104265-RA-8241-51058-0000</v>
          </cell>
          <cell r="E651" t="str">
            <v>MATERIAL APPROVAL SHEET FOR CONCRETE MIX DESIGN - C 25/10 SCREED MIX WITH PPF(OPC)</v>
          </cell>
          <cell r="F651">
            <v>1</v>
          </cell>
          <cell r="G651" t="str">
            <v>Code A</v>
          </cell>
        </row>
        <row r="652">
          <cell r="A652" t="str">
            <v>---</v>
          </cell>
          <cell r="B652" t="str">
            <v>KHF_AIP_D_EXT_00500</v>
          </cell>
          <cell r="C652">
            <v>43296</v>
          </cell>
          <cell r="D652" t="str">
            <v>-</v>
          </cell>
          <cell r="E652" t="str">
            <v>AFC Drawings</v>
          </cell>
          <cell r="F652" t="str">
            <v>-</v>
          </cell>
          <cell r="G652" t="str">
            <v>Total 12 drawings</v>
          </cell>
        </row>
        <row r="653">
          <cell r="A653" t="str">
            <v>---</v>
          </cell>
          <cell r="B653" t="str">
            <v>KHF_AIP_D_EXT_00501</v>
          </cell>
          <cell r="C653">
            <v>43296</v>
          </cell>
          <cell r="D653" t="str">
            <v>-</v>
          </cell>
          <cell r="E653" t="str">
            <v>AFC Drawings</v>
          </cell>
          <cell r="F653" t="str">
            <v>-</v>
          </cell>
          <cell r="G653" t="str">
            <v>withdrawn</v>
          </cell>
        </row>
        <row r="654">
          <cell r="A654" t="str">
            <v>KHF-00-104265-QA-6050-00604-0000-1</v>
          </cell>
          <cell r="B654" t="str">
            <v>KHF_AIP_D_EXT_00502</v>
          </cell>
          <cell r="C654">
            <v>43299</v>
          </cell>
          <cell r="D654" t="str">
            <v>KHF-00-104265-QA-6050-00604-0000</v>
          </cell>
          <cell r="E654" t="str">
            <v>Pickling and Passivation Procedure (Off Plot / Power Plant)</v>
          </cell>
          <cell r="F654">
            <v>1</v>
          </cell>
          <cell r="G654" t="str">
            <v>Code B</v>
          </cell>
        </row>
        <row r="655">
          <cell r="A655" t="str">
            <v>KHF-00-104265-BA-6065-00601-0000-1</v>
          </cell>
          <cell r="B655" t="str">
            <v>KHF_AIP_D_EXT_00503</v>
          </cell>
          <cell r="C655">
            <v>43299</v>
          </cell>
          <cell r="D655" t="str">
            <v>KHF-00-104265-BA-6065-00601-0000</v>
          </cell>
          <cell r="E655" t="str">
            <v>WELDING PROCEDURE SPECIFICATION (WPS) / PQR-001 (AIM-WPS-T-522)</v>
          </cell>
          <cell r="F655">
            <v>1</v>
          </cell>
          <cell r="G655" t="str">
            <v>Code B</v>
          </cell>
        </row>
        <row r="656">
          <cell r="A656" t="str">
            <v>KHF-00-104265-BA-6065-00602-0000-1</v>
          </cell>
          <cell r="B656" t="str">
            <v>KHF_AIP_D_EXT_00503</v>
          </cell>
          <cell r="C656">
            <v>43299</v>
          </cell>
          <cell r="D656" t="str">
            <v>KHF-00-104265-BA-6065-00602-0000</v>
          </cell>
          <cell r="E656" t="str">
            <v>WELDING PROCEDURE SPECIFICATION (WPS) / PQR- 002 (AI-WPS-T-065)</v>
          </cell>
          <cell r="F656">
            <v>1</v>
          </cell>
          <cell r="G656" t="str">
            <v>Code A</v>
          </cell>
        </row>
        <row r="657">
          <cell r="A657" t="str">
            <v>KHF-00-104265-BA-6065-00603-0000-1</v>
          </cell>
          <cell r="B657" t="str">
            <v>KHF_AIP_D_EXT_00503</v>
          </cell>
          <cell r="C657">
            <v>43299</v>
          </cell>
          <cell r="D657" t="str">
            <v>KHF-00-104265-BA-6065-00603-0000</v>
          </cell>
          <cell r="E657" t="str">
            <v>WELDING PROCEDURE SPECIFICATION (WPS) / PQR-003 (AI-WPS-T-0381)</v>
          </cell>
          <cell r="F657">
            <v>1</v>
          </cell>
          <cell r="G657" t="str">
            <v>Code A</v>
          </cell>
        </row>
        <row r="658">
          <cell r="A658" t="str">
            <v>KHF-00-104265-BA-6065-00604-0000-1</v>
          </cell>
          <cell r="B658" t="str">
            <v>KHF_AIP_D_EXT_00503</v>
          </cell>
          <cell r="C658">
            <v>43299</v>
          </cell>
          <cell r="D658" t="str">
            <v>KHF-00-104265-BA-6065-00604-0000</v>
          </cell>
          <cell r="E658" t="str">
            <v>WELDING PROCEDURE SPECIFICATION (WPS) / PQR-004 (AI-WPS-T-618)</v>
          </cell>
          <cell r="F658">
            <v>1</v>
          </cell>
          <cell r="G658" t="str">
            <v>Code A</v>
          </cell>
        </row>
        <row r="659">
          <cell r="A659" t="str">
            <v>KHF-00-104265-BA-6065-00605-0000-1</v>
          </cell>
          <cell r="B659" t="str">
            <v>KHF_AIP_D_EXT_00503</v>
          </cell>
          <cell r="C659">
            <v>43299</v>
          </cell>
          <cell r="D659" t="str">
            <v>KHF-00-104265-BA-6065-00605-0000</v>
          </cell>
          <cell r="E659" t="str">
            <v>WELDING PROCEDURE SPECIFICATION (WPS) / PQR- 005 (AI-WPS-T-622)</v>
          </cell>
          <cell r="F659">
            <v>1</v>
          </cell>
          <cell r="G659" t="str">
            <v>Code A</v>
          </cell>
        </row>
        <row r="660">
          <cell r="A660" t="str">
            <v>KHF-00-104265-BA-6065-00606-0000-1</v>
          </cell>
          <cell r="B660" t="str">
            <v>KHF_AIP_D_EXT_00503</v>
          </cell>
          <cell r="C660">
            <v>43299</v>
          </cell>
          <cell r="D660" t="str">
            <v>KHF-00-104265-BA-6065-00606-0000</v>
          </cell>
          <cell r="E660" t="str">
            <v>WELDING PROCEDURE SPECIFICATION (WPS) / PQR-006 (AI-WPS-TM-196)</v>
          </cell>
          <cell r="F660">
            <v>1</v>
          </cell>
          <cell r="G660" t="str">
            <v>Code A</v>
          </cell>
        </row>
        <row r="661">
          <cell r="A661" t="str">
            <v>KHF-00-104265-BA-6065-00607-0000-1</v>
          </cell>
          <cell r="B661" t="str">
            <v>KHF_AIP_D_EXT_00503</v>
          </cell>
          <cell r="C661">
            <v>43299</v>
          </cell>
          <cell r="D661" t="str">
            <v>KHF-00-104265-BA-6065-00607-0000</v>
          </cell>
          <cell r="E661" t="str">
            <v>WELDING PROCEDURE SPECIFICATION (WPS) / PQR- 007 (AI-WPS-TM-508)</v>
          </cell>
          <cell r="F661">
            <v>1</v>
          </cell>
          <cell r="G661" t="str">
            <v>Code A</v>
          </cell>
        </row>
        <row r="662">
          <cell r="A662" t="str">
            <v>KHF-00-104265-BA-6065-00608-0000-1</v>
          </cell>
          <cell r="B662" t="str">
            <v>KHF_AIP_D_EXT_00503</v>
          </cell>
          <cell r="C662">
            <v>43299</v>
          </cell>
          <cell r="D662" t="str">
            <v>KHF-00-104265-BA-6065-00608-0000</v>
          </cell>
          <cell r="E662" t="str">
            <v>WELDING PROCEDURE SPECIFICATION (WPS) / PQR-008 (AI-WPS-TM-549)</v>
          </cell>
          <cell r="F662">
            <v>1</v>
          </cell>
          <cell r="G662" t="str">
            <v>Code A</v>
          </cell>
        </row>
        <row r="663">
          <cell r="A663" t="str">
            <v>KHF-00-104265-BA-6065-00609-0000-1</v>
          </cell>
          <cell r="B663" t="str">
            <v>KHF_AIP_D_EXT_00503</v>
          </cell>
          <cell r="C663">
            <v>43299</v>
          </cell>
          <cell r="D663" t="str">
            <v>KHF-00-104265-BA-6065-00609-0000</v>
          </cell>
          <cell r="E663" t="str">
            <v>WELDING PROCEDURE SPECIFICATION (WPS) / PQR- 009 (AI-WPS-TM-625)</v>
          </cell>
          <cell r="F663">
            <v>1</v>
          </cell>
          <cell r="G663" t="str">
            <v>Code A</v>
          </cell>
        </row>
        <row r="664">
          <cell r="A664" t="str">
            <v>KHF-00-104265-BA-6065-00610-0000-1</v>
          </cell>
          <cell r="B664" t="str">
            <v>KHF_AIP_D_EXT_00503</v>
          </cell>
          <cell r="C664">
            <v>43299</v>
          </cell>
          <cell r="D664" t="str">
            <v>KHF-00-104265-BA-6065-00610-0000</v>
          </cell>
          <cell r="E664" t="str">
            <v>WELDING PROCEDURE SPECIFICATION (WPS) / PQR- 010 (AI-WPS-TS-476)</v>
          </cell>
          <cell r="F664">
            <v>1</v>
          </cell>
          <cell r="G664" t="str">
            <v>Code D</v>
          </cell>
        </row>
        <row r="665">
          <cell r="A665" t="str">
            <v>KHF-00-104265-BA-6065-00611-0000-1</v>
          </cell>
          <cell r="B665" t="str">
            <v>KHF_AIP_D_EXT_00503</v>
          </cell>
          <cell r="C665">
            <v>43299</v>
          </cell>
          <cell r="D665" t="str">
            <v>KHF-00-104265-BA-6065-00611-0000</v>
          </cell>
          <cell r="E665" t="str">
            <v>WELDING PROCEDURE SPECIFICATION (WPS) / PQR- 011 (AI-WPS-TS-623)</v>
          </cell>
          <cell r="F665">
            <v>1</v>
          </cell>
          <cell r="G665" t="str">
            <v>Code A</v>
          </cell>
        </row>
        <row r="666">
          <cell r="A666" t="str">
            <v>KHF-00-104265-BA-6065-00612-0000-1</v>
          </cell>
          <cell r="B666" t="str">
            <v>KHF_AIP_D_EXT_00503</v>
          </cell>
          <cell r="C666">
            <v>43299</v>
          </cell>
          <cell r="D666" t="str">
            <v>KHF-00-104265-BA-6065-00612-0000</v>
          </cell>
          <cell r="E666" t="str">
            <v>WELDING PROCEDURE SPECIFICATION (WPS) / PQR-012 (AI-WPS-TS-625)</v>
          </cell>
          <cell r="F666">
            <v>1</v>
          </cell>
          <cell r="G666" t="str">
            <v>Code A</v>
          </cell>
        </row>
        <row r="667">
          <cell r="A667" t="str">
            <v>KHF-00-104265-BA-6065-00613-0000-1</v>
          </cell>
          <cell r="B667" t="str">
            <v>KHF_AIP_D_EXT_00503</v>
          </cell>
          <cell r="C667">
            <v>43299</v>
          </cell>
          <cell r="D667" t="str">
            <v>KHF-00-104265-BA-6065-00613-0000</v>
          </cell>
          <cell r="E667" t="str">
            <v>WELDING PROCEDURE SPECIFICATION (WPS) / PQR- 013 (AI-WPS-T-468)</v>
          </cell>
          <cell r="F667">
            <v>1</v>
          </cell>
          <cell r="G667" t="str">
            <v>Code A</v>
          </cell>
        </row>
        <row r="668">
          <cell r="A668" t="str">
            <v>KHF-00-104265-BA-6065-00614-0000-1</v>
          </cell>
          <cell r="B668" t="str">
            <v>KHF_AIP_D_EXT_00503</v>
          </cell>
          <cell r="C668">
            <v>43299</v>
          </cell>
          <cell r="D668" t="str">
            <v>KHF-00-104265-BA-6065-00614-0000</v>
          </cell>
          <cell r="E668" t="str">
            <v>WELDING PROCEDURE SPECIFICATION (WPS) / PQR- 014 (AI-WPS-TM-468)</v>
          </cell>
          <cell r="F668">
            <v>1</v>
          </cell>
          <cell r="G668" t="str">
            <v>Code A</v>
          </cell>
        </row>
        <row r="669">
          <cell r="A669" t="str">
            <v>KHF-00-104265-BA-6065-00615-0000-1</v>
          </cell>
          <cell r="B669" t="str">
            <v>KHF_AIP_D_EXT_00503</v>
          </cell>
          <cell r="C669">
            <v>43299</v>
          </cell>
          <cell r="D669" t="str">
            <v>KHF-00-104265-BA-6065-00615-0000</v>
          </cell>
          <cell r="E669" t="str">
            <v>WELDING PROCEDURE SPECIFICATION (WPS) / PQR-015 (AI-WPS-TM-551)</v>
          </cell>
          <cell r="F669">
            <v>1</v>
          </cell>
          <cell r="G669" t="str">
            <v>Code A</v>
          </cell>
        </row>
        <row r="670">
          <cell r="A670" t="str">
            <v>KHF-00-104265-BA-6065-00616-0000-1</v>
          </cell>
          <cell r="B670" t="str">
            <v>KHF_AIP_D_EXT_00503</v>
          </cell>
          <cell r="C670">
            <v>43299</v>
          </cell>
          <cell r="D670" t="str">
            <v>KHF-00-104265-BA-6065-00616-0000</v>
          </cell>
          <cell r="E670" t="str">
            <v>WELDING PROCEDURE SPECIFICATION (WPS) / PQR- 016 (AI-WPS-TMS-551)</v>
          </cell>
          <cell r="F670">
            <v>1</v>
          </cell>
          <cell r="G670" t="str">
            <v>Code A</v>
          </cell>
        </row>
        <row r="671">
          <cell r="A671" t="str">
            <v>KHF-00-104265-BA-6065-00142-0000-1</v>
          </cell>
          <cell r="B671" t="str">
            <v>KHF_AIP_D_EXT_00504</v>
          </cell>
          <cell r="C671">
            <v>43299</v>
          </cell>
          <cell r="D671" t="str">
            <v>KHF-00-104265-BA-6065-00142-0000</v>
          </cell>
          <cell r="E671" t="str">
            <v>Welding Procedure Specification - Full Penetration Repair 16- PL-1 &amp; 2, 12- PL-3 &amp; 4</v>
          </cell>
          <cell r="F671">
            <v>1</v>
          </cell>
          <cell r="G671" t="str">
            <v>Code A</v>
          </cell>
        </row>
        <row r="672">
          <cell r="A672" t="str">
            <v>KHF-00-104265-BA-6065-00144-0000-1</v>
          </cell>
          <cell r="B672" t="str">
            <v>KHF_AIP_D_EXT_00504</v>
          </cell>
          <cell r="C672">
            <v>43299</v>
          </cell>
          <cell r="D672" t="str">
            <v>KHF-00-104265-BA-6065-00144-0000</v>
          </cell>
          <cell r="E672" t="str">
            <v>Welding Procedure Specification - Partial Penetration Repair 16- PL-1 &amp; 2, 12- PL-3 &amp; 4</v>
          </cell>
          <cell r="F672">
            <v>1</v>
          </cell>
          <cell r="G672" t="str">
            <v>Code A</v>
          </cell>
        </row>
        <row r="673">
          <cell r="A673" t="str">
            <v>KHF-00-104265-BA-6065-00137-0000-1</v>
          </cell>
          <cell r="B673" t="str">
            <v>KHF_AIP_D_EXT_00505</v>
          </cell>
          <cell r="C673">
            <v>43299</v>
          </cell>
          <cell r="D673" t="str">
            <v>KHF-00-104265-BA-6065-00137-0000</v>
          </cell>
          <cell r="E673" t="str">
            <v>Welding Procedure Specification -Welding of CS Casing Pipe for GRE P\L</v>
          </cell>
          <cell r="F673">
            <v>1</v>
          </cell>
          <cell r="G673" t="str">
            <v>Code A</v>
          </cell>
        </row>
        <row r="674">
          <cell r="A674" t="str">
            <v>KHF-00-104265-BA-6065-00138-0000-2</v>
          </cell>
          <cell r="B674" t="str">
            <v>KHF_AIP_D_EXT_00505</v>
          </cell>
          <cell r="C674">
            <v>43299</v>
          </cell>
          <cell r="D674" t="str">
            <v>KHF-00-104265-BA-6065-00138-0000</v>
          </cell>
          <cell r="E674" t="str">
            <v>Welding Procedure Specification - Full Penetration Repair 16 PL5</v>
          </cell>
          <cell r="F674">
            <v>2</v>
          </cell>
          <cell r="G674" t="str">
            <v>Code A</v>
          </cell>
        </row>
        <row r="675">
          <cell r="A675" t="str">
            <v>KHF-00-104265-BA-6065-00139-0000-2</v>
          </cell>
          <cell r="B675" t="str">
            <v>KHF_AIP_D_EXT_00505</v>
          </cell>
          <cell r="C675">
            <v>43299</v>
          </cell>
          <cell r="D675" t="str">
            <v>KHF-00-104265-BA-6065-00139-0000</v>
          </cell>
          <cell r="E675" t="str">
            <v>Welding Procedure Specification - Partial Penetration Repair 16 PL5</v>
          </cell>
          <cell r="F675">
            <v>2</v>
          </cell>
          <cell r="G675" t="str">
            <v>Code A</v>
          </cell>
        </row>
        <row r="676">
          <cell r="A676" t="str">
            <v>KHF-00-104265-BA-6065-00140-0000-2</v>
          </cell>
          <cell r="B676" t="str">
            <v>KHF_AIP_D_EXT_00505</v>
          </cell>
          <cell r="C676">
            <v>43299</v>
          </cell>
          <cell r="D676" t="str">
            <v>KHF-00-104265-BA-6065-00140-0000</v>
          </cell>
          <cell r="E676" t="str">
            <v>Welding Procedure Specification - FP Repair, PL-7, 8, 9 &amp; 9A</v>
          </cell>
          <cell r="F676">
            <v>2</v>
          </cell>
          <cell r="G676" t="str">
            <v>Code A</v>
          </cell>
        </row>
        <row r="677">
          <cell r="A677" t="str">
            <v>KHF-00-104265-BA-6065-00141-0000-2</v>
          </cell>
          <cell r="B677" t="str">
            <v>KHF_AIP_D_EXT_00505</v>
          </cell>
          <cell r="C677">
            <v>43299</v>
          </cell>
          <cell r="D677" t="str">
            <v>KHF-00-104265-BA-6065-00141-0000</v>
          </cell>
          <cell r="E677" t="str">
            <v>Welding Procedure Specification - PP Repair, PL-7, 8, 9 &amp; 9A</v>
          </cell>
          <cell r="F677">
            <v>2</v>
          </cell>
          <cell r="G677" t="str">
            <v>Code A</v>
          </cell>
        </row>
        <row r="678">
          <cell r="A678" t="str">
            <v>KHF-00-104265-QA-6050-00602-0000-1</v>
          </cell>
          <cell r="B678" t="str">
            <v>KHF_AIP_D_EXT_00506</v>
          </cell>
          <cell r="C678">
            <v>43299</v>
          </cell>
          <cell r="D678" t="str">
            <v>KHF-00-104265-QA-6050-00602-0000</v>
          </cell>
          <cell r="E678" t="str">
            <v>POSITIVE MATERIAL IDENTIFICATION PROCEDURE</v>
          </cell>
          <cell r="F678">
            <v>1</v>
          </cell>
          <cell r="G678" t="str">
            <v>Code B</v>
          </cell>
        </row>
        <row r="679">
          <cell r="A679" t="str">
            <v>KHF-00-104265-QA-6050-00603-0000-1</v>
          </cell>
          <cell r="B679" t="str">
            <v>KHF_AIP_D_EXT_00506</v>
          </cell>
          <cell r="C679">
            <v>43299</v>
          </cell>
          <cell r="D679" t="str">
            <v>KHF-00-104265-QA-6050-00603-0000</v>
          </cell>
          <cell r="E679" t="str">
            <v>FERRITE CHECK PROCEDURE</v>
          </cell>
          <cell r="F679">
            <v>1</v>
          </cell>
          <cell r="G679" t="str">
            <v>Code B</v>
          </cell>
        </row>
        <row r="680">
          <cell r="A680" t="str">
            <v>KHF-00-104265-BA-6065-00101-0000-2</v>
          </cell>
          <cell r="B680" t="str">
            <v>KHF_AIP_D_EXT_00507</v>
          </cell>
          <cell r="C680">
            <v>43299</v>
          </cell>
          <cell r="D680" t="str">
            <v>KHF-00-104265-BA-6065-00101-0000</v>
          </cell>
          <cell r="E680" t="str">
            <v>Welding Procedure Specification Register</v>
          </cell>
          <cell r="F680">
            <v>2</v>
          </cell>
          <cell r="G680" t="str">
            <v>Code B</v>
          </cell>
        </row>
        <row r="681">
          <cell r="A681" t="str">
            <v>---</v>
          </cell>
          <cell r="B681" t="str">
            <v>KHF_AIP_D_EXT_00508</v>
          </cell>
          <cell r="C681">
            <v>43299</v>
          </cell>
          <cell r="D681" t="str">
            <v>-</v>
          </cell>
          <cell r="E681" t="str">
            <v>AFC Drawings</v>
          </cell>
          <cell r="F681" t="str">
            <v>-</v>
          </cell>
          <cell r="G681" t="str">
            <v>Total 22 drawings</v>
          </cell>
        </row>
        <row r="682">
          <cell r="A682" t="str">
            <v>KHF-00-104265-AA-3341-00125-0000-2</v>
          </cell>
          <cell r="B682" t="str">
            <v>KHF_AIP_D_EXT_00509</v>
          </cell>
          <cell r="C682">
            <v>43300</v>
          </cell>
          <cell r="D682" t="str">
            <v>KHF-00-104265-AA-3341-00125-0000</v>
          </cell>
          <cell r="E682" t="str">
            <v>CV OF MR. SOHEL VAHORA - GRE QC INSPECTOR</v>
          </cell>
          <cell r="F682">
            <v>2</v>
          </cell>
          <cell r="G682" t="str">
            <v>Code A</v>
          </cell>
        </row>
        <row r="683">
          <cell r="A683" t="str">
            <v>---</v>
          </cell>
          <cell r="B683" t="str">
            <v>KHF_AIP_D_EXT_00510</v>
          </cell>
          <cell r="C683">
            <v>43300</v>
          </cell>
          <cell r="D683" t="str">
            <v>-</v>
          </cell>
          <cell r="E683" t="str">
            <v>AFC Drawings</v>
          </cell>
          <cell r="F683" t="str">
            <v>-</v>
          </cell>
          <cell r="G683" t="str">
            <v>Total 54 drawings</v>
          </cell>
        </row>
        <row r="684">
          <cell r="A684" t="str">
            <v>KHF-00-104265-QA-5733-00601-0000-1</v>
          </cell>
          <cell r="B684" t="str">
            <v>KHF_AIP_D_EXT_00511</v>
          </cell>
          <cell r="C684">
            <v>43300</v>
          </cell>
          <cell r="D684" t="str">
            <v>KHF-00-104265-QA-5733-00601-0000</v>
          </cell>
          <cell r="E684" t="str">
            <v>INSPECTION &amp; TEST PLAN FOR CS &amp; LTCS PIPING FABRICATION (Off Plot \ Power Plant)</v>
          </cell>
          <cell r="F684">
            <v>1</v>
          </cell>
          <cell r="G684" t="str">
            <v>Code B</v>
          </cell>
        </row>
        <row r="685">
          <cell r="A685" t="str">
            <v>KHF-00-104265-QA-5733-00602-0000-1</v>
          </cell>
          <cell r="B685" t="str">
            <v>KHF_AIP_D_EXT_00511</v>
          </cell>
          <cell r="C685">
            <v>43300</v>
          </cell>
          <cell r="D685" t="str">
            <v>KHF-00-104265-QA-5733-00602-0000</v>
          </cell>
          <cell r="E685" t="str">
            <v>INSPECTION &amp; TEST PLAN FOR SS, SDSS &amp; ALLOY 825 FABRICATION (Off Plot \ Power Plant)</v>
          </cell>
          <cell r="F685">
            <v>1</v>
          </cell>
          <cell r="G685" t="str">
            <v>Code B</v>
          </cell>
        </row>
        <row r="686">
          <cell r="A686" t="str">
            <v>KHF-00-104265-QA-6050-00106-0000-4</v>
          </cell>
          <cell r="B686" t="str">
            <v>KHF_AIP_D_EXT_00512</v>
          </cell>
          <cell r="C686">
            <v>43300</v>
          </cell>
          <cell r="D686" t="str">
            <v>KHF-00-104265-QA-6050-00106-0000</v>
          </cell>
          <cell r="E686" t="str">
            <v>Quality Control Plan for Installation of  CS Pipeline</v>
          </cell>
          <cell r="F686">
            <v>4</v>
          </cell>
          <cell r="G686" t="str">
            <v>Code B</v>
          </cell>
        </row>
        <row r="687">
          <cell r="A687" t="str">
            <v>KHF-12-104133-LA-2373-00053-0001-8</v>
          </cell>
          <cell r="B687" t="str">
            <v>KHF_AIP_D_EXT_00513</v>
          </cell>
          <cell r="C687">
            <v>43303</v>
          </cell>
          <cell r="D687" t="str">
            <v>KHF-12-104133-LA-2373-00053-0001</v>
          </cell>
          <cell r="E687" t="str">
            <v>ALIGNMENT SHEET FOR 6 INCH GRE FLOW LINE -WELL PAD TO SOUTHRMS E1-49</v>
          </cell>
          <cell r="F687">
            <v>8</v>
          </cell>
          <cell r="G687" t="str">
            <v>AFC Drawing</v>
          </cell>
        </row>
        <row r="688">
          <cell r="A688" t="str">
            <v>KHF-12-104133-LA-2373-00055-0001-7</v>
          </cell>
          <cell r="B688" t="str">
            <v>KHF_AIP_D_EXT_00513</v>
          </cell>
          <cell r="C688">
            <v>43303</v>
          </cell>
          <cell r="D688" t="str">
            <v>KHF-12-104133-LA-2373-00055-0001</v>
          </cell>
          <cell r="E688" t="str">
            <v>ALIGNMENT SHEET FOR 6 INCH GRE FLOW LINE -WELL PAD TO SOUTHRMS OP4-03</v>
          </cell>
          <cell r="F688">
            <v>7</v>
          </cell>
          <cell r="G688" t="str">
            <v>AFC Drawing</v>
          </cell>
        </row>
        <row r="689">
          <cell r="A689" t="str">
            <v>KHF-12-104133-LA-2373-00057-0001-7</v>
          </cell>
          <cell r="B689" t="str">
            <v>KHF_AIP_D_EXT_00513</v>
          </cell>
          <cell r="C689">
            <v>43303</v>
          </cell>
          <cell r="D689" t="str">
            <v>KHF-12-104133-LA-2373-00057-0001</v>
          </cell>
          <cell r="E689" t="str">
            <v>ALIGNMENT SHEET FOR 6 INCH UG GRE FLOW LINE FROM WELL OP4-02 TO SOUTH RMS</v>
          </cell>
          <cell r="F689">
            <v>7</v>
          </cell>
          <cell r="G689" t="str">
            <v>AFC Drawing</v>
          </cell>
        </row>
        <row r="690">
          <cell r="A690" t="str">
            <v>KHF-12-104133-LA-2373-00057-0002-7</v>
          </cell>
          <cell r="B690" t="str">
            <v>KHF_AIP_D_EXT_00513</v>
          </cell>
          <cell r="C690">
            <v>43303</v>
          </cell>
          <cell r="D690" t="str">
            <v>KHF-12-104133-LA-2373-00057-0002</v>
          </cell>
          <cell r="E690" t="str">
            <v>ALIGNMENT SHEET FOR 6 INCH UG GRE FLOW LINE FROM WELL OP4-02 TO SOUTH RMS</v>
          </cell>
          <cell r="F690">
            <v>7</v>
          </cell>
          <cell r="G690" t="str">
            <v>AFC Drawing</v>
          </cell>
        </row>
        <row r="691">
          <cell r="A691" t="str">
            <v>KHF-12-104133-LA-2373-00059-0004-8</v>
          </cell>
          <cell r="B691" t="str">
            <v>KHF_AIP_D_EXT_00513</v>
          </cell>
          <cell r="C691">
            <v>43303</v>
          </cell>
          <cell r="D691" t="str">
            <v>KHF-12-104133-LA-2373-00059-0004</v>
          </cell>
          <cell r="E691" t="str">
            <v>ALIGNMENT SHEET FOR 6 INCH GRE FLOW LINE -WELL PAD TO SOUTH RMS Y-516</v>
          </cell>
          <cell r="F691">
            <v>8</v>
          </cell>
          <cell r="G691" t="str">
            <v>AFC Drawing</v>
          </cell>
        </row>
        <row r="692">
          <cell r="A692" t="str">
            <v>KHF-00-104265-AA-3341-60087-0000-1</v>
          </cell>
          <cell r="B692" t="str">
            <v>KHF_AIP_D_EXT_00514</v>
          </cell>
          <cell r="C692">
            <v>43305</v>
          </cell>
          <cell r="D692" t="str">
            <v>KHF-00-104265-AA-3341-60087-0000</v>
          </cell>
          <cell r="E692" t="str">
            <v>CV OF MR. M. BALAKUMAR - LEAD FIELD PIPELINE ENGINEER</v>
          </cell>
          <cell r="F692">
            <v>1</v>
          </cell>
          <cell r="G692" t="str">
            <v>Code A</v>
          </cell>
        </row>
        <row r="693">
          <cell r="A693" t="str">
            <v>KHF-00-104265-QA-6050-00601-0000-1</v>
          </cell>
          <cell r="B693" t="str">
            <v>KHF_AIP_D_EXT_00515</v>
          </cell>
          <cell r="C693">
            <v>43305</v>
          </cell>
          <cell r="D693" t="str">
            <v>KHF-00-104265-QA-6050-00601-0000</v>
          </cell>
          <cell r="E693" t="str">
            <v>External Surface Preparation and Painting  Procedure (Off Plot / Power Plant)</v>
          </cell>
          <cell r="F693">
            <v>1</v>
          </cell>
          <cell r="G693" t="str">
            <v>Code A</v>
          </cell>
        </row>
        <row r="694">
          <cell r="A694" t="str">
            <v>KHF-00-104265-BA-6070-00135-0000-1</v>
          </cell>
          <cell r="B694" t="str">
            <v>KHF_AIP_D_EXT_00516</v>
          </cell>
          <cell r="C694">
            <v>43305</v>
          </cell>
          <cell r="D694" t="str">
            <v>KHF-00-104265-BA-6070-00135-0000</v>
          </cell>
          <cell r="E694" t="str">
            <v>Method Statement for Line Pipe Coating Repair</v>
          </cell>
          <cell r="F694">
            <v>1</v>
          </cell>
          <cell r="G694" t="str">
            <v>Code B</v>
          </cell>
        </row>
        <row r="695">
          <cell r="A695" t="str">
            <v>KHF-00-104265-AA-3341-60094-0000-1</v>
          </cell>
          <cell r="B695" t="str">
            <v>KHF_AIP_D_EXT_00517</v>
          </cell>
          <cell r="C695">
            <v>43305</v>
          </cell>
          <cell r="D695" t="str">
            <v>KHF-00-104265-AA-3341-60094-0000</v>
          </cell>
          <cell r="E695" t="str">
            <v>CV OF MR. K. RAVIKUMAR - QCI WELDING &amp; PAINTING</v>
          </cell>
          <cell r="F695">
            <v>1</v>
          </cell>
          <cell r="G695" t="str">
            <v>Code B</v>
          </cell>
        </row>
        <row r="696">
          <cell r="A696" t="str">
            <v>---</v>
          </cell>
          <cell r="B696" t="str">
            <v>KHF_AIP_D_EXT_00518</v>
          </cell>
          <cell r="C696">
            <v>43306</v>
          </cell>
          <cell r="D696" t="str">
            <v>-</v>
          </cell>
          <cell r="E696" t="str">
            <v>AFC Drawings</v>
          </cell>
          <cell r="F696" t="str">
            <v>-</v>
          </cell>
          <cell r="G696" t="str">
            <v>Total 22 drawings</v>
          </cell>
        </row>
        <row r="697">
          <cell r="A697" t="str">
            <v>KHF-00-104265-AA-5760-10036-0000-2</v>
          </cell>
          <cell r="B697" t="str">
            <v>KHF_AIP_D_EXT_00519</v>
          </cell>
          <cell r="C697">
            <v>43310</v>
          </cell>
          <cell r="D697" t="str">
            <v>KHF-00-104265-AA-5760-10036-0000</v>
          </cell>
          <cell r="E697" t="str">
            <v>Contract Execution  Plan</v>
          </cell>
          <cell r="F697">
            <v>2</v>
          </cell>
          <cell r="G697" t="str">
            <v>Code D</v>
          </cell>
        </row>
        <row r="698">
          <cell r="A698" t="str">
            <v>KHF-00-104265-BA-6070-41006-0000-1</v>
          </cell>
          <cell r="B698" t="str">
            <v>KHF_AIP_D_EXT_00520</v>
          </cell>
          <cell r="C698">
            <v>43310</v>
          </cell>
          <cell r="D698" t="str">
            <v>KHF-00-104265-BA-6070-41006-0000</v>
          </cell>
          <cell r="E698" t="str">
            <v>Method Statement for Mass Concreting Work for GTG Foundation</v>
          </cell>
          <cell r="F698">
            <v>1</v>
          </cell>
          <cell r="G698" t="str">
            <v>Code B</v>
          </cell>
        </row>
        <row r="699">
          <cell r="A699" t="str">
            <v>KHF-00-104265-LA-5009-00104-0000-2</v>
          </cell>
          <cell r="B699" t="str">
            <v>KHF_AIP_D_EXT_00521</v>
          </cell>
          <cell r="C699">
            <v>43310</v>
          </cell>
          <cell r="D699" t="str">
            <v>KHF-00-104265-LA-5009-00104-0000</v>
          </cell>
          <cell r="E699" t="str">
            <v>MAS- Wadi Crossing Gabion boxes (GI coated wire mesh 3.5mm dia)</v>
          </cell>
          <cell r="F699">
            <v>2</v>
          </cell>
          <cell r="G699" t="str">
            <v>Code A</v>
          </cell>
        </row>
        <row r="700">
          <cell r="A700" t="str">
            <v>KHF-00-104265-LA-5009-00107-0000-2</v>
          </cell>
          <cell r="B700" t="str">
            <v>KHF_AIP_D_EXT_00521</v>
          </cell>
          <cell r="C700">
            <v>43310</v>
          </cell>
          <cell r="D700" t="str">
            <v>KHF-00-104265-LA-5009-00107-0000</v>
          </cell>
          <cell r="E700" t="str">
            <v>MAS for BRC Mesh-Road Crossing in Existing CS Pipeline</v>
          </cell>
          <cell r="F700">
            <v>2</v>
          </cell>
          <cell r="G700" t="str">
            <v>Code A</v>
          </cell>
        </row>
        <row r="701">
          <cell r="A701" t="str">
            <v>KHF-00-104265-QA-5798-00101-0000-4</v>
          </cell>
          <cell r="B701" t="str">
            <v>KHF_AIP_D_EXT_00522</v>
          </cell>
          <cell r="C701">
            <v>43310</v>
          </cell>
          <cell r="D701" t="str">
            <v>KHF-00-104265-QA-5798-00101-0000</v>
          </cell>
          <cell r="E701" t="str">
            <v>Project Quality Plan (GPS)</v>
          </cell>
          <cell r="F701">
            <v>4</v>
          </cell>
          <cell r="G701" t="str">
            <v>Code B</v>
          </cell>
        </row>
        <row r="702">
          <cell r="A702" t="str">
            <v>KHF-00-104265-LA-5009-00108-0000-2</v>
          </cell>
          <cell r="B702" t="str">
            <v>KHF_AIP_D_EXT_00523</v>
          </cell>
          <cell r="C702">
            <v>43310</v>
          </cell>
          <cell r="D702" t="str">
            <v>KHF-00-104265-LA-5009-00108-0000</v>
          </cell>
          <cell r="E702" t="str">
            <v>MAS for 100mm G.I.Pipe -C- Class (FOC Casing at Road Crossing in CS Pipeline)</v>
          </cell>
          <cell r="F702">
            <v>2</v>
          </cell>
          <cell r="G702" t="str">
            <v>Code A</v>
          </cell>
        </row>
        <row r="703">
          <cell r="A703" t="str">
            <v>KHF-00-104265-RA-6038-00601-0000-1</v>
          </cell>
          <cell r="B703" t="str">
            <v>KHF_AIP_D_EXT_00524</v>
          </cell>
          <cell r="C703">
            <v>43311</v>
          </cell>
          <cell r="D703" t="str">
            <v>KHF-00-104265-RA-6038-00601-0000</v>
          </cell>
          <cell r="E703" t="str">
            <v>Procedure for Magnetic Particle Examination for Low Pressure Piping (HI-TECH)</v>
          </cell>
          <cell r="F703">
            <v>1</v>
          </cell>
          <cell r="G703" t="str">
            <v>Code A</v>
          </cell>
        </row>
        <row r="704">
          <cell r="A704" t="str">
            <v>KHF-00-104265-RA-6038-00602-0000-1</v>
          </cell>
          <cell r="B704" t="str">
            <v>KHF_AIP_D_EXT_00524</v>
          </cell>
          <cell r="C704">
            <v>43311</v>
          </cell>
          <cell r="D704" t="str">
            <v>KHF-00-104265-RA-6038-00602-0000</v>
          </cell>
          <cell r="E704" t="str">
            <v>Procedure for Liquid Penetrant Examination for Low Pressure Piping (HI-TECH)</v>
          </cell>
          <cell r="F704">
            <v>1</v>
          </cell>
          <cell r="G704" t="str">
            <v>Code A</v>
          </cell>
        </row>
        <row r="705">
          <cell r="A705" t="str">
            <v>KHF-00-104265-RA-6038-00603-0000-1</v>
          </cell>
          <cell r="B705" t="str">
            <v>KHF_AIP_D_EXT_00524</v>
          </cell>
          <cell r="C705">
            <v>43311</v>
          </cell>
          <cell r="D705" t="str">
            <v>KHF-00-104265-RA-6038-00603-0000</v>
          </cell>
          <cell r="E705" t="str">
            <v>Procedure for Radiographic Examination for Low pressure Piping (HI-TECH)</v>
          </cell>
          <cell r="F705">
            <v>1</v>
          </cell>
          <cell r="G705" t="str">
            <v>Code A</v>
          </cell>
        </row>
        <row r="706">
          <cell r="A706" t="str">
            <v>KHF-00-104265-RA-6038-00604-0000-1</v>
          </cell>
          <cell r="B706" t="str">
            <v>KHF_AIP_D_EXT_00524</v>
          </cell>
          <cell r="C706">
            <v>43311</v>
          </cell>
          <cell r="D706" t="str">
            <v>KHF-00-104265-RA-6038-00604-0000</v>
          </cell>
          <cell r="E706" t="str">
            <v>Procedure for Ultrasonic Examination for Lamination Check and Thickness Measurement (HI-TECH)</v>
          </cell>
          <cell r="F706">
            <v>1</v>
          </cell>
          <cell r="G706" t="str">
            <v>Code A</v>
          </cell>
        </row>
        <row r="707">
          <cell r="A707" t="str">
            <v>KHF-00-104265-RA-6038-00605-0000-1</v>
          </cell>
          <cell r="B707" t="str">
            <v>KHF_AIP_D_EXT_00524</v>
          </cell>
          <cell r="C707">
            <v>43311</v>
          </cell>
          <cell r="D707" t="str">
            <v>KHF-00-104265-RA-6038-00605-0000</v>
          </cell>
          <cell r="E707" t="str">
            <v>Procedure for Hardness Testing for Low Pressure Piping (HI-TECH)</v>
          </cell>
          <cell r="F707">
            <v>1</v>
          </cell>
          <cell r="G707" t="str">
            <v>Code A</v>
          </cell>
        </row>
        <row r="708">
          <cell r="A708" t="str">
            <v>KHF-00-104265-AA-3341-60095-0000-1</v>
          </cell>
          <cell r="B708" t="str">
            <v>KHF_AIP_D_EXT_00525</v>
          </cell>
          <cell r="C708">
            <v>43311</v>
          </cell>
          <cell r="D708" t="str">
            <v>KHF-00-104265-AA-3341-60095-0000</v>
          </cell>
          <cell r="E708" t="str">
            <v>CV OF MR. SOMISETTI SRIDHAR - NDT LEVEL-III ENGINEER</v>
          </cell>
          <cell r="F708">
            <v>1</v>
          </cell>
          <cell r="G708" t="str">
            <v>Code A</v>
          </cell>
        </row>
        <row r="709">
          <cell r="A709" t="str">
            <v>KHF-00-104265-AA-3341-00126-0000-1</v>
          </cell>
          <cell r="B709" t="str">
            <v>KHF_AIP_D_EXT_00526</v>
          </cell>
          <cell r="C709">
            <v>43311</v>
          </cell>
          <cell r="D709" t="str">
            <v>KHF-00-104265-AA-3341-00126-0000</v>
          </cell>
          <cell r="E709" t="str">
            <v>CV of Mr. Mohd. Alimuddin - NDT Technician (Multidiscipline)</v>
          </cell>
          <cell r="F709">
            <v>1</v>
          </cell>
          <cell r="G709" t="str">
            <v>Code A</v>
          </cell>
        </row>
        <row r="710">
          <cell r="A710" t="str">
            <v>KHF-00-104265-QA-6050-00607-0000-1</v>
          </cell>
          <cell r="B710" t="str">
            <v>KHF_AIP_D_EXT_00527</v>
          </cell>
          <cell r="C710">
            <v>43314</v>
          </cell>
          <cell r="D710" t="str">
            <v>KHF-00-104265-QA-6050-00607-0000</v>
          </cell>
          <cell r="E710" t="str">
            <v>Material Control Procedure for Piping Material at fabrication shop</v>
          </cell>
          <cell r="F710">
            <v>1</v>
          </cell>
          <cell r="G710" t="str">
            <v>Code D</v>
          </cell>
        </row>
        <row r="711">
          <cell r="A711" t="str">
            <v>---</v>
          </cell>
          <cell r="B711" t="str">
            <v>KHF_AIP_D_EXT_00528</v>
          </cell>
          <cell r="C711" t="str">
            <v>-</v>
          </cell>
          <cell r="D711" t="str">
            <v>-</v>
          </cell>
          <cell r="E711" t="str">
            <v>-</v>
          </cell>
          <cell r="F711" t="str">
            <v>-</v>
          </cell>
          <cell r="G711" t="str">
            <v>not received</v>
          </cell>
        </row>
        <row r="712">
          <cell r="A712" t="str">
            <v>---</v>
          </cell>
          <cell r="B712" t="str">
            <v>KHF_AIP_D_EXT_00529</v>
          </cell>
          <cell r="C712">
            <v>43314</v>
          </cell>
          <cell r="D712" t="str">
            <v>-</v>
          </cell>
          <cell r="E712" t="str">
            <v>AFC Drawings</v>
          </cell>
          <cell r="F712" t="str">
            <v>-</v>
          </cell>
          <cell r="G712" t="str">
            <v>Total 112 drawings</v>
          </cell>
        </row>
        <row r="713">
          <cell r="A713" t="str">
            <v>KHF-00-104265-AA-3341-00127-0000-1</v>
          </cell>
          <cell r="B713" t="str">
            <v>KHF_AIP_D_EXT_00530</v>
          </cell>
          <cell r="C713">
            <v>43317</v>
          </cell>
          <cell r="D713" t="str">
            <v>KHF-00-104265-AA-3341-00127-0000</v>
          </cell>
          <cell r="E713" t="str">
            <v>CV of Mr. Amrita Roy -  NDT Technician for UTW, RT &amp; MPT</v>
          </cell>
          <cell r="F713">
            <v>1</v>
          </cell>
          <cell r="G713" t="str">
            <v>Code A</v>
          </cell>
        </row>
        <row r="714">
          <cell r="A714" t="str">
            <v>KHF-00-104265-AA-3341-60097-0000-1</v>
          </cell>
          <cell r="B714" t="str">
            <v>KHF_AIP_D_EXT_00531</v>
          </cell>
          <cell r="C714">
            <v>43317</v>
          </cell>
          <cell r="D714" t="str">
            <v>KHF-00-104265-AA-3341-60097-0000</v>
          </cell>
          <cell r="E714" t="str">
            <v>CV OF MR. SYED KHAWAR ZAFAR - AIP SITE BASED HSE ADVISOR</v>
          </cell>
          <cell r="F714">
            <v>1</v>
          </cell>
          <cell r="G714" t="str">
            <v>Code A</v>
          </cell>
        </row>
        <row r="715">
          <cell r="A715" t="str">
            <v>KHF-00-104265-LA-1580-00139-0000-1</v>
          </cell>
          <cell r="B715" t="str">
            <v>KHF_AIP_D_EXT_00532</v>
          </cell>
          <cell r="C715">
            <v>43317</v>
          </cell>
          <cell r="D715" t="str">
            <v>KHF-00-104265-LA-1580-00139-0000</v>
          </cell>
          <cell r="E715" t="str">
            <v>List of GRE Bonders (for FGS Station)</v>
          </cell>
          <cell r="F715">
            <v>1</v>
          </cell>
          <cell r="G715" t="str">
            <v>Code B</v>
          </cell>
        </row>
        <row r="716">
          <cell r="A716" t="str">
            <v>KHF-00-104265-MP-6180-00140-0000-1</v>
          </cell>
          <cell r="B716" t="str">
            <v>KHF_AIP_D_EXT_00533</v>
          </cell>
          <cell r="C716">
            <v>43317</v>
          </cell>
          <cell r="D716" t="str">
            <v>KHF-00-104265-MP-6180-00140-0000</v>
          </cell>
          <cell r="E716" t="str">
            <v>Method Statement for Training &amp; Crew Qualification (FGS)</v>
          </cell>
          <cell r="F716">
            <v>1</v>
          </cell>
          <cell r="G716" t="str">
            <v>Code B</v>
          </cell>
        </row>
        <row r="717">
          <cell r="A717" t="str">
            <v>KHF-00-104265-RA-8241-51056-0000-1</v>
          </cell>
          <cell r="B717" t="str">
            <v>KHF_AIP_D_EXT_00534</v>
          </cell>
          <cell r="C717">
            <v>43319</v>
          </cell>
          <cell r="D717" t="str">
            <v>KHF-00-104265-RA-8241-51056-0000</v>
          </cell>
          <cell r="E717" t="str">
            <v>Material Approval Sheet for Wall Finishes (Paints)</v>
          </cell>
          <cell r="F717">
            <v>1</v>
          </cell>
          <cell r="G717" t="str">
            <v>Code B</v>
          </cell>
        </row>
        <row r="718">
          <cell r="A718" t="str">
            <v>KHF-00-104265-RA-8241-51054-0000-1</v>
          </cell>
          <cell r="B718" t="str">
            <v>KHF_AIP_D_EXT_00535</v>
          </cell>
          <cell r="C718">
            <v>43319</v>
          </cell>
          <cell r="D718" t="str">
            <v>KHF-00-104265-RA-8241-51054-0000</v>
          </cell>
          <cell r="E718" t="str">
            <v>Material Approval Sheet for Blockworks, Floor Screeds &amp; Wall Finishes</v>
          </cell>
          <cell r="F718">
            <v>1</v>
          </cell>
          <cell r="G718" t="str">
            <v>Code D</v>
          </cell>
        </row>
        <row r="719">
          <cell r="A719" t="str">
            <v>KHF-00-104265-RA-8241-51057-0000-1</v>
          </cell>
          <cell r="B719" t="str">
            <v>KHF_AIP_D_EXT_00536</v>
          </cell>
          <cell r="C719">
            <v>43319</v>
          </cell>
          <cell r="D719" t="str">
            <v>KHF-00-104265-RA-8241-51057-0000</v>
          </cell>
          <cell r="E719" t="str">
            <v>Material Approval Sheet for Type-B soil used for Off Plot Construction  purpose</v>
          </cell>
          <cell r="F719">
            <v>1</v>
          </cell>
          <cell r="G719" t="str">
            <v>Code A</v>
          </cell>
        </row>
        <row r="720">
          <cell r="A720" t="str">
            <v>KHF-00-104265-RA-8241-51052-0000-1</v>
          </cell>
          <cell r="B720" t="str">
            <v>KHF_AIP_D_EXT_00537</v>
          </cell>
          <cell r="C720">
            <v>43319</v>
          </cell>
          <cell r="D720" t="str">
            <v>KHF-00-104265-RA-8241-51052-0000</v>
          </cell>
          <cell r="E720" t="str">
            <v>Material Approval Sheet for Vitrified Tiles - Kerastar Series</v>
          </cell>
          <cell r="F720">
            <v>1</v>
          </cell>
          <cell r="G720" t="str">
            <v>Code B</v>
          </cell>
        </row>
        <row r="721">
          <cell r="A721" t="str">
            <v>KHF-00-104265-QA-6050-00110-0000-4</v>
          </cell>
          <cell r="B721" t="str">
            <v>KHF_AIP_D_EXT_00538</v>
          </cell>
          <cell r="C721">
            <v>43320</v>
          </cell>
          <cell r="D721" t="str">
            <v>KHF-00-104265-QA-6050-00110-0000</v>
          </cell>
          <cell r="E721" t="str">
            <v>Quality Control Plan for GRE Pipeline Installation &amp; Testing of Adhesive Bonding</v>
          </cell>
          <cell r="F721">
            <v>4</v>
          </cell>
          <cell r="G721" t="str">
            <v>Code A</v>
          </cell>
        </row>
        <row r="722">
          <cell r="A722" t="str">
            <v>KHF-00-104265-BA-6065-00114-0000-1</v>
          </cell>
          <cell r="B722" t="str">
            <v>KHF_AIP_D_EXT_00539</v>
          </cell>
          <cell r="C722">
            <v>43320</v>
          </cell>
          <cell r="D722" t="str">
            <v>KHF-00-104265-BA-6065-00114-0000</v>
          </cell>
          <cell r="E722" t="str">
            <v>Proposed Welding Procedure Specification Mainline 6 PL-8, 9 &amp; 9A)</v>
          </cell>
          <cell r="F722">
            <v>1</v>
          </cell>
          <cell r="G722" t="str">
            <v>Code B</v>
          </cell>
        </row>
        <row r="723">
          <cell r="A723" t="str">
            <v>KHF-00-104265-BA-6065-50001-0000-2</v>
          </cell>
          <cell r="B723" t="str">
            <v>KHF_AIP_D_EXT_00540</v>
          </cell>
          <cell r="C723">
            <v>43320</v>
          </cell>
          <cell r="D723" t="str">
            <v>KHF-00-104265-BA-6065-50001-0000</v>
          </cell>
          <cell r="E723" t="str">
            <v>PWPS REGISTER - Pipeline Fittings and Branch Connections</v>
          </cell>
          <cell r="F723">
            <v>2</v>
          </cell>
          <cell r="G723" t="str">
            <v>Code B</v>
          </cell>
        </row>
        <row r="724">
          <cell r="A724" t="str">
            <v>KHF-00-104265-BA-6065-50003-0000-2</v>
          </cell>
          <cell r="B724" t="str">
            <v>KHF_AIP_D_EXT_00541</v>
          </cell>
          <cell r="C724">
            <v>43320</v>
          </cell>
          <cell r="D724" t="str">
            <v>KHF-00-104265-BA-6065-50003-0000</v>
          </cell>
          <cell r="E724" t="str">
            <v>PWPS - Pipe to Barred Tee / Flange - Applicable for Pipeline PL8 &amp; PL9</v>
          </cell>
          <cell r="F724">
            <v>2</v>
          </cell>
          <cell r="G724" t="str">
            <v>Code B</v>
          </cell>
        </row>
        <row r="725">
          <cell r="A725" t="str">
            <v>KHF-00-104265-BA-6065-50004-0000-2</v>
          </cell>
          <cell r="B725" t="str">
            <v>KHF_AIP_D_EXT_00541</v>
          </cell>
          <cell r="C725">
            <v>43320</v>
          </cell>
          <cell r="D725" t="str">
            <v>KHF-00-104265-BA-6065-50004-0000</v>
          </cell>
          <cell r="E725" t="str">
            <v>PWPS - Pipe to Barred Tee / Flange - Applicable for Pipeline PL5</v>
          </cell>
          <cell r="F725">
            <v>2</v>
          </cell>
          <cell r="G725" t="str">
            <v>Code B</v>
          </cell>
        </row>
        <row r="726">
          <cell r="A726" t="str">
            <v>KHF-00-104265-BA-6065-50009-0000-2</v>
          </cell>
          <cell r="B726" t="str">
            <v>KHF_AIP_D_EXT_00541</v>
          </cell>
          <cell r="C726">
            <v>43320</v>
          </cell>
          <cell r="D726" t="str">
            <v>KHF-00-104265-BA-6065-50009-0000</v>
          </cell>
          <cell r="E726" t="str">
            <v>PWPS - Repair procedure applicable for PL1, PL2, PL3, PL4, PL5, PL7, PL8, PL9 &amp; PL9A</v>
          </cell>
          <cell r="F726">
            <v>2</v>
          </cell>
          <cell r="G726" t="str">
            <v>Code B</v>
          </cell>
        </row>
        <row r="727">
          <cell r="A727" t="str">
            <v>KHF-00-104265-AA-3341-00109-0000-2</v>
          </cell>
          <cell r="B727" t="str">
            <v>KHF_AIP_D_EXT_00542</v>
          </cell>
          <cell r="C727">
            <v>43324</v>
          </cell>
          <cell r="D727" t="str">
            <v>KHF-00-104265-AA-3341-00109-0000</v>
          </cell>
          <cell r="E727" t="str">
            <v>CV of Mr. S.Govind Prabhu - Hydrotesting Engineer for GRE and CS Pipeline</v>
          </cell>
          <cell r="F727">
            <v>2</v>
          </cell>
          <cell r="G727" t="str">
            <v>Code A</v>
          </cell>
        </row>
        <row r="728">
          <cell r="A728" t="str">
            <v>KHF-00-104265-AA-3341-00117-0000-2</v>
          </cell>
          <cell r="B728" t="str">
            <v>KHF_AIP_D_EXT_00542</v>
          </cell>
          <cell r="C728">
            <v>43324</v>
          </cell>
          <cell r="D728" t="str">
            <v>KHF-00-104265-AA-3341-00117-0000</v>
          </cell>
          <cell r="E728" t="str">
            <v>CV of Mr. Sangeeth- GRE Pipeline Hydro testing Engineer (including 500m initial test)</v>
          </cell>
          <cell r="F728">
            <v>2</v>
          </cell>
          <cell r="G728" t="str">
            <v>Code D</v>
          </cell>
        </row>
        <row r="729">
          <cell r="A729" t="str">
            <v>KHF-00-104265-QA-5733-00601-0000-2</v>
          </cell>
          <cell r="B729" t="str">
            <v>KHF_AIP_D_EXT_00543</v>
          </cell>
          <cell r="C729">
            <v>43324</v>
          </cell>
          <cell r="D729" t="str">
            <v>KHF-00-104265-QA-5733-00601-0000</v>
          </cell>
          <cell r="E729" t="str">
            <v>INSPECTION &amp; TEST PLAN FOR CS &amp; LTCS PIPING FABRICATION (Off Plot / Power Plant)</v>
          </cell>
          <cell r="F729">
            <v>2</v>
          </cell>
          <cell r="G729" t="str">
            <v>Code B</v>
          </cell>
        </row>
        <row r="730">
          <cell r="A730" t="str">
            <v>KHF-00-104265-QA-6050-00106-0000-5</v>
          </cell>
          <cell r="B730" t="str">
            <v>KHF_AIP_D_EXT_00544</v>
          </cell>
          <cell r="C730">
            <v>43324</v>
          </cell>
          <cell r="D730" t="str">
            <v>KHF-00-104265-QA-6050-00106-0000</v>
          </cell>
          <cell r="E730" t="str">
            <v>Quality Control Plan for Installation of CS Pipeline</v>
          </cell>
          <cell r="F730">
            <v>5</v>
          </cell>
          <cell r="G730" t="str">
            <v>Code A</v>
          </cell>
        </row>
        <row r="731">
          <cell r="A731" t="str">
            <v>KHF-00-104265-QA-6050-00109-0000-2</v>
          </cell>
          <cell r="B731" t="str">
            <v>KHF_AIP_D_EXT_00545</v>
          </cell>
          <cell r="C731">
            <v>43327</v>
          </cell>
          <cell r="D731" t="str">
            <v>KHF-00-104265-QA-6050-00109-0000</v>
          </cell>
          <cell r="E731" t="str">
            <v>Quality Control Plan for Application of Stopaq</v>
          </cell>
          <cell r="F731">
            <v>2</v>
          </cell>
          <cell r="G731" t="str">
            <v>Code B</v>
          </cell>
        </row>
        <row r="732">
          <cell r="A732" t="str">
            <v>KHF-00-104265-QA-6180-00122-0000-4</v>
          </cell>
          <cell r="B732" t="str">
            <v>KHF_AIP_D_EXT_00546</v>
          </cell>
          <cell r="C732">
            <v>43324</v>
          </cell>
          <cell r="D732" t="str">
            <v>KHF-00-104265-QA-6180-00122-0000</v>
          </cell>
          <cell r="E732" t="str">
            <v>Quality Control Procedure for Material Handling, Storage &amp; Control</v>
          </cell>
          <cell r="F732">
            <v>4</v>
          </cell>
          <cell r="G732" t="str">
            <v>Code A</v>
          </cell>
        </row>
        <row r="733">
          <cell r="A733" t="str">
            <v>KHF-00-104265-BA-6065-00134-0000-2</v>
          </cell>
          <cell r="B733" t="str">
            <v>KHF_AIP_D_EXT_00547</v>
          </cell>
          <cell r="C733">
            <v>43326</v>
          </cell>
          <cell r="D733" t="str">
            <v>KHF-00-104265-BA-6065-00134-0000</v>
          </cell>
          <cell r="E733" t="str">
            <v>Welding Procedure Specification (Mainline 8 PL-7,8,9 &amp; 9A)</v>
          </cell>
          <cell r="F733">
            <v>2</v>
          </cell>
          <cell r="G733" t="str">
            <v>Code A</v>
          </cell>
        </row>
        <row r="734">
          <cell r="A734" t="str">
            <v>KHF-00-104265-QA-6050-00105-0000-5</v>
          </cell>
          <cell r="B734" t="str">
            <v>KHF_AIP_D_EXT_00548</v>
          </cell>
          <cell r="C734">
            <v>43326</v>
          </cell>
          <cell r="D734" t="str">
            <v>KHF-00-104265-QA-6050-00105-0000</v>
          </cell>
          <cell r="E734" t="str">
            <v>Quality Control Plan for Welding of Pipeline</v>
          </cell>
          <cell r="F734">
            <v>5</v>
          </cell>
          <cell r="G734" t="str">
            <v>Code D</v>
          </cell>
        </row>
        <row r="735">
          <cell r="A735" t="str">
            <v>---</v>
          </cell>
          <cell r="B735" t="str">
            <v>KHF_AIP_D_EXT_00549</v>
          </cell>
          <cell r="C735">
            <v>43326</v>
          </cell>
          <cell r="D735" t="str">
            <v>-</v>
          </cell>
          <cell r="E735" t="str">
            <v>AFC Drawings</v>
          </cell>
          <cell r="F735" t="str">
            <v>-</v>
          </cell>
          <cell r="G735" t="str">
            <v>Total 22 drawings</v>
          </cell>
        </row>
        <row r="736">
          <cell r="A736" t="str">
            <v>KHF-00-104265-RA-8241-51069-0000-1</v>
          </cell>
          <cell r="B736" t="str">
            <v>KHF_AIP_D_EXT_00550</v>
          </cell>
          <cell r="C736">
            <v>43327</v>
          </cell>
          <cell r="D736" t="str">
            <v>KHF-00-104265-RA-8241-51069-0000</v>
          </cell>
          <cell r="E736" t="str">
            <v>Material Approval Sheet for Protection Tape &amp; Warning Tape (Supplier, Zawawi Trading LLC)</v>
          </cell>
          <cell r="F736">
            <v>1</v>
          </cell>
          <cell r="G736" t="str">
            <v>Code D</v>
          </cell>
        </row>
        <row r="737">
          <cell r="A737" t="str">
            <v>KHF-00-104265-QA-6050-00102-0000-4</v>
          </cell>
          <cell r="B737" t="str">
            <v>KHF_AIP_D_EXT_00551</v>
          </cell>
          <cell r="C737">
            <v>43338</v>
          </cell>
          <cell r="D737" t="str">
            <v>KHF-00-104265-QA-6050-00102-0000</v>
          </cell>
          <cell r="E737" t="str">
            <v>Quality Control Plan for Earthworks</v>
          </cell>
          <cell r="F737">
            <v>4</v>
          </cell>
          <cell r="G737" t="str">
            <v>Code D</v>
          </cell>
        </row>
        <row r="738">
          <cell r="A738" t="str">
            <v>KHF-00-104265-QA-6050-00103-0000-3</v>
          </cell>
          <cell r="B738" t="str">
            <v>KHF_AIP_D_EXT_00551</v>
          </cell>
          <cell r="C738">
            <v>43338</v>
          </cell>
          <cell r="D738" t="str">
            <v>KHF-00-104265-QA-6050-00103-0000</v>
          </cell>
          <cell r="E738" t="str">
            <v>Quality Control Plan for Concrete Works</v>
          </cell>
          <cell r="F738">
            <v>3</v>
          </cell>
          <cell r="G738" t="str">
            <v>Code D</v>
          </cell>
        </row>
        <row r="739">
          <cell r="A739" t="str">
            <v>KHF-00-104265-QA-6050-00107-0000-3</v>
          </cell>
          <cell r="B739" t="str">
            <v>KHF_AIP_D_EXT_00551</v>
          </cell>
          <cell r="C739">
            <v>43338</v>
          </cell>
          <cell r="D739" t="str">
            <v>KHF-00-104265-QA-6050-00107-0000</v>
          </cell>
          <cell r="E739" t="str">
            <v>Quality Control Plan for Painting (PCS-01)</v>
          </cell>
          <cell r="F739">
            <v>3</v>
          </cell>
          <cell r="G739" t="str">
            <v>Code D</v>
          </cell>
        </row>
        <row r="740">
          <cell r="A740" t="str">
            <v>KHF-00-104265-RA-8241-51070-0000-1</v>
          </cell>
          <cell r="B740" t="str">
            <v>KHF_AIP_D_EXT_00552</v>
          </cell>
          <cell r="C740">
            <v>43338</v>
          </cell>
          <cell r="D740" t="str">
            <v>KHF-00-104265-RA-8241-51070-0000</v>
          </cell>
          <cell r="E740" t="str">
            <v>Material Approval Sheet for Protection Tape &amp; Warning Tape (Nasma Telecommunications  LLC)</v>
          </cell>
          <cell r="F740">
            <v>1</v>
          </cell>
          <cell r="G740" t="str">
            <v>Code C</v>
          </cell>
        </row>
        <row r="741">
          <cell r="A741" t="str">
            <v>KHF-00-104265-QA-5733-00602-0000-2</v>
          </cell>
          <cell r="B741" t="str">
            <v>KHF_AIP_D_EXT_00553</v>
          </cell>
          <cell r="C741">
            <v>43338</v>
          </cell>
          <cell r="D741" t="str">
            <v>KHF-00-104265-QA-5733-00602-0000</v>
          </cell>
          <cell r="E741" t="str">
            <v>INSPECTION &amp; TEST PLAN FOR SS, SDSS &amp; ALLOY 825 FABRICATION (Off Plot / Power Plant)</v>
          </cell>
          <cell r="F741">
            <v>2</v>
          </cell>
          <cell r="G741" t="str">
            <v>Code A</v>
          </cell>
        </row>
        <row r="742">
          <cell r="A742" t="str">
            <v>KHF-00-104265-BA-6070-00135-0000-2</v>
          </cell>
          <cell r="B742" t="str">
            <v>KHF_AIP_D_EXT_00554</v>
          </cell>
          <cell r="C742">
            <v>43339</v>
          </cell>
          <cell r="D742" t="str">
            <v>KHF-00-104265-BA-6070-00135-0000</v>
          </cell>
          <cell r="E742" t="str">
            <v>Method Statement for  Line Pipe Coating Repair (3LPE &amp; 3LPP)</v>
          </cell>
          <cell r="F742">
            <v>2</v>
          </cell>
          <cell r="G742" t="str">
            <v>Code A</v>
          </cell>
        </row>
        <row r="743">
          <cell r="A743" t="str">
            <v>KHF-00-104265-RA-8241-51075-0000-1</v>
          </cell>
          <cell r="B743" t="str">
            <v>KHF_AIP_D_EXT_00555</v>
          </cell>
          <cell r="C743">
            <v>43339</v>
          </cell>
          <cell r="D743" t="str">
            <v>KHF-00-104265-RA-8241-51075-0000</v>
          </cell>
          <cell r="E743" t="str">
            <v>Material Approval Sheet for Decorative Painting to Building</v>
          </cell>
          <cell r="F743">
            <v>1</v>
          </cell>
          <cell r="G743" t="str">
            <v>Code C</v>
          </cell>
        </row>
        <row r="744">
          <cell r="A744" t="str">
            <v>KHF-00-104265-RA-8241-51076-0000-1</v>
          </cell>
          <cell r="B744" t="str">
            <v>KHF_AIP_D_EXT_00556</v>
          </cell>
          <cell r="C744">
            <v>43339</v>
          </cell>
          <cell r="D744" t="str">
            <v>KHF-00-104265-RA-8241-51076-0000</v>
          </cell>
          <cell r="E744" t="str">
            <v>MATERIAL APPROVAL SHEET FOR EXTERIOR &amp; INTERIOR PAINT</v>
          </cell>
          <cell r="F744">
            <v>1</v>
          </cell>
          <cell r="G744" t="str">
            <v>Code C</v>
          </cell>
        </row>
        <row r="745">
          <cell r="A745" t="str">
            <v>KHF-00-104265-QA-6050-00111-0000-1</v>
          </cell>
          <cell r="B745" t="str">
            <v>KHF_AIP_D_EXT_00557</v>
          </cell>
          <cell r="C745">
            <v>43341</v>
          </cell>
          <cell r="D745" t="str">
            <v>KHF-00-104265-QA-6050-00111-0000</v>
          </cell>
          <cell r="E745" t="str">
            <v>Quality Control Plan for Installation of GRE Pipeline (Threaded)</v>
          </cell>
          <cell r="F745">
            <v>1</v>
          </cell>
          <cell r="G745" t="str">
            <v>Code D</v>
          </cell>
        </row>
        <row r="746">
          <cell r="A746" t="str">
            <v>KHF-00-104265-RA-6038-00607-0000-1</v>
          </cell>
          <cell r="B746" t="str">
            <v>KHF_AIP_D_EXT_00558</v>
          </cell>
          <cell r="C746">
            <v>43341</v>
          </cell>
          <cell r="D746" t="str">
            <v>KHF-00-104265-RA-6038-00607-0000</v>
          </cell>
          <cell r="E746" t="str">
            <v>HARDNESS TEST PROCEDURE</v>
          </cell>
          <cell r="F746">
            <v>1</v>
          </cell>
          <cell r="G746" t="str">
            <v>Code A</v>
          </cell>
        </row>
        <row r="747">
          <cell r="A747" t="str">
            <v>---</v>
          </cell>
          <cell r="B747" t="str">
            <v>KHF_AIP_D_EXT_00559</v>
          </cell>
          <cell r="C747">
            <v>43341</v>
          </cell>
          <cell r="D747" t="str">
            <v>-</v>
          </cell>
          <cell r="E747" t="str">
            <v>AFC Drawings</v>
          </cell>
          <cell r="F747" t="str">
            <v>-</v>
          </cell>
          <cell r="G747" t="str">
            <v>Total 73 drawings</v>
          </cell>
        </row>
        <row r="748">
          <cell r="A748" t="str">
            <v>KHF-00-104265-QA-6050-00105-0000-6</v>
          </cell>
          <cell r="B748" t="str">
            <v>KHF_AIP_D_EXT_00560</v>
          </cell>
          <cell r="C748">
            <v>43341</v>
          </cell>
          <cell r="D748" t="str">
            <v>KHF-00-104265-QA-6050-00105-0000</v>
          </cell>
          <cell r="E748" t="str">
            <v>Quality Control Plan for Welding Class-1 Pipeline</v>
          </cell>
          <cell r="F748">
            <v>6</v>
          </cell>
          <cell r="G748" t="str">
            <v>Code D</v>
          </cell>
        </row>
        <row r="749">
          <cell r="A749" t="str">
            <v>KHF-00-104265-HX-6613-10049-0000-1</v>
          </cell>
          <cell r="B749" t="str">
            <v>KHF_AIP_D_EXT_00561</v>
          </cell>
          <cell r="C749">
            <v>43345</v>
          </cell>
          <cell r="D749" t="str">
            <v>KHF-00-104265-HX-6613-10049-0000</v>
          </cell>
          <cell r="E749" t="str">
            <v>WORK HEMP REGISTER (COMMERCIAL CATERING SERVICES.LLC)</v>
          </cell>
          <cell r="F749">
            <v>1</v>
          </cell>
          <cell r="G749" t="str">
            <v>Code B</v>
          </cell>
        </row>
        <row r="750">
          <cell r="A750" t="str">
            <v>KHF-00-104265-AA-3341-00129-0000-1</v>
          </cell>
          <cell r="B750" t="str">
            <v>KHF_AIP_D_EXT_00562</v>
          </cell>
          <cell r="C750">
            <v>43345</v>
          </cell>
          <cell r="D750" t="str">
            <v>KHF-00-104265-AA-3341-00129-0000</v>
          </cell>
          <cell r="E750" t="str">
            <v>CV of Mr.Aneesh.K.A - HSE Advisor</v>
          </cell>
          <cell r="F750">
            <v>1</v>
          </cell>
          <cell r="G750" t="str">
            <v>Code A</v>
          </cell>
        </row>
        <row r="751">
          <cell r="A751" t="str">
            <v>KHF-00-104265-HX-6180-10012-0000-5</v>
          </cell>
          <cell r="B751" t="str">
            <v>KHF_AIP_D_EXT_00563</v>
          </cell>
          <cell r="C751">
            <v>43345</v>
          </cell>
          <cell r="D751" t="str">
            <v>KHF-00-104265-HX-6180-10012-0000</v>
          </cell>
          <cell r="E751" t="str">
            <v>Permit to Work Procedure (Greenfield)</v>
          </cell>
          <cell r="F751">
            <v>5</v>
          </cell>
          <cell r="G751" t="str">
            <v>Code B</v>
          </cell>
        </row>
        <row r="752">
          <cell r="A752" t="str">
            <v>---</v>
          </cell>
          <cell r="B752" t="str">
            <v>KHF_AIP_D_EXT_00564</v>
          </cell>
          <cell r="C752">
            <v>43345</v>
          </cell>
          <cell r="D752" t="str">
            <v>-</v>
          </cell>
          <cell r="E752" t="str">
            <v>AFC Drawings</v>
          </cell>
          <cell r="F752" t="str">
            <v>-</v>
          </cell>
          <cell r="G752" t="str">
            <v>Total 10 drawings</v>
          </cell>
        </row>
        <row r="753">
          <cell r="A753" t="str">
            <v>KHF-00-104265-AA-3341-60100-0000-1</v>
          </cell>
          <cell r="B753" t="str">
            <v>KHF_AIP_D_EXT_00565</v>
          </cell>
          <cell r="C753">
            <v>43346</v>
          </cell>
          <cell r="D753" t="str">
            <v>KHF-00-104265-AA-3341-60100-0000</v>
          </cell>
          <cell r="E753" t="str">
            <v>CV OF MR. KRISHNA KUMAR. A - PAINTING-COATING INSPECTOR</v>
          </cell>
          <cell r="F753">
            <v>1</v>
          </cell>
          <cell r="G753" t="str">
            <v>Code B</v>
          </cell>
        </row>
        <row r="754">
          <cell r="A754" t="str">
            <v>KHF-00-104265-BA-6070-00143-0000-1</v>
          </cell>
          <cell r="B754" t="str">
            <v>KHF_AIP_D_EXT_00566</v>
          </cell>
          <cell r="C754">
            <v>43347</v>
          </cell>
          <cell r="D754" t="str">
            <v>KHF-00-104265-BA-6070-00143-0000</v>
          </cell>
          <cell r="E754" t="str">
            <v>Method Statement for Tie-In of GRE Pipeline (Adhesive Bonding)</v>
          </cell>
          <cell r="F754">
            <v>1</v>
          </cell>
          <cell r="G754" t="str">
            <v>Code D</v>
          </cell>
        </row>
        <row r="755">
          <cell r="A755" t="str">
            <v>KHF-00-104265-BA-6070-41007-0000-1</v>
          </cell>
          <cell r="B755" t="str">
            <v>KHF_AIP_D_EXT_00567</v>
          </cell>
          <cell r="C755">
            <v>43348</v>
          </cell>
          <cell r="D755" t="str">
            <v>KHF-00-104265-BA-6070-41007-0000</v>
          </cell>
          <cell r="E755" t="str">
            <v>Method Statement for Block Work</v>
          </cell>
          <cell r="F755">
            <v>1</v>
          </cell>
          <cell r="G755" t="str">
            <v>Code B</v>
          </cell>
        </row>
        <row r="756">
          <cell r="A756" t="str">
            <v>KHF-00-104265-RA-8241-51079-0000-1</v>
          </cell>
          <cell r="B756" t="str">
            <v>KHF_AIP_D_EXT_00568</v>
          </cell>
          <cell r="C756">
            <v>43348</v>
          </cell>
          <cell r="D756" t="str">
            <v>KHF-00-104265-RA-8241-51079-0000</v>
          </cell>
          <cell r="E756" t="str">
            <v>MATERIAL APPROVAL SHEET FOR EARTHING MATERIAL (KSE ELECTRICAL PVT. LTD.)</v>
          </cell>
          <cell r="F756">
            <v>1</v>
          </cell>
          <cell r="G756" t="str">
            <v>Code A</v>
          </cell>
        </row>
        <row r="757">
          <cell r="A757" t="str">
            <v>---</v>
          </cell>
          <cell r="B757" t="str">
            <v>KHF_AIP_D_EXT_00569</v>
          </cell>
          <cell r="C757">
            <v>43349</v>
          </cell>
          <cell r="D757" t="str">
            <v>-</v>
          </cell>
          <cell r="E757" t="str">
            <v>AFC Drawings</v>
          </cell>
          <cell r="F757" t="str">
            <v>-</v>
          </cell>
          <cell r="G757" t="str">
            <v>Total 50 drawings</v>
          </cell>
        </row>
        <row r="758">
          <cell r="A758" t="str">
            <v>KHF-00-PDFEED-AA-6402-00505-0000-1</v>
          </cell>
          <cell r="B758" t="str">
            <v>KHF_AIP_D_EXT_00570</v>
          </cell>
          <cell r="C758">
            <v>43349</v>
          </cell>
          <cell r="D758" t="str">
            <v>KHF-00-PDFEED-AA-6402-00505-0000</v>
          </cell>
          <cell r="E758" t="str">
            <v>FEED - Change Request (Internal) Flawless Project Delivery Hours Re-allocation</v>
          </cell>
          <cell r="F758">
            <v>1</v>
          </cell>
          <cell r="G758" t="str">
            <v>IFI</v>
          </cell>
        </row>
        <row r="759">
          <cell r="A759" t="str">
            <v>---</v>
          </cell>
          <cell r="B759" t="str">
            <v>KHF_AIP_D_EXT_00571</v>
          </cell>
          <cell r="C759">
            <v>43349</v>
          </cell>
          <cell r="D759" t="str">
            <v>-</v>
          </cell>
          <cell r="E759" t="str">
            <v>AFC Drawings</v>
          </cell>
          <cell r="F759" t="str">
            <v>-</v>
          </cell>
          <cell r="G759" t="str">
            <v>Total 52 drawings</v>
          </cell>
        </row>
        <row r="760">
          <cell r="A760" t="str">
            <v>KHF-00-104265-RA-8241-51071-0000-1</v>
          </cell>
          <cell r="B760" t="str">
            <v>KHF_AIP_D_EXT_00572</v>
          </cell>
          <cell r="C760">
            <v>43352</v>
          </cell>
          <cell r="D760" t="str">
            <v>KHF-00-104265-RA-8241-51071-0000</v>
          </cell>
          <cell r="E760" t="str">
            <v>MATERIAL APPROVAL SHEET FOR CS PIPE SLEEVES</v>
          </cell>
          <cell r="F760">
            <v>1</v>
          </cell>
          <cell r="G760" t="str">
            <v>Code A</v>
          </cell>
        </row>
        <row r="761">
          <cell r="A761" t="str">
            <v>KHF-00-104265-RA-8241-51073-0000-1</v>
          </cell>
          <cell r="B761" t="str">
            <v>KHF_AIP_D_EXT_00572</v>
          </cell>
          <cell r="C761">
            <v>43352</v>
          </cell>
          <cell r="D761" t="str">
            <v>KHF-00-104265-RA-8241-51073-0000</v>
          </cell>
          <cell r="E761" t="str">
            <v>MATERIAL APPROVAL SHEET FOR WADI STONES 75-100 MM</v>
          </cell>
          <cell r="F761">
            <v>1</v>
          </cell>
          <cell r="G761" t="str">
            <v>Code A</v>
          </cell>
        </row>
        <row r="762">
          <cell r="A762" t="str">
            <v>KHF-00-104265-RA-8241-51077-0000-1</v>
          </cell>
          <cell r="B762" t="str">
            <v>KHF_AIP_D_EXT_00573</v>
          </cell>
          <cell r="C762">
            <v>43352</v>
          </cell>
          <cell r="D762" t="str">
            <v>KHF-00-104265-RA-8241-51077-0000</v>
          </cell>
          <cell r="E762" t="str">
            <v>MATERIAL APPROVAL SHEET FOR CEMENT (OPC)</v>
          </cell>
          <cell r="F762">
            <v>1</v>
          </cell>
          <cell r="G762" t="str">
            <v>Code D</v>
          </cell>
        </row>
        <row r="763">
          <cell r="A763" t="str">
            <v>---</v>
          </cell>
          <cell r="B763" t="str">
            <v>KHF_AIP_D_EXT_00574</v>
          </cell>
          <cell r="C763">
            <v>43352</v>
          </cell>
          <cell r="D763" t="str">
            <v>-</v>
          </cell>
          <cell r="E763" t="str">
            <v>AFC Drawings</v>
          </cell>
          <cell r="F763" t="str">
            <v>-</v>
          </cell>
          <cell r="G763" t="str">
            <v>Total 02 drawings</v>
          </cell>
        </row>
        <row r="764">
          <cell r="A764" t="str">
            <v>KHF-00-104265-QA-5798-10009-0000-4</v>
          </cell>
          <cell r="B764" t="str">
            <v>KHF_AIP_D_EXT_00575</v>
          </cell>
          <cell r="C764">
            <v>43353</v>
          </cell>
          <cell r="D764" t="str">
            <v>KHF-00-104265-QA-5798-10009-0000</v>
          </cell>
          <cell r="E764" t="str">
            <v>Contract Quality Plan</v>
          </cell>
          <cell r="F764">
            <v>4</v>
          </cell>
          <cell r="G764" t="str">
            <v>Code B</v>
          </cell>
        </row>
        <row r="765">
          <cell r="A765" t="str">
            <v>KHF-00-104265-BA-6070-43009-0000-1</v>
          </cell>
          <cell r="B765" t="str">
            <v>KHF_AIP_D_EXT_00576</v>
          </cell>
          <cell r="C765">
            <v>43355</v>
          </cell>
          <cell r="D765" t="str">
            <v>KHF-00-104265-BA-6070-43009-0000</v>
          </cell>
          <cell r="E765" t="str">
            <v>METHOD STATEMENT SKIDDING &amp; JACKING OF 2 x 110 MVA TRANSFORMERS</v>
          </cell>
          <cell r="F765">
            <v>1</v>
          </cell>
          <cell r="G765" t="str">
            <v>Code B</v>
          </cell>
        </row>
        <row r="766">
          <cell r="A766" t="str">
            <v>---</v>
          </cell>
          <cell r="B766" t="str">
            <v>KHF_AIP_D_EXT_00577</v>
          </cell>
          <cell r="C766">
            <v>43355</v>
          </cell>
          <cell r="D766" t="str">
            <v>-</v>
          </cell>
          <cell r="E766" t="str">
            <v>AFC Drawings</v>
          </cell>
          <cell r="F766" t="str">
            <v>-</v>
          </cell>
          <cell r="G766" t="str">
            <v>Total 64 drawings</v>
          </cell>
        </row>
        <row r="767">
          <cell r="A767" t="str">
            <v>KHF-00-104265-AA-3341-60096-0000-1</v>
          </cell>
          <cell r="B767" t="str">
            <v>KHF_AIP_D_EXT_00578</v>
          </cell>
          <cell r="C767">
            <v>43355</v>
          </cell>
          <cell r="D767" t="str">
            <v>KHF-00-104265-AA-3341-60096-0000</v>
          </cell>
          <cell r="E767" t="str">
            <v>CV OF MR. RADHAKRISHNAN.K.K.E - LEAD INSTRUMENT ENGINEER</v>
          </cell>
          <cell r="F767">
            <v>1</v>
          </cell>
          <cell r="G767" t="str">
            <v>Code A</v>
          </cell>
        </row>
        <row r="768">
          <cell r="A768" t="str">
            <v>KHF-00-104265-CX-4180-00701-0001-1</v>
          </cell>
          <cell r="B768" t="str">
            <v>KHF_AIP_D_EXT_00579</v>
          </cell>
          <cell r="C768">
            <v>43355</v>
          </cell>
          <cell r="D768" t="str">
            <v>KHF-00-104265-CX-4180-00701-0001</v>
          </cell>
          <cell r="E768" t="str">
            <v>Shop Drawing Architectural - D6B - GTG Substation and Control Building</v>
          </cell>
          <cell r="F768">
            <v>1</v>
          </cell>
          <cell r="G768" t="str">
            <v>Code C</v>
          </cell>
        </row>
        <row r="769">
          <cell r="A769" t="str">
            <v>KHF-00-104265-CX-4180-00702-0001-1</v>
          </cell>
          <cell r="B769" t="str">
            <v>KHF_AIP_D_EXT_00579</v>
          </cell>
          <cell r="C769">
            <v>43355</v>
          </cell>
          <cell r="D769" t="str">
            <v>KHF-00-104265-CX-4180-00702-0001</v>
          </cell>
          <cell r="E769" t="str">
            <v>Shop Drawing Architectural - D6A - GTG Substation and Control Building</v>
          </cell>
          <cell r="F769">
            <v>1</v>
          </cell>
          <cell r="G769" t="str">
            <v>Code C</v>
          </cell>
        </row>
        <row r="770">
          <cell r="A770" t="str">
            <v>KHF-00-104265-CX-4180-00703-0001-1</v>
          </cell>
          <cell r="B770" t="str">
            <v>KHF_AIP_D_EXT_00579</v>
          </cell>
          <cell r="C770">
            <v>43355</v>
          </cell>
          <cell r="D770" t="str">
            <v>KHF-00-104265-CX-4180-00703-0001</v>
          </cell>
          <cell r="E770" t="str">
            <v>Shop Drawing Architectural - D5 - GTG Substation and Control Building</v>
          </cell>
          <cell r="F770">
            <v>1</v>
          </cell>
          <cell r="G770" t="str">
            <v>Code C</v>
          </cell>
        </row>
        <row r="771">
          <cell r="A771" t="str">
            <v>KHF-00-104265-CX-4180-00704-0001-1</v>
          </cell>
          <cell r="B771" t="str">
            <v>KHF_AIP_D_EXT_00579</v>
          </cell>
          <cell r="C771">
            <v>43355</v>
          </cell>
          <cell r="D771" t="str">
            <v>KHF-00-104265-CX-4180-00704-0001</v>
          </cell>
          <cell r="E771" t="str">
            <v>Shop Drawing Architectural - D4C - GTG Substation and Control Building</v>
          </cell>
          <cell r="F771">
            <v>1</v>
          </cell>
          <cell r="G771" t="str">
            <v>Code C</v>
          </cell>
        </row>
        <row r="772">
          <cell r="A772" t="str">
            <v>KHF-00-104265-CX-4180-00705-0001-1</v>
          </cell>
          <cell r="B772" t="str">
            <v>KHF_AIP_D_EXT_00579</v>
          </cell>
          <cell r="C772">
            <v>43355</v>
          </cell>
          <cell r="D772" t="str">
            <v>KHF-00-104265-CX-4180-00705-0001</v>
          </cell>
          <cell r="E772" t="str">
            <v>Shop Drawing Architectural - D4B - GTG Substation and Control Building</v>
          </cell>
          <cell r="F772">
            <v>1</v>
          </cell>
          <cell r="G772" t="str">
            <v>Code C</v>
          </cell>
        </row>
        <row r="773">
          <cell r="A773" t="str">
            <v>KHF-00-104265-CX-4180-00706-0001-1</v>
          </cell>
          <cell r="B773" t="str">
            <v>KHF_AIP_D_EXT_00579</v>
          </cell>
          <cell r="C773">
            <v>43355</v>
          </cell>
          <cell r="D773" t="str">
            <v>KHF-00-104265-CX-4180-00706-0001</v>
          </cell>
          <cell r="E773" t="str">
            <v>Shop Drawing Architectural - D4A - GTG Substation and Control Building</v>
          </cell>
          <cell r="F773">
            <v>1</v>
          </cell>
          <cell r="G773" t="str">
            <v>Code C</v>
          </cell>
        </row>
        <row r="774">
          <cell r="A774" t="str">
            <v>KHF-00-104265-CX-4180-00707-0001-1</v>
          </cell>
          <cell r="B774" t="str">
            <v>KHF_AIP_D_EXT_00579</v>
          </cell>
          <cell r="C774">
            <v>43355</v>
          </cell>
          <cell r="D774" t="str">
            <v>KHF-00-104265-CX-4180-00707-0001</v>
          </cell>
          <cell r="E774" t="str">
            <v>Shop Drawing Architectural - D3B - GTG Substation and Control Building</v>
          </cell>
          <cell r="F774">
            <v>1</v>
          </cell>
          <cell r="G774" t="str">
            <v>Code C</v>
          </cell>
        </row>
        <row r="775">
          <cell r="A775" t="str">
            <v>KHF-00-104265-CX-4180-00708-0001-1</v>
          </cell>
          <cell r="B775" t="str">
            <v>KHF_AIP_D_EXT_00579</v>
          </cell>
          <cell r="C775">
            <v>43355</v>
          </cell>
          <cell r="D775" t="str">
            <v>KHF-00-104265-CX-4180-00708-0001</v>
          </cell>
          <cell r="E775" t="str">
            <v>Shop Drawing Architectural - D3A - GTG Substation and Control Building</v>
          </cell>
          <cell r="F775">
            <v>1</v>
          </cell>
          <cell r="G775" t="str">
            <v>Code C</v>
          </cell>
        </row>
        <row r="776">
          <cell r="A776" t="str">
            <v>KHF-00-104265-CX-4180-00709-0001-1</v>
          </cell>
          <cell r="B776" t="str">
            <v>KHF_AIP_D_EXT_00579</v>
          </cell>
          <cell r="C776">
            <v>43355</v>
          </cell>
          <cell r="D776" t="str">
            <v>KHF-00-104265-CX-4180-00709-0001</v>
          </cell>
          <cell r="E776" t="str">
            <v>Shop Drawing Architectural - D2A - 132KV GIS Substation</v>
          </cell>
          <cell r="F776">
            <v>1</v>
          </cell>
          <cell r="G776" t="str">
            <v>Code C</v>
          </cell>
        </row>
        <row r="777">
          <cell r="A777" t="str">
            <v>KHF-00-104265-CX-4180-00710-0001-1</v>
          </cell>
          <cell r="B777" t="str">
            <v>KHF_AIP_D_EXT_00579</v>
          </cell>
          <cell r="C777">
            <v>43355</v>
          </cell>
          <cell r="D777" t="str">
            <v>KHF-00-104265-CX-4180-00710-0001</v>
          </cell>
          <cell r="E777" t="str">
            <v>Shop Drawing Architectural - D2B - GTG Substation and Control Building</v>
          </cell>
          <cell r="F777">
            <v>1</v>
          </cell>
          <cell r="G777" t="str">
            <v>Code C</v>
          </cell>
        </row>
        <row r="778">
          <cell r="A778" t="str">
            <v>KHF-00-104265-CX-4180-00711-0001-1</v>
          </cell>
          <cell r="B778" t="str">
            <v>KHF_AIP_D_EXT_00579</v>
          </cell>
          <cell r="C778">
            <v>43355</v>
          </cell>
          <cell r="D778" t="str">
            <v>KHF-00-104265-CX-4180-00711-0001</v>
          </cell>
          <cell r="E778" t="str">
            <v>Shop Drawing Architectural - D4 - 132KV GIS Substation</v>
          </cell>
          <cell r="F778">
            <v>1</v>
          </cell>
          <cell r="G778" t="str">
            <v>Code C</v>
          </cell>
        </row>
        <row r="779">
          <cell r="A779" t="str">
            <v>KHF-00-104265-CX-4180-00712-0001-1</v>
          </cell>
          <cell r="B779" t="str">
            <v>KHF_AIP_D_EXT_00579</v>
          </cell>
          <cell r="C779">
            <v>43355</v>
          </cell>
          <cell r="D779" t="str">
            <v>KHF-00-104265-CX-4180-00712-0001</v>
          </cell>
          <cell r="E779" t="str">
            <v>Shop Drawing Architectural - D2A - GTG Substation and Control Building</v>
          </cell>
          <cell r="F779">
            <v>1</v>
          </cell>
          <cell r="G779" t="str">
            <v>Code C</v>
          </cell>
        </row>
        <row r="780">
          <cell r="A780" t="str">
            <v>KHF-00-104265-CX-4180-00713-0001-1</v>
          </cell>
          <cell r="B780" t="str">
            <v>KHF_AIP_D_EXT_00579</v>
          </cell>
          <cell r="C780">
            <v>43355</v>
          </cell>
          <cell r="D780" t="str">
            <v>KHF-00-104265-CX-4180-00713-0001</v>
          </cell>
          <cell r="E780" t="str">
            <v>Shop Drawing Architectural - D1 - GTG Substation and Control Building</v>
          </cell>
          <cell r="F780">
            <v>1</v>
          </cell>
          <cell r="G780" t="str">
            <v>Code C</v>
          </cell>
        </row>
        <row r="781">
          <cell r="A781" t="str">
            <v>KHF-00-104265-CX-4180-00714-0001-1</v>
          </cell>
          <cell r="B781" t="str">
            <v>KHF_AIP_D_EXT_00579</v>
          </cell>
          <cell r="C781">
            <v>43355</v>
          </cell>
          <cell r="D781" t="str">
            <v>KHF-00-104265-CX-4180-00714-0001</v>
          </cell>
          <cell r="E781" t="str">
            <v>Shop Drawing Architectural - D2A - 132KV GIS Substation</v>
          </cell>
          <cell r="F781">
            <v>1</v>
          </cell>
          <cell r="G781" t="str">
            <v>Code C</v>
          </cell>
        </row>
        <row r="782">
          <cell r="A782" t="str">
            <v>KHF-00-104265-BA-6065-00623-0000-1</v>
          </cell>
          <cell r="B782" t="str">
            <v>KHF_AIP_D_EXT_00580</v>
          </cell>
          <cell r="C782">
            <v>43356</v>
          </cell>
          <cell r="D782" t="str">
            <v>KHF-00-104265-BA-6065-00623-0000</v>
          </cell>
          <cell r="E782" t="str">
            <v>WELDING PROCEDURE SPECIFICATION (WPS) / PQR- 023 (AI-WPS-M-551FW)</v>
          </cell>
          <cell r="F782">
            <v>1</v>
          </cell>
          <cell r="G782" t="str">
            <v>Code A</v>
          </cell>
        </row>
        <row r="783">
          <cell r="A783" t="str">
            <v>KHF-00-104265-BA-6065-00624-0000-1</v>
          </cell>
          <cell r="B783" t="str">
            <v>KHF_AIP_D_EXT_00580</v>
          </cell>
          <cell r="C783">
            <v>43356</v>
          </cell>
          <cell r="D783" t="str">
            <v>KHF-00-104265-BA-6065-00624-0000</v>
          </cell>
          <cell r="E783" t="str">
            <v>WELDING PROCEDURE SPECIFICATION (WPS) / PQR- 024 (AI-WPS-T-065FW)</v>
          </cell>
          <cell r="F783">
            <v>1</v>
          </cell>
          <cell r="G783" t="str">
            <v>Code A</v>
          </cell>
        </row>
        <row r="784">
          <cell r="A784" t="str">
            <v>KHF-00-104265-BA-6065-00625-0000-1</v>
          </cell>
          <cell r="B784" t="str">
            <v>KHF_AIP_D_EXT_00580</v>
          </cell>
          <cell r="C784">
            <v>43356</v>
          </cell>
          <cell r="D784" t="str">
            <v>KHF-00-104265-BA-6065-00625-0000</v>
          </cell>
          <cell r="E784" t="str">
            <v>WELDING PROCEDURE SPECIFICATION (WPS) / PQR- 025 (AI-WPS-M-196FW)</v>
          </cell>
          <cell r="F784">
            <v>1</v>
          </cell>
          <cell r="G784" t="str">
            <v>Code A</v>
          </cell>
        </row>
        <row r="785">
          <cell r="A785" t="str">
            <v>KHF-00-104265-BA-6065-00631-0000-1</v>
          </cell>
          <cell r="B785" t="str">
            <v>KHF_AIP_D_EXT_00580</v>
          </cell>
          <cell r="C785">
            <v>43356</v>
          </cell>
          <cell r="D785" t="str">
            <v>KHF-00-104265-BA-6065-00631-0000</v>
          </cell>
          <cell r="E785" t="str">
            <v>WELDING PROCEDURE SPECIFICATION (WPS) / PQR- 031 (AI-WPS-T-381FW)</v>
          </cell>
          <cell r="F785">
            <v>1</v>
          </cell>
          <cell r="G785" t="str">
            <v>Code A</v>
          </cell>
        </row>
        <row r="786">
          <cell r="A786" t="str">
            <v>KHF-00-104265-BA-6065-00632-0000-1</v>
          </cell>
          <cell r="B786" t="str">
            <v>KHF_AIP_D_EXT_00580</v>
          </cell>
          <cell r="C786">
            <v>43356</v>
          </cell>
          <cell r="D786" t="str">
            <v>KHF-00-104265-BA-6065-00632-0000</v>
          </cell>
          <cell r="E786" t="str">
            <v>WELDING PROCEDURE SPECIFICATION (WPS) / PQR- 032 (AI-WPS-M-508FW)</v>
          </cell>
          <cell r="F786">
            <v>1</v>
          </cell>
          <cell r="G786" t="str">
            <v>Code A</v>
          </cell>
        </row>
        <row r="787">
          <cell r="A787" t="str">
            <v>KHF-00-104265-BA-6065-00617-0000-1</v>
          </cell>
          <cell r="B787" t="str">
            <v>KHF_AIP_D_EXT_00581</v>
          </cell>
          <cell r="C787">
            <v>43356</v>
          </cell>
          <cell r="D787" t="str">
            <v>KHF-00-104265-BA-6065-00617-0000</v>
          </cell>
          <cell r="E787" t="str">
            <v>WELDING PROCEDURE SPECIFICATION WPS-PQR-017-AI-WPS-T-622FW</v>
          </cell>
          <cell r="F787">
            <v>1</v>
          </cell>
          <cell r="G787" t="str">
            <v>Code A</v>
          </cell>
        </row>
        <row r="788">
          <cell r="A788" t="str">
            <v>KHF-00-104265-BA-6065-00618-0000-1</v>
          </cell>
          <cell r="B788" t="str">
            <v>KHF_AIP_D_EXT_00581</v>
          </cell>
          <cell r="C788">
            <v>43356</v>
          </cell>
          <cell r="D788" t="str">
            <v>KHF-00-104265-BA-6065-00618-0000</v>
          </cell>
          <cell r="E788" t="str">
            <v>WELDING PROCEDURE SPECIFICATION WPS-PQR-018-AI-WPS-TM-549FW</v>
          </cell>
          <cell r="F788">
            <v>1</v>
          </cell>
          <cell r="G788" t="str">
            <v>Code A</v>
          </cell>
        </row>
        <row r="789">
          <cell r="A789" t="str">
            <v>KHF-00-104265-BA-6065-00619-0000-1</v>
          </cell>
          <cell r="B789" t="str">
            <v>KHF_AIP_D_EXT_00581</v>
          </cell>
          <cell r="C789">
            <v>43356</v>
          </cell>
          <cell r="D789" t="str">
            <v>KHF-00-104265-BA-6065-00619-0000</v>
          </cell>
          <cell r="E789" t="str">
            <v>WELDING PROCEDURE SPECIFICATION WPS-PQR-019-AI-WPS-T-618FW</v>
          </cell>
          <cell r="F789">
            <v>1</v>
          </cell>
          <cell r="G789" t="str">
            <v>Code A</v>
          </cell>
        </row>
        <row r="790">
          <cell r="A790" t="str">
            <v>KHF-00-104265-BA-6065-00620-0000-1</v>
          </cell>
          <cell r="B790" t="str">
            <v>KHF_AIP_D_EXT_00581</v>
          </cell>
          <cell r="C790">
            <v>43356</v>
          </cell>
          <cell r="D790" t="str">
            <v>KHF-00-104265-BA-6065-00620-0000</v>
          </cell>
          <cell r="E790" t="str">
            <v>WELDING PROCEDURE SPECIFICATION WPS-PQR-020-AI-WPS-TM-625FW</v>
          </cell>
          <cell r="F790">
            <v>1</v>
          </cell>
          <cell r="G790" t="str">
            <v>Code A</v>
          </cell>
        </row>
        <row r="791">
          <cell r="A791" t="str">
            <v>KHF-00-104265-BA-6065-00622-0000-1</v>
          </cell>
          <cell r="B791" t="str">
            <v>KHF_AIP_D_EXT_00581</v>
          </cell>
          <cell r="C791">
            <v>43356</v>
          </cell>
          <cell r="D791" t="str">
            <v>KHF-00-104265-BA-6065-00622-0000</v>
          </cell>
          <cell r="E791" t="str">
            <v>WELDING PROCEDURE SPECIFICATION WPS-PQR-022-AI-WPS-T-468FW</v>
          </cell>
          <cell r="F791">
            <v>1</v>
          </cell>
          <cell r="G791" t="str">
            <v>Code A</v>
          </cell>
        </row>
        <row r="792">
          <cell r="A792" t="str">
            <v>KHF-00-104265-BA-6065-00145-0000-1</v>
          </cell>
          <cell r="B792" t="str">
            <v>KHF_AIP_D_EXT_00582</v>
          </cell>
          <cell r="C792">
            <v>43356</v>
          </cell>
          <cell r="D792" t="str">
            <v>KHF-00-104265-BA-6065-00145-0000</v>
          </cell>
          <cell r="E792" t="str">
            <v>Welding Procedure Specification CP Cleat Welding 16 PL 5</v>
          </cell>
          <cell r="F792">
            <v>1</v>
          </cell>
          <cell r="G792" t="str">
            <v>Code A</v>
          </cell>
        </row>
        <row r="793">
          <cell r="A793" t="str">
            <v>KHF-00-104265-BA-6065-00146-0000-1</v>
          </cell>
          <cell r="B793" t="str">
            <v>KHF_AIP_D_EXT_00582</v>
          </cell>
          <cell r="C793">
            <v>43356</v>
          </cell>
          <cell r="D793" t="str">
            <v>KHF-00-104265-BA-6065-00146-0000</v>
          </cell>
          <cell r="E793" t="str">
            <v>Welding Procedure Specification CP Cleat Welding PL 1-4,7,8,9 &amp; 9A</v>
          </cell>
          <cell r="F793">
            <v>1</v>
          </cell>
          <cell r="G793" t="str">
            <v>Code A</v>
          </cell>
        </row>
        <row r="794">
          <cell r="A794" t="str">
            <v>KHF-00-104265-AA-3341-00128-0000-1</v>
          </cell>
          <cell r="B794" t="str">
            <v>KHF_AIP_D_EXT_00583</v>
          </cell>
          <cell r="C794">
            <v>43356</v>
          </cell>
          <cell r="D794" t="str">
            <v>KHF-00-104265-AA-3341-00128-0000</v>
          </cell>
          <cell r="E794" t="str">
            <v>CV of Sithik Baig - GRE Supervisor (FGS System)</v>
          </cell>
          <cell r="F794">
            <v>1</v>
          </cell>
          <cell r="G794" t="str">
            <v>Code B</v>
          </cell>
        </row>
        <row r="795">
          <cell r="A795" t="str">
            <v>KHF-00-104265-AA-3341-60102-0000-1</v>
          </cell>
          <cell r="B795" t="str">
            <v>KHF_AIP_D_EXT_00584</v>
          </cell>
          <cell r="C795">
            <v>43356</v>
          </cell>
          <cell r="D795" t="str">
            <v>KHF-00-104265-AA-3341-60102-0000</v>
          </cell>
          <cell r="E795" t="str">
            <v>CV OF MR. PRASATH. V - QC INSPECTOR - GRE &amp; COATING</v>
          </cell>
          <cell r="F795">
            <v>1</v>
          </cell>
          <cell r="G795" t="str">
            <v>Code D</v>
          </cell>
        </row>
        <row r="796">
          <cell r="A796" t="str">
            <v>KHF-00-104265-BA-6070-43002-0000-1</v>
          </cell>
          <cell r="B796" t="str">
            <v>KHF_AIP_D_EXT_00585</v>
          </cell>
          <cell r="C796">
            <v>43359</v>
          </cell>
          <cell r="D796" t="str">
            <v>KHF-00-104265-BA-6070-43002-0000</v>
          </cell>
          <cell r="E796" t="str">
            <v>METHOD STATEMENT FOR INSTALLATION &amp; TESTING OF LV/HV SWITCHGEAR, PANELS</v>
          </cell>
          <cell r="F796">
            <v>1</v>
          </cell>
          <cell r="G796" t="str">
            <v>Code A</v>
          </cell>
        </row>
        <row r="797">
          <cell r="A797" t="str">
            <v>KHF-00-104265-BA-6070-43003-0000-1</v>
          </cell>
          <cell r="B797" t="str">
            <v>KHF_AIP_D_EXT_00585</v>
          </cell>
          <cell r="C797">
            <v>43359</v>
          </cell>
          <cell r="D797" t="str">
            <v>KHF-00-104265-BA-6070-43003-0000</v>
          </cell>
          <cell r="E797" t="str">
            <v>METHOD STATEMENT FOR ERECTION OF HV TRANSFORMERS</v>
          </cell>
          <cell r="F797">
            <v>1</v>
          </cell>
          <cell r="G797" t="str">
            <v>Code B</v>
          </cell>
        </row>
        <row r="798">
          <cell r="A798" t="str">
            <v>KHF-00-104265-LA-5009-00105-0000-1</v>
          </cell>
          <cell r="B798" t="str">
            <v>KHF_AIP_D_EXT_00586</v>
          </cell>
          <cell r="C798">
            <v>43359</v>
          </cell>
          <cell r="D798" t="str">
            <v>KHF-00-104265-LA-5009-00105-0000</v>
          </cell>
          <cell r="E798" t="str">
            <v>Material Approval Sheet - Protective coating for Concrete Surfaces  (Master seal 550)</v>
          </cell>
          <cell r="F798">
            <v>1</v>
          </cell>
          <cell r="G798" t="str">
            <v>Code D</v>
          </cell>
        </row>
        <row r="799">
          <cell r="A799" t="str">
            <v>KHF-00-104265-QA-5733-24004-0000-1</v>
          </cell>
          <cell r="B799" t="str">
            <v>KHF_AIP_D_EXT_00587</v>
          </cell>
          <cell r="C799">
            <v>43359</v>
          </cell>
          <cell r="D799" t="str">
            <v>KHF-00-104265-QA-5733-24004-0000</v>
          </cell>
          <cell r="E799" t="str">
            <v>INSPECTION AND TEST PLAN FOR INSTALLATION AND TESTING OF IMPLUSE AND AIRLINE TUBING</v>
          </cell>
          <cell r="F799">
            <v>1</v>
          </cell>
          <cell r="G799" t="str">
            <v>Code C</v>
          </cell>
        </row>
        <row r="800">
          <cell r="A800" t="str">
            <v>KHF-00-104265-QA-5733-24005-0000-1</v>
          </cell>
          <cell r="B800" t="str">
            <v>KHF_AIP_D_EXT_00587</v>
          </cell>
          <cell r="C800">
            <v>43359</v>
          </cell>
          <cell r="D800" t="str">
            <v>KHF-00-104265-QA-5733-24005-0000</v>
          </cell>
          <cell r="E800" t="str">
            <v>INSPECTION AND TEST PLAN FOR INSTALLATION OF FIRE &amp; GAS INSTRUMENTS</v>
          </cell>
          <cell r="F800">
            <v>1</v>
          </cell>
          <cell r="G800" t="str">
            <v>Code C</v>
          </cell>
        </row>
        <row r="801">
          <cell r="A801" t="str">
            <v>KHF-00-104265-QA-6050-00608-0000-1</v>
          </cell>
          <cell r="B801" t="str">
            <v>KHF_AIP_D_EXT_00588</v>
          </cell>
          <cell r="C801">
            <v>43359</v>
          </cell>
          <cell r="D801" t="str">
            <v>KHF-00-104265-QA-6050-00608-0000</v>
          </cell>
          <cell r="E801" t="str">
            <v>Weld Repair Procedure For CS-LTCS Piping Spools</v>
          </cell>
          <cell r="F801">
            <v>1</v>
          </cell>
          <cell r="G801" t="str">
            <v>Code B</v>
          </cell>
        </row>
        <row r="802">
          <cell r="A802" t="str">
            <v>KHF-00-104265-QA-6050-00609-0000-1</v>
          </cell>
          <cell r="B802" t="str">
            <v>KHF_AIP_D_EXT_00588</v>
          </cell>
          <cell r="C802">
            <v>43359</v>
          </cell>
          <cell r="D802" t="str">
            <v>KHF-00-104265-QA-6050-00609-0000</v>
          </cell>
          <cell r="E802" t="str">
            <v>Procedure for Carry Out and Maintenance of Preheat TemperatureFor CS-LTCS Piping Spools</v>
          </cell>
          <cell r="F802">
            <v>1</v>
          </cell>
          <cell r="G802" t="str">
            <v>Code B</v>
          </cell>
        </row>
        <row r="803">
          <cell r="A803" t="str">
            <v>KHF-00-104265-QA-6050-00610-0000-1</v>
          </cell>
          <cell r="B803" t="str">
            <v>KHF_AIP_D_EXT_00588</v>
          </cell>
          <cell r="C803">
            <v>43359</v>
          </cell>
          <cell r="D803" t="str">
            <v>KHF-00-104265-QA-6050-00610-0000</v>
          </cell>
          <cell r="E803" t="str">
            <v>Welding Consumables Storage &amp; handling Procedure For CS-LTCS Piping Spools</v>
          </cell>
          <cell r="F803">
            <v>1</v>
          </cell>
          <cell r="G803" t="str">
            <v>Code B</v>
          </cell>
        </row>
        <row r="804">
          <cell r="A804" t="str">
            <v>KHF-00-104265-RA-8241-51059-0000-1</v>
          </cell>
          <cell r="B804" t="str">
            <v>KHF_AIP_D_EXT_00589</v>
          </cell>
          <cell r="C804">
            <v>43359</v>
          </cell>
          <cell r="D804" t="str">
            <v>KHF-00-104265-RA-8241-51059-0000</v>
          </cell>
          <cell r="E804" t="str">
            <v>MATERIAL APPROVAL SHEET FOR HILTI MECHANICAL ANCHORS -HST3, HSA &amp; HSV</v>
          </cell>
          <cell r="F804">
            <v>1</v>
          </cell>
          <cell r="G804" t="str">
            <v>Code A</v>
          </cell>
        </row>
        <row r="805">
          <cell r="A805" t="str">
            <v>KHF-00-104265-RA-8241-51060-0000-1</v>
          </cell>
          <cell r="B805" t="str">
            <v>KHF_AIP_D_EXT_00590</v>
          </cell>
          <cell r="C805">
            <v>43359</v>
          </cell>
          <cell r="D805" t="str">
            <v>KHF-00-104265-RA-8241-51060-0000</v>
          </cell>
          <cell r="E805" t="str">
            <v>MATERIAL APPROVAL SHEET FOR ROLLING SHUTTER</v>
          </cell>
          <cell r="F805">
            <v>1</v>
          </cell>
          <cell r="G805" t="str">
            <v>Code B</v>
          </cell>
        </row>
        <row r="806">
          <cell r="A806" t="str">
            <v>KHF-00-104265-RA-8241-51061-0000-1</v>
          </cell>
          <cell r="B806" t="str">
            <v>KHF_AIP_D_EXT_00591</v>
          </cell>
          <cell r="C806">
            <v>43359</v>
          </cell>
          <cell r="D806" t="str">
            <v>KHF-00-104265-RA-8241-51061-0000</v>
          </cell>
          <cell r="E806" t="str">
            <v>MATERIAL APPROVAL SHEET PLASTERING ACCESSORIES - GALVANISED</v>
          </cell>
          <cell r="F806">
            <v>1</v>
          </cell>
          <cell r="G806" t="str">
            <v>Code A</v>
          </cell>
        </row>
        <row r="807">
          <cell r="A807" t="str">
            <v>KHF-00-104265-RA-8241-51064-0000-1</v>
          </cell>
          <cell r="B807" t="str">
            <v>KHF_AIP_D_EXT_00592</v>
          </cell>
          <cell r="C807">
            <v>43359</v>
          </cell>
          <cell r="D807" t="str">
            <v>KHF-00-104265-RA-8241-51064-0000</v>
          </cell>
          <cell r="E807" t="str">
            <v>MATERIAL APPROVAL SHEET FOR TILES</v>
          </cell>
          <cell r="F807">
            <v>1</v>
          </cell>
          <cell r="G807" t="str">
            <v>Code D</v>
          </cell>
        </row>
        <row r="808">
          <cell r="A808" t="str">
            <v>KHF-00-104265-RA-8241-51065-0000-1</v>
          </cell>
          <cell r="B808" t="str">
            <v>KHF_AIP_D_EXT_00593</v>
          </cell>
          <cell r="C808">
            <v>43359</v>
          </cell>
          <cell r="D808" t="str">
            <v>KHF-00-104265-RA-8241-51065-0000</v>
          </cell>
          <cell r="E808" t="str">
            <v>Material Approval Sheet for Roof Concrete Tile</v>
          </cell>
          <cell r="F808">
            <v>1</v>
          </cell>
          <cell r="G808" t="str">
            <v>Code D</v>
          </cell>
        </row>
        <row r="809">
          <cell r="A809" t="str">
            <v>KHF-00-104265-RA-8241-51066-0000-1</v>
          </cell>
          <cell r="B809" t="str">
            <v>KHF_AIP_D_EXT_00594</v>
          </cell>
          <cell r="C809">
            <v>43359</v>
          </cell>
          <cell r="D809" t="str">
            <v>KHF-00-104265-RA-8241-51066-0000</v>
          </cell>
          <cell r="E809" t="str">
            <v>MATERIAL APPROVAL SHEET FOR FOUNDATION GROUT</v>
          </cell>
          <cell r="F809">
            <v>1</v>
          </cell>
          <cell r="G809" t="str">
            <v>Code D</v>
          </cell>
        </row>
        <row r="810">
          <cell r="A810" t="str">
            <v>KHF-00-104265-RA-8241-51067-0000-1</v>
          </cell>
          <cell r="B810" t="str">
            <v>KHF_AIP_D_EXT_00594</v>
          </cell>
          <cell r="C810">
            <v>43359</v>
          </cell>
          <cell r="D810" t="str">
            <v>KHF-00-104265-RA-8241-51067-0000</v>
          </cell>
          <cell r="E810" t="str">
            <v>MATERIAL APPROVAL SHEET FOR PRE MIX PLASTER</v>
          </cell>
          <cell r="F810">
            <v>1</v>
          </cell>
          <cell r="G810" t="str">
            <v>Code C</v>
          </cell>
        </row>
        <row r="811">
          <cell r="A811" t="str">
            <v>KHF-00-104265-RA-8241-51068-0000-1</v>
          </cell>
          <cell r="B811" t="str">
            <v>KHF_AIP_D_EXT_00595</v>
          </cell>
          <cell r="C811">
            <v>43359</v>
          </cell>
          <cell r="D811" t="str">
            <v>KHF-00-104265-RA-8241-51068-0000</v>
          </cell>
          <cell r="E811" t="str">
            <v>Material Approval Sheet for Foundation Grouting Material</v>
          </cell>
          <cell r="F811">
            <v>1</v>
          </cell>
          <cell r="G811" t="str">
            <v>Code B</v>
          </cell>
        </row>
        <row r="812">
          <cell r="A812" t="str">
            <v>KHF-00-104265-RA-8241-51082-0000-1</v>
          </cell>
          <cell r="B812" t="str">
            <v>KHF_AIP_D_EXT_00596</v>
          </cell>
          <cell r="C812">
            <v>43359</v>
          </cell>
          <cell r="D812" t="str">
            <v>KHF-00-104265-RA-8241-51082-0000</v>
          </cell>
          <cell r="E812" t="str">
            <v>Material Approval Sheet for Aggregates</v>
          </cell>
          <cell r="F812">
            <v>1</v>
          </cell>
          <cell r="G812" t="str">
            <v>Code C</v>
          </cell>
        </row>
        <row r="813">
          <cell r="A813" t="str">
            <v>KHF-00-104265-RA-8241-51087-0000-1</v>
          </cell>
          <cell r="B813" t="str">
            <v>KHF_AIP_D_EXT_00597</v>
          </cell>
          <cell r="C813">
            <v>43359</v>
          </cell>
          <cell r="D813" t="str">
            <v>KHF-00-104265-RA-8241-51087-0000</v>
          </cell>
          <cell r="E813" t="str">
            <v>MATERIAL APPROVAL SHEET FOR ROOF CONCRETE TILES</v>
          </cell>
          <cell r="F813">
            <v>1</v>
          </cell>
          <cell r="G813" t="str">
            <v>Code B</v>
          </cell>
        </row>
        <row r="814">
          <cell r="A814" t="str">
            <v>KHF-00-104265-RA-8241-51091-0000-1</v>
          </cell>
          <cell r="B814" t="str">
            <v>KHF_AIP_D_EXT_00598</v>
          </cell>
          <cell r="C814">
            <v>43359</v>
          </cell>
          <cell r="D814" t="str">
            <v>KHF-00-104265-RA-8241-51091-0000</v>
          </cell>
          <cell r="E814" t="str">
            <v>MATERIAL APPROVAL SHEET FOR CEMENT (OPC)</v>
          </cell>
          <cell r="F814">
            <v>1</v>
          </cell>
          <cell r="G814" t="str">
            <v>Code A</v>
          </cell>
        </row>
        <row r="815">
          <cell r="A815" t="str">
            <v>KHF-00-104265-RA-8241-51094-0000-1</v>
          </cell>
          <cell r="B815" t="str">
            <v>KHF_AIP_D_EXT_00599</v>
          </cell>
          <cell r="C815">
            <v>43359</v>
          </cell>
          <cell r="D815" t="str">
            <v>KHF-00-104265-RA-8241-51094-0000</v>
          </cell>
          <cell r="E815" t="str">
            <v>MATERIAL APPROVAL SHEET FOR LIGHT WEIGHT CONCRETE</v>
          </cell>
          <cell r="F815">
            <v>1</v>
          </cell>
          <cell r="G815" t="str">
            <v>Code B</v>
          </cell>
        </row>
        <row r="816">
          <cell r="A816" t="str">
            <v>KHF-00-104265-RA-8241-51062-0000-1</v>
          </cell>
          <cell r="B816" t="str">
            <v>KHF_AIP_D_EXT_00600</v>
          </cell>
          <cell r="C816">
            <v>43359</v>
          </cell>
          <cell r="D816" t="str">
            <v>KHF-00-104265-RA-8241-51062-0000</v>
          </cell>
          <cell r="E816" t="str">
            <v>MATERIAL APPROVAL FOR MASTERTILE 707 EPOXY GROUT AND ADHESIVE FOR FLOOR &amp; WALLS TILES</v>
          </cell>
          <cell r="F816">
            <v>1</v>
          </cell>
          <cell r="G816" t="str">
            <v>Code C</v>
          </cell>
        </row>
        <row r="817">
          <cell r="A817" t="str">
            <v>KHF-00-104265-RA-8241-51063-0000-1</v>
          </cell>
          <cell r="B817" t="str">
            <v>KHF_AIP_D_EXT_00600</v>
          </cell>
          <cell r="C817">
            <v>43359</v>
          </cell>
          <cell r="D817" t="str">
            <v>KHF-00-104265-RA-8241-51063-0000</v>
          </cell>
          <cell r="E817" t="str">
            <v>MATERIAL APPROVAL FOR CHEMICAL RESISTANT EPOXY TILE ADHESIVE / GROUT</v>
          </cell>
          <cell r="F817">
            <v>1</v>
          </cell>
          <cell r="G817" t="str">
            <v>Code C</v>
          </cell>
        </row>
        <row r="818">
          <cell r="A818" t="str">
            <v>KHF-00-104265-CX-4180-00309-0001-4</v>
          </cell>
          <cell r="B818" t="str">
            <v>KHF_AIP_D_EXT_00601</v>
          </cell>
          <cell r="C818">
            <v>43360</v>
          </cell>
          <cell r="D818" t="str">
            <v>KHF-00-104265-CX-4180-00309-0001</v>
          </cell>
          <cell r="E818" t="str">
            <v>Site Office Layout</v>
          </cell>
          <cell r="F818">
            <v>4</v>
          </cell>
          <cell r="G818" t="str">
            <v>Code B</v>
          </cell>
        </row>
        <row r="819">
          <cell r="A819" t="str">
            <v>KHF-00-104265-BA-6070-43004-0000-1</v>
          </cell>
          <cell r="B819" t="str">
            <v>KHF_AIP_D_EXT_00602</v>
          </cell>
          <cell r="C819">
            <v>43360</v>
          </cell>
          <cell r="D819" t="str">
            <v>KHF-00-104265-BA-6070-43004-0000</v>
          </cell>
          <cell r="E819" t="str">
            <v>METHOD STATEMENT FOR INSTALLATION &amp; TESTING OF LIGHTING SYSTEM</v>
          </cell>
          <cell r="F819">
            <v>1</v>
          </cell>
          <cell r="G819" t="str">
            <v>Code A</v>
          </cell>
        </row>
        <row r="820">
          <cell r="A820" t="str">
            <v>KHF-00-104265-BA-6070-43005-0000-1</v>
          </cell>
          <cell r="B820" t="str">
            <v>KHF_AIP_D_EXT_00602</v>
          </cell>
          <cell r="C820">
            <v>43360</v>
          </cell>
          <cell r="D820" t="str">
            <v>KHF-00-104265-BA-6070-43005-0000</v>
          </cell>
          <cell r="E820" t="str">
            <v>METHOD STATEMENT FOR INSTALLATION OF CABLE TRAY</v>
          </cell>
          <cell r="F820">
            <v>1</v>
          </cell>
          <cell r="G820" t="str">
            <v>Code A</v>
          </cell>
        </row>
        <row r="821">
          <cell r="A821" t="str">
            <v>KHF-00-104265-BA-6070-43006-0000-1</v>
          </cell>
          <cell r="B821" t="str">
            <v>KHF_AIP_D_EXT_00602</v>
          </cell>
          <cell r="C821">
            <v>43360</v>
          </cell>
          <cell r="D821" t="str">
            <v>KHF-00-104265-BA-6070-43006-0000</v>
          </cell>
          <cell r="E821" t="str">
            <v>METHOD STATEMENT FOR INSTALLATION OF EARTHING SYSTEM</v>
          </cell>
          <cell r="F821">
            <v>1</v>
          </cell>
          <cell r="G821" t="str">
            <v>Code A</v>
          </cell>
        </row>
        <row r="822">
          <cell r="A822" t="str">
            <v>KHF-00-104265-BA-6070-43007-0000-1</v>
          </cell>
          <cell r="B822" t="str">
            <v>KHF_AIP_D_EXT_00602</v>
          </cell>
          <cell r="C822">
            <v>43360</v>
          </cell>
          <cell r="D822" t="str">
            <v>KHF-00-104265-BA-6070-43007-0000</v>
          </cell>
          <cell r="E822" t="str">
            <v>METHOD STATEMENT FOR LAYING &amp; TERMINATION OF LV/HV Cables &amp; EARTH CABLE</v>
          </cell>
          <cell r="F822">
            <v>1</v>
          </cell>
          <cell r="G822" t="str">
            <v>Code A</v>
          </cell>
        </row>
        <row r="823">
          <cell r="A823" t="str">
            <v>KHF-00-104265-BA-6070-43008-0000-1</v>
          </cell>
          <cell r="B823" t="str">
            <v>KHF_AIP_D_EXT_00602</v>
          </cell>
          <cell r="C823">
            <v>43360</v>
          </cell>
          <cell r="D823" t="str">
            <v>KHF-00-104265-BA-6070-43008-0000</v>
          </cell>
          <cell r="E823" t="str">
            <v>METHOD STATEMENT FOR UPS INSTALLATION &amp; TESTING</v>
          </cell>
          <cell r="F823">
            <v>1</v>
          </cell>
          <cell r="G823" t="str">
            <v>Code A</v>
          </cell>
        </row>
        <row r="824">
          <cell r="A824" t="str">
            <v>KHF-00-104265-RA-8241-51078-0000-1</v>
          </cell>
          <cell r="B824" t="str">
            <v>KHF_AIP_D_EXT_00603</v>
          </cell>
          <cell r="C824">
            <v>43360</v>
          </cell>
          <cell r="D824" t="str">
            <v>KHF-00-104265-RA-8241-51078-0000</v>
          </cell>
          <cell r="E824" t="str">
            <v>Material Approval Sheet for Earthing Material</v>
          </cell>
          <cell r="F824">
            <v>1</v>
          </cell>
          <cell r="G824" t="str">
            <v>Code B</v>
          </cell>
        </row>
        <row r="825">
          <cell r="A825" t="str">
            <v>KHF-00-104265-RA-8241-51083-0000-1</v>
          </cell>
          <cell r="B825" t="str">
            <v>KHF_AIP_D_EXT_00604</v>
          </cell>
          <cell r="C825">
            <v>43360</v>
          </cell>
          <cell r="D825" t="str">
            <v>KHF-00-104265-RA-8241-51083-0000</v>
          </cell>
          <cell r="E825" t="str">
            <v>MATERIAL APPROVAL SHEET FOR OFF PLOT FLOW LINES AREA AND RMS AT YIBAL KHUFF PROJECT</v>
          </cell>
          <cell r="F825">
            <v>1</v>
          </cell>
          <cell r="G825" t="str">
            <v>Code A</v>
          </cell>
        </row>
        <row r="826">
          <cell r="A826" t="str">
            <v>KHF-00-104265-RA-8241-51081-0000-1</v>
          </cell>
          <cell r="B826" t="str">
            <v>KHF_AIP_D_EXT_00605</v>
          </cell>
          <cell r="C826">
            <v>43360</v>
          </cell>
          <cell r="D826" t="str">
            <v>KHF-00-104265-RA-8241-51081-0000</v>
          </cell>
          <cell r="E826" t="str">
            <v>MATERIAL APPROVAL SHEET FOR EARTHING MATERIAL (NUHAS OMAN LLC)</v>
          </cell>
          <cell r="F826">
            <v>1</v>
          </cell>
          <cell r="G826" t="str">
            <v>Code A</v>
          </cell>
        </row>
        <row r="827">
          <cell r="A827" t="str">
            <v>KHF-00-104265-VA-6180-10050-0000-1</v>
          </cell>
          <cell r="B827" t="str">
            <v>KHF_AIP_D_EXT_00606</v>
          </cell>
          <cell r="C827">
            <v>43360</v>
          </cell>
          <cell r="D827" t="str">
            <v>KHF-00-104265-VA-6180-10050-0000</v>
          </cell>
          <cell r="E827" t="str">
            <v>VENDOR MOBILISATION PLAN</v>
          </cell>
          <cell r="F827">
            <v>1</v>
          </cell>
          <cell r="G827" t="str">
            <v>Code D</v>
          </cell>
        </row>
        <row r="828">
          <cell r="A828" t="str">
            <v>KHF-00-104265-QA-6050-00105-0000-7</v>
          </cell>
          <cell r="B828" t="str">
            <v>KHF_AIP_D_EXT_00607</v>
          </cell>
          <cell r="C828">
            <v>43360</v>
          </cell>
          <cell r="D828" t="str">
            <v>KHF-00-104265-QA-6050-00105-0000</v>
          </cell>
          <cell r="E828" t="str">
            <v>Quality Control Plan for Welding - Class 1 Pipelines</v>
          </cell>
          <cell r="F828">
            <v>7</v>
          </cell>
          <cell r="G828" t="str">
            <v>Code B</v>
          </cell>
        </row>
        <row r="829">
          <cell r="A829" t="str">
            <v>KHF-00-104265-CX-4180-10005-0001-8</v>
          </cell>
          <cell r="B829" t="str">
            <v>KHF_AIP_D_EXT_00608</v>
          </cell>
          <cell r="C829">
            <v>43360</v>
          </cell>
          <cell r="D829" t="str">
            <v>KHF-00-104265-CX-4180-10005-0001</v>
          </cell>
          <cell r="E829" t="str">
            <v>Site Camp Layout</v>
          </cell>
          <cell r="F829">
            <v>8</v>
          </cell>
          <cell r="G829" t="str">
            <v>Code D</v>
          </cell>
        </row>
        <row r="830">
          <cell r="A830" t="str">
            <v>KHF-00-104265-MP-6180-00133-0000-3</v>
          </cell>
          <cell r="B830" t="str">
            <v>KHF_AIP_D_EXT_00609</v>
          </cell>
          <cell r="C830">
            <v>43360</v>
          </cell>
          <cell r="D830" t="str">
            <v>KHF-00-104265-MP-6180-00133-0000</v>
          </cell>
          <cell r="E830" t="str">
            <v>Method Statement for Coating with Hempadur 85531 (PCS 02A)</v>
          </cell>
          <cell r="F830">
            <v>3</v>
          </cell>
          <cell r="G830" t="str">
            <v>Code A</v>
          </cell>
        </row>
        <row r="831">
          <cell r="A831" t="str">
            <v>KHF-00-104265-QA-6050-00111-0000-2</v>
          </cell>
          <cell r="B831" t="str">
            <v>KHF_AIP_D_EXT_00610</v>
          </cell>
          <cell r="C831">
            <v>43360</v>
          </cell>
          <cell r="D831" t="str">
            <v>KHF-00-104265-QA-6050-00111-0000</v>
          </cell>
          <cell r="E831" t="str">
            <v>Quality Control Plan for Installation of GRE Pipeline (Threaded)</v>
          </cell>
          <cell r="F831">
            <v>2</v>
          </cell>
          <cell r="G831" t="str">
            <v>Code A</v>
          </cell>
        </row>
        <row r="832">
          <cell r="A832" t="str">
            <v>KHF-00-104265-QA-6050-00601-0000-2</v>
          </cell>
          <cell r="B832" t="str">
            <v>KHF_AIP_D_EXT_00611</v>
          </cell>
          <cell r="C832">
            <v>43360</v>
          </cell>
          <cell r="D832" t="str">
            <v>KHF-00-104265-QA-6050-00601-0000</v>
          </cell>
          <cell r="E832" t="str">
            <v>EXTERNAL SURFACE PREPARATION AND PAINTING PROCEDURE</v>
          </cell>
          <cell r="F832">
            <v>2</v>
          </cell>
          <cell r="G832" t="str">
            <v>Code A</v>
          </cell>
        </row>
        <row r="833">
          <cell r="A833" t="str">
            <v>KHF-00-104265-BA-6070-43010-0000-1</v>
          </cell>
          <cell r="B833" t="str">
            <v>KHF_AIP_D_EXT_00612</v>
          </cell>
          <cell r="C833">
            <v>43361</v>
          </cell>
          <cell r="D833" t="str">
            <v>KHF-00-104265-BA-6070-43010-0000</v>
          </cell>
          <cell r="E833" t="str">
            <v>METHOD STATEMENT SKIDDING &amp; JACKING/ MECHANICAL PROTECTION OF 50/63 MVA, 11/134.5KV GTG STEP UP TRANSFORMERG-23001-TX</v>
          </cell>
          <cell r="F833">
            <v>1</v>
          </cell>
          <cell r="G833" t="str">
            <v>Code D</v>
          </cell>
        </row>
        <row r="834">
          <cell r="A834" t="str">
            <v>KHF-00-104265-QA-5733-23008-0000-1</v>
          </cell>
          <cell r="B834" t="str">
            <v>KHF_AIP_D_EXT_00613</v>
          </cell>
          <cell r="C834">
            <v>43361</v>
          </cell>
          <cell r="D834" t="str">
            <v>KHF-00-104265-QA-5733-23008-0000</v>
          </cell>
          <cell r="E834" t="str">
            <v>INSPECTION AND TEST PLAN FOR LIGHTING &amp; SMALL POWER WORKS</v>
          </cell>
          <cell r="F834">
            <v>1</v>
          </cell>
          <cell r="G834" t="str">
            <v>Code B</v>
          </cell>
        </row>
        <row r="835">
          <cell r="A835" t="str">
            <v>KHF-00-104265-QA-6050-00108-0000-3</v>
          </cell>
          <cell r="B835" t="str">
            <v>KHF_AIP_D_EXT_00614</v>
          </cell>
          <cell r="C835">
            <v>43361</v>
          </cell>
          <cell r="D835" t="str">
            <v>KHF-00-104265-QA-6050-00108-0000</v>
          </cell>
          <cell r="E835" t="str">
            <v>Quality Control Plan for Coating (PCS 2A)</v>
          </cell>
          <cell r="F835">
            <v>3</v>
          </cell>
          <cell r="G835" t="str">
            <v>Code A</v>
          </cell>
        </row>
        <row r="836">
          <cell r="A836" t="str">
            <v>KHF-00-104265-AA-3341-00107-0000-2</v>
          </cell>
          <cell r="B836" t="str">
            <v>KHF_AIP_D_EXT_00615</v>
          </cell>
          <cell r="C836">
            <v>43362</v>
          </cell>
          <cell r="D836" t="str">
            <v>KHF-00-104265-AA-3341-00107-0000</v>
          </cell>
          <cell r="E836" t="str">
            <v>CV OF MR. JOBY ANTONY - WELDING INSPECTOR</v>
          </cell>
          <cell r="F836">
            <v>2</v>
          </cell>
          <cell r="G836" t="str">
            <v>Code C</v>
          </cell>
        </row>
        <row r="837">
          <cell r="A837" t="str">
            <v>KHF-00-104265-AA-3341-00124-0000-2</v>
          </cell>
          <cell r="B837" t="str">
            <v>KHF_AIP_D_EXT_00615</v>
          </cell>
          <cell r="C837">
            <v>43362</v>
          </cell>
          <cell r="D837" t="str">
            <v>KHF-00-104265-AA-3341-00124-0000</v>
          </cell>
          <cell r="E837" t="str">
            <v>CV OF MR. HARISH RAJENDRAN - WELDING INSPECTOR</v>
          </cell>
          <cell r="F837">
            <v>2</v>
          </cell>
          <cell r="G837" t="str">
            <v>Code C</v>
          </cell>
        </row>
        <row r="838">
          <cell r="A838" t="str">
            <v>KHF-00-104265-AA-3341-00130-0000-2</v>
          </cell>
          <cell r="B838" t="str">
            <v>KHF_AIP_D_EXT_00615</v>
          </cell>
          <cell r="C838">
            <v>43362</v>
          </cell>
          <cell r="D838" t="str">
            <v>KHF-00-104265-AA-3341-00130-0000</v>
          </cell>
          <cell r="E838" t="str">
            <v>CV OF MR. ROBIN K GEORGE - WELDING INSPECTOR</v>
          </cell>
          <cell r="F838">
            <v>2</v>
          </cell>
          <cell r="G838" t="str">
            <v>Code C</v>
          </cell>
        </row>
        <row r="839">
          <cell r="A839" t="str">
            <v>KHF-00-104265-AA-3341-00132-0000-1</v>
          </cell>
          <cell r="B839" t="str">
            <v>KHF_AIP_D_EXT_00616</v>
          </cell>
          <cell r="C839">
            <v>43362</v>
          </cell>
          <cell r="D839" t="str">
            <v>KHF-00-104265-AA-3341-00132-0000</v>
          </cell>
          <cell r="E839" t="str">
            <v>CV OF MR.RAJARAM NAGA MANTHA - WELDING INSPECTOR PIPELINE</v>
          </cell>
          <cell r="F839">
            <v>1</v>
          </cell>
          <cell r="G839" t="str">
            <v>Code C</v>
          </cell>
        </row>
        <row r="840">
          <cell r="A840" t="str">
            <v>KHF-00-104265-AA-3341-60077-0000-2</v>
          </cell>
          <cell r="B840" t="str">
            <v>KHF_AIP_D_EXT_00617</v>
          </cell>
          <cell r="C840">
            <v>43362</v>
          </cell>
          <cell r="D840" t="str">
            <v>KHF-00-104265-AA-3341-60077-0000</v>
          </cell>
          <cell r="E840" t="str">
            <v>CV of Mr. Dixon P Davis - Welding Inspector Pipeline</v>
          </cell>
          <cell r="F840">
            <v>2</v>
          </cell>
          <cell r="G840" t="str">
            <v>Code A</v>
          </cell>
        </row>
        <row r="841">
          <cell r="A841" t="str">
            <v>KHF-00-104265-AA-3341-60098-0000-1</v>
          </cell>
          <cell r="B841" t="str">
            <v>KHF_AIP_D_EXT_00618</v>
          </cell>
          <cell r="C841">
            <v>43362</v>
          </cell>
          <cell r="D841" t="str">
            <v>KHF-00-104265-AA-3341-60098-0000</v>
          </cell>
          <cell r="E841" t="str">
            <v>CV OF MR.KUNDAN SINGH - WELDING INSPECTOR</v>
          </cell>
          <cell r="F841">
            <v>1</v>
          </cell>
          <cell r="G841" t="str">
            <v>Code B</v>
          </cell>
        </row>
        <row r="842">
          <cell r="A842" t="str">
            <v>KHF-00-104265-AA-3341-60099-0000-1</v>
          </cell>
          <cell r="B842" t="str">
            <v>KHF_AIP_D_EXT_00619</v>
          </cell>
          <cell r="C842">
            <v>43362</v>
          </cell>
          <cell r="D842" t="str">
            <v>KHF-00-104265-AA-3341-60099-0000</v>
          </cell>
          <cell r="E842" t="str">
            <v>CV OF MR. K. MOHAN KUMAR - PIPELINE WELDING INSPECTOR</v>
          </cell>
          <cell r="F842">
            <v>1</v>
          </cell>
          <cell r="G842" t="str">
            <v>Code A</v>
          </cell>
        </row>
        <row r="843">
          <cell r="A843" t="str">
            <v>KHF-00-104265-RA-8241-51072-0000-1</v>
          </cell>
          <cell r="B843" t="str">
            <v>KHF_AIP_D_EXT_00620</v>
          </cell>
          <cell r="C843">
            <v>43362</v>
          </cell>
          <cell r="D843" t="str">
            <v>KHF-00-104265-RA-8241-51072-0000</v>
          </cell>
          <cell r="E843" t="str">
            <v>MATERIAL APPROVAL SHEET FOR CS PIPE SLEEVES</v>
          </cell>
          <cell r="F843">
            <v>1</v>
          </cell>
          <cell r="G843" t="str">
            <v>Code D</v>
          </cell>
        </row>
        <row r="844">
          <cell r="A844" t="str">
            <v>KHF-00-104265-BA-6070-00104-0000-2</v>
          </cell>
          <cell r="B844" t="str">
            <v>KHF_AIP_D_EXT_00621</v>
          </cell>
          <cell r="C844">
            <v>43362</v>
          </cell>
          <cell r="D844" t="str">
            <v>KHF-00-104265-BA-6070-00104-0000</v>
          </cell>
          <cell r="E844" t="str">
            <v>METHOD STATEMENT FOR WELDING (OFFPLOT)</v>
          </cell>
          <cell r="F844">
            <v>2</v>
          </cell>
          <cell r="G844" t="str">
            <v>Code A</v>
          </cell>
        </row>
        <row r="845">
          <cell r="A845" t="str">
            <v>KHF-00-104265-QA-6050-00602-0000-2</v>
          </cell>
          <cell r="B845" t="str">
            <v>KHF_AIP_D_EXT_00622</v>
          </cell>
          <cell r="C845">
            <v>43362</v>
          </cell>
          <cell r="D845" t="str">
            <v>KHF-00-104265-QA-6050-00602-0000</v>
          </cell>
          <cell r="E845" t="str">
            <v>POSITIVE MATERIAL IDENTIFICATION PROCEDURE</v>
          </cell>
          <cell r="F845">
            <v>2</v>
          </cell>
          <cell r="G845" t="str">
            <v>Code A</v>
          </cell>
        </row>
        <row r="846">
          <cell r="A846" t="str">
            <v>---</v>
          </cell>
          <cell r="B846" t="str">
            <v>KHF_AIP_D_EXT_00623</v>
          </cell>
          <cell r="C846">
            <v>43362</v>
          </cell>
          <cell r="D846" t="str">
            <v>-</v>
          </cell>
          <cell r="E846" t="str">
            <v>AFC Drawings</v>
          </cell>
          <cell r="F846" t="str">
            <v>-</v>
          </cell>
          <cell r="G846" t="str">
            <v>Total 62 drawings</v>
          </cell>
        </row>
        <row r="847">
          <cell r="A847" t="str">
            <v>KHF-00-104265-BA-6070-42002-0000-1</v>
          </cell>
          <cell r="B847" t="str">
            <v>KHF_AIP_D_EXT_00624</v>
          </cell>
          <cell r="C847">
            <v>43363</v>
          </cell>
          <cell r="D847" t="str">
            <v>KHF-00-104265-BA-6070-42002-0000</v>
          </cell>
          <cell r="E847" t="str">
            <v>METHOD STATEMENT FOR RECTIFICATION OF GALVANISING COATNG OF GIS TRANSFORMER INSERT / EMBEDDED PLATE</v>
          </cell>
          <cell r="F847">
            <v>1</v>
          </cell>
          <cell r="G847" t="str">
            <v>Code C</v>
          </cell>
        </row>
        <row r="848">
          <cell r="A848" t="str">
            <v>KHF-00-104265-BA-6070-42003-0000-1</v>
          </cell>
          <cell r="B848" t="str">
            <v>KHF_AIP_D_EXT_00624</v>
          </cell>
          <cell r="C848">
            <v>43363</v>
          </cell>
          <cell r="D848" t="str">
            <v>KHF-00-104265-BA-6070-42003-0000</v>
          </cell>
          <cell r="E848" t="str">
            <v>METHOD STATEMENT FOR INSERT PLATE / EMBEDED PLATE ELEVATION, LEVELLING RECTIFICATION.</v>
          </cell>
          <cell r="F848">
            <v>1</v>
          </cell>
          <cell r="G848" t="str">
            <v>Code C</v>
          </cell>
        </row>
        <row r="849">
          <cell r="A849" t="str">
            <v>KHF-00-104265-BA-6065-00699-0000-2</v>
          </cell>
          <cell r="B849" t="str">
            <v>KHF_AIP_D_EXT_00625</v>
          </cell>
          <cell r="C849">
            <v>43363</v>
          </cell>
          <cell r="D849" t="str">
            <v>KHF-00-104265-BA-6065-00699-0000</v>
          </cell>
          <cell r="E849" t="str">
            <v>WPS Register</v>
          </cell>
          <cell r="F849">
            <v>2</v>
          </cell>
          <cell r="G849" t="str">
            <v>Code B</v>
          </cell>
        </row>
        <row r="850">
          <cell r="A850" t="str">
            <v>KHF-00-104265-BA-6065-00101-0000-3</v>
          </cell>
          <cell r="B850" t="str">
            <v>KHF_AIP_D_EXT_00626</v>
          </cell>
          <cell r="C850">
            <v>43363</v>
          </cell>
          <cell r="D850" t="str">
            <v>KHF-00-104265-BA-6065-00101-0000</v>
          </cell>
          <cell r="E850" t="str">
            <v>Welding Procedure Specification Register</v>
          </cell>
          <cell r="F850">
            <v>3</v>
          </cell>
          <cell r="G850" t="str">
            <v>Code B</v>
          </cell>
        </row>
        <row r="851">
          <cell r="A851" t="str">
            <v>KHF-00-104265-QA-5733-23006-0000-1</v>
          </cell>
          <cell r="B851" t="str">
            <v>KHF_AIP_D_EXT_00627</v>
          </cell>
          <cell r="C851">
            <v>43363</v>
          </cell>
          <cell r="D851" t="str">
            <v>KHF-00-104265-QA-5733-23006-0000</v>
          </cell>
          <cell r="E851" t="str">
            <v>Inspection &amp; Test Plan for UPS Installation &amp; Testing</v>
          </cell>
          <cell r="F851">
            <v>1</v>
          </cell>
          <cell r="G851" t="str">
            <v>Code A</v>
          </cell>
        </row>
        <row r="852">
          <cell r="A852" t="str">
            <v>KHF-00-104265-QA-5733-24008-0000-1</v>
          </cell>
          <cell r="B852" t="str">
            <v>KHF_AIP_D_EXT_00628</v>
          </cell>
          <cell r="C852">
            <v>43363</v>
          </cell>
          <cell r="D852" t="str">
            <v>KHF-00-104265-QA-5733-24008-0000</v>
          </cell>
          <cell r="E852" t="str">
            <v>Inspection &amp; Test Plan for Fiber Optic Cable (FOC) Installation &amp; Testing</v>
          </cell>
          <cell r="F852">
            <v>1</v>
          </cell>
          <cell r="G852" t="str">
            <v>Code A</v>
          </cell>
        </row>
        <row r="853">
          <cell r="A853" t="str">
            <v>KHF-00-104265-AA-3341-60043-0000-2</v>
          </cell>
          <cell r="B853" t="str">
            <v>KHF_AIP_D_EXT_00629</v>
          </cell>
          <cell r="C853">
            <v>43366</v>
          </cell>
          <cell r="D853" t="str">
            <v>KHF-00-104265-AA-3341-60043-0000</v>
          </cell>
          <cell r="E853" t="str">
            <v>CV of Mr. Sudhakar Kajipuram - Welding Engineer</v>
          </cell>
          <cell r="F853">
            <v>2</v>
          </cell>
          <cell r="G853" t="str">
            <v>Code B</v>
          </cell>
        </row>
        <row r="854">
          <cell r="A854" t="str">
            <v>KHF-00-104265-AA-3341-60064-0000-2</v>
          </cell>
          <cell r="B854" t="str">
            <v>KHF_AIP_D_EXT_00630</v>
          </cell>
          <cell r="C854">
            <v>43366</v>
          </cell>
          <cell r="D854" t="str">
            <v>KHF-00-104265-AA-3341-60064-0000</v>
          </cell>
          <cell r="E854" t="str">
            <v>CV of Mr. Balendran S - Lead QA-QC Engineer</v>
          </cell>
          <cell r="F854">
            <v>2</v>
          </cell>
          <cell r="G854" t="str">
            <v>Code A</v>
          </cell>
        </row>
        <row r="855">
          <cell r="A855" t="str">
            <v>KHF-00-104265-BA-6070-42001-0000-1</v>
          </cell>
          <cell r="B855" t="str">
            <v>KHF_AIP_D_EXT_00631</v>
          </cell>
          <cell r="C855">
            <v>43366</v>
          </cell>
          <cell r="D855" t="str">
            <v>KHF-00-104265-BA-6070-42001-0000</v>
          </cell>
          <cell r="E855" t="str">
            <v>Method Statement for Installation of Pipe Rack Structures at Power Plant</v>
          </cell>
          <cell r="F855">
            <v>1</v>
          </cell>
          <cell r="G855" t="str">
            <v>Code B</v>
          </cell>
        </row>
        <row r="856">
          <cell r="A856" t="str">
            <v>KHF-00-104265-QA-6050-00115-0000-1</v>
          </cell>
          <cell r="B856" t="str">
            <v>KHF_AIP_D_EXT_00632</v>
          </cell>
          <cell r="C856">
            <v>43366</v>
          </cell>
          <cell r="D856" t="str">
            <v>KHF-00-104265-QA-6050-00115-0000</v>
          </cell>
          <cell r="E856" t="str">
            <v>Quality Control Plan for Hydro testing of CS Pipelines</v>
          </cell>
          <cell r="F856">
            <v>1</v>
          </cell>
          <cell r="G856" t="str">
            <v>Code B</v>
          </cell>
        </row>
        <row r="857">
          <cell r="A857" t="str">
            <v>KHF-00-104265-RA-8241-51100-0000-1</v>
          </cell>
          <cell r="B857" t="str">
            <v>KHF_AIP_D_EXT_00633</v>
          </cell>
          <cell r="C857">
            <v>43367</v>
          </cell>
          <cell r="D857" t="str">
            <v>KHF-00-104265-RA-8241-51100-0000</v>
          </cell>
          <cell r="E857" t="str">
            <v>MATERIAL APPROVAL SHEET FOR CABLE TRAYS WITH ACCESSORIES / LADDER &amp; PERFORRATED - VENDOR 01</v>
          </cell>
          <cell r="F857">
            <v>1</v>
          </cell>
          <cell r="G857" t="str">
            <v>Code A</v>
          </cell>
        </row>
        <row r="858">
          <cell r="A858" t="str">
            <v>KHF-00-104265-RA-8241-51102-0000-1</v>
          </cell>
          <cell r="B858" t="str">
            <v>KHF_AIP_D_EXT_00634</v>
          </cell>
          <cell r="C858">
            <v>43367</v>
          </cell>
          <cell r="D858" t="str">
            <v>KHF-00-104265-RA-8241-51102-0000</v>
          </cell>
          <cell r="E858" t="str">
            <v>MATERIAL APPROVAL SHEET FOR PVC CABLE</v>
          </cell>
          <cell r="F858">
            <v>1</v>
          </cell>
          <cell r="G858" t="str">
            <v>Code A</v>
          </cell>
        </row>
        <row r="859">
          <cell r="A859" t="str">
            <v>KHF-00-104265-RA-8241-51107-0000-1</v>
          </cell>
          <cell r="B859" t="str">
            <v>KHF_AIP_D_EXT_00635</v>
          </cell>
          <cell r="C859">
            <v>43367</v>
          </cell>
          <cell r="D859" t="str">
            <v>KHF-00-104265-RA-8241-51107-0000</v>
          </cell>
          <cell r="E859" t="str">
            <v>MATERIAL APPROVAL SHEET FOR PVC CONDUIT &amp; ACCESORIES (VENDOR-2)</v>
          </cell>
          <cell r="F859">
            <v>1</v>
          </cell>
          <cell r="G859" t="str">
            <v>Code A</v>
          </cell>
        </row>
        <row r="860">
          <cell r="A860" t="str">
            <v>KHF-00-104265-RA-8241-51108-0000-1</v>
          </cell>
          <cell r="B860" t="str">
            <v>KHF_AIP_D_EXT_00635</v>
          </cell>
          <cell r="C860">
            <v>43367</v>
          </cell>
          <cell r="D860" t="str">
            <v>KHF-00-104265-RA-8241-51108-0000</v>
          </cell>
          <cell r="E860" t="str">
            <v>MATERIAL APPROVAL SHEET FOR ELECTRICAL CABLE TRUNKING &amp; ACCESSORIES</v>
          </cell>
          <cell r="F860">
            <v>1</v>
          </cell>
          <cell r="G860" t="str">
            <v>Code A</v>
          </cell>
        </row>
        <row r="861">
          <cell r="A861" t="str">
            <v>KHF-00-104265-RA-8241-51101-0000-1</v>
          </cell>
          <cell r="B861" t="str">
            <v>KHF_AIP_D_EXT_00636</v>
          </cell>
          <cell r="C861">
            <v>43367</v>
          </cell>
          <cell r="D861" t="str">
            <v>KHF-00-104265-RA-8241-51101-0000</v>
          </cell>
          <cell r="E861" t="str">
            <v>MATERIAL APPROVAL SHEET FOR CABLE TRAYS WITH ACCESSORIES / LADDER &amp; PERFORRATED - VENDOR 02</v>
          </cell>
          <cell r="F861">
            <v>1</v>
          </cell>
          <cell r="G861" t="str">
            <v>Code B</v>
          </cell>
        </row>
        <row r="862">
          <cell r="A862" t="str">
            <v>KHF-00-104265-AA-3341-60101-0000-1</v>
          </cell>
          <cell r="B862" t="str">
            <v>KHF_AIP_D_EXT_00637</v>
          </cell>
          <cell r="C862">
            <v>43367</v>
          </cell>
          <cell r="D862" t="str">
            <v>KHF-00-104265-AA-3341-60101-0000</v>
          </cell>
          <cell r="E862" t="str">
            <v>CV OF MR. SYED ABBAS.S - PROCUREMENT MANAGER</v>
          </cell>
          <cell r="F862">
            <v>1</v>
          </cell>
          <cell r="G862" t="str">
            <v>Code D</v>
          </cell>
        </row>
        <row r="863">
          <cell r="A863" t="str">
            <v>KHF-00-104265-AA-3341-60103-0000-1</v>
          </cell>
          <cell r="B863" t="str">
            <v>KHF_AIP_D_EXT_00638</v>
          </cell>
          <cell r="C863">
            <v>43369</v>
          </cell>
          <cell r="D863" t="str">
            <v>KHF-00-104265-AA-3341-60103-0000</v>
          </cell>
          <cell r="E863" t="str">
            <v>CV OF MR.MAHER AL ALAWI - SITE BASED HSE ADVISOR</v>
          </cell>
          <cell r="F863">
            <v>1</v>
          </cell>
          <cell r="G863" t="str">
            <v>Code A</v>
          </cell>
        </row>
        <row r="864">
          <cell r="A864" t="str">
            <v>---</v>
          </cell>
          <cell r="B864" t="str">
            <v>KHF_AIP_D_EXT_00639</v>
          </cell>
          <cell r="C864">
            <v>43369</v>
          </cell>
          <cell r="D864" t="str">
            <v>-</v>
          </cell>
          <cell r="E864" t="str">
            <v>AFC Drawings</v>
          </cell>
          <cell r="F864" t="str">
            <v>-</v>
          </cell>
          <cell r="G864" t="str">
            <v>Total 41 drawings</v>
          </cell>
        </row>
        <row r="865">
          <cell r="A865" t="str">
            <v>---</v>
          </cell>
          <cell r="B865" t="str">
            <v>KHF_AIP_D_EXT_00640</v>
          </cell>
          <cell r="C865">
            <v>43370</v>
          </cell>
          <cell r="D865" t="str">
            <v>-</v>
          </cell>
          <cell r="E865" t="str">
            <v>AFC Drawings</v>
          </cell>
          <cell r="F865" t="str">
            <v>-</v>
          </cell>
          <cell r="G865" t="str">
            <v>Total 68 drawings</v>
          </cell>
        </row>
        <row r="866">
          <cell r="A866" t="str">
            <v>KHF-00-104265-BA-6070-00112-0000-2</v>
          </cell>
          <cell r="B866" t="str">
            <v>KHF_AIP_D_EXT_00641</v>
          </cell>
          <cell r="C866">
            <v>43370</v>
          </cell>
          <cell r="D866" t="str">
            <v>KHF-00-104265-BA-6070-00112-0000</v>
          </cell>
          <cell r="E866" t="str">
            <v>Method Statement for Holiday testing, lowering, post padding &amp; back filling</v>
          </cell>
          <cell r="F866">
            <v>2</v>
          </cell>
          <cell r="G866" t="str">
            <v>Code A</v>
          </cell>
        </row>
        <row r="867">
          <cell r="A867" t="str">
            <v>KHF-00-104265-BA-6070-00106-0000-2</v>
          </cell>
          <cell r="B867" t="str">
            <v>KHF_AIP_D_EXT_00642</v>
          </cell>
          <cell r="C867">
            <v>43370</v>
          </cell>
          <cell r="D867" t="str">
            <v>KHF-00-104265-BA-6070-00106-0000</v>
          </cell>
          <cell r="E867" t="str">
            <v>Method Statement for Stringing of line pipes</v>
          </cell>
          <cell r="F867">
            <v>2</v>
          </cell>
          <cell r="G867" t="str">
            <v>Code A</v>
          </cell>
        </row>
        <row r="868">
          <cell r="A868" t="str">
            <v>KHF-00-104265-BA-6070-00108-0000-2</v>
          </cell>
          <cell r="B868" t="str">
            <v>KHF_AIP_D_EXT_00642</v>
          </cell>
          <cell r="C868">
            <v>43370</v>
          </cell>
          <cell r="D868" t="str">
            <v>KHF-00-104265-BA-6070-00108-0000</v>
          </cell>
          <cell r="E868" t="str">
            <v>Method Statement for Cold Bending of Line Pipes</v>
          </cell>
          <cell r="F868">
            <v>2</v>
          </cell>
          <cell r="G868" t="str">
            <v>Code A</v>
          </cell>
        </row>
        <row r="869">
          <cell r="A869" t="str">
            <v>KHF-00-104265-BA-6070-00113-0000-2</v>
          </cell>
          <cell r="B869" t="str">
            <v>KHF_AIP_D_EXT_00643</v>
          </cell>
          <cell r="C869">
            <v>43370</v>
          </cell>
          <cell r="D869" t="str">
            <v>KHF-00-104265-BA-6070-00113-0000</v>
          </cell>
          <cell r="E869" t="str">
            <v>METHOD STATEMENT FOR WADI CROSSING-CARBON STEEL PIPELINE</v>
          </cell>
          <cell r="F869">
            <v>2</v>
          </cell>
          <cell r="G869" t="str">
            <v>Code B</v>
          </cell>
        </row>
        <row r="870">
          <cell r="A870" t="str">
            <v>KHF-00-104265-BA-6070-00143-0000-2</v>
          </cell>
          <cell r="B870" t="str">
            <v>KHF_AIP_D_EXT_00644</v>
          </cell>
          <cell r="C870">
            <v>43370</v>
          </cell>
          <cell r="D870" t="str">
            <v>KHF-00-104265-BA-6070-00143-0000</v>
          </cell>
          <cell r="E870" t="str">
            <v>Method Statement for Tie-In of GRE Pipeline (Adhesive Bonding)</v>
          </cell>
          <cell r="F870">
            <v>2</v>
          </cell>
          <cell r="G870" t="str">
            <v>Code D</v>
          </cell>
        </row>
        <row r="871">
          <cell r="A871" t="str">
            <v>KHF-00-104265-QA-6050-00605-0000-1</v>
          </cell>
          <cell r="B871" t="str">
            <v>KHF_AIP_D_EXT_00645</v>
          </cell>
          <cell r="C871">
            <v>43373</v>
          </cell>
          <cell r="D871" t="str">
            <v>KHF-00-104265-QA-6050-00605-0000</v>
          </cell>
          <cell r="E871" t="str">
            <v>HYDRO TEST PROCEDURE FOR PIPING SPOOL</v>
          </cell>
          <cell r="F871">
            <v>1</v>
          </cell>
          <cell r="G871" t="str">
            <v>Code B</v>
          </cell>
        </row>
        <row r="872">
          <cell r="A872" t="str">
            <v>KHF-00-104265-QA-6050-00606-0000-1</v>
          </cell>
          <cell r="B872" t="str">
            <v>KHF_AIP_D_EXT_00645</v>
          </cell>
          <cell r="C872">
            <v>43373</v>
          </cell>
          <cell r="D872" t="str">
            <v>KHF-00-104265-QA-6050-00606-0000</v>
          </cell>
          <cell r="E872" t="str">
            <v>PIPING FABRICATION PROCEDURE</v>
          </cell>
          <cell r="F872">
            <v>1</v>
          </cell>
          <cell r="G872" t="str">
            <v>Code B</v>
          </cell>
        </row>
        <row r="873">
          <cell r="A873" t="str">
            <v>KHF-00-104265-AA-3341-00133-0000-1</v>
          </cell>
          <cell r="B873" t="str">
            <v>KHF_AIP_D_EXT_00646</v>
          </cell>
          <cell r="C873">
            <v>43373</v>
          </cell>
          <cell r="D873" t="str">
            <v>KHF-00-104265-AA-3341-00133-0000</v>
          </cell>
          <cell r="E873" t="str">
            <v>CV OF MR. AYYAPAA RAYAPUREDDI - NDT TECHNICIAN</v>
          </cell>
          <cell r="F873">
            <v>1</v>
          </cell>
          <cell r="G873" t="str">
            <v>Code A</v>
          </cell>
        </row>
        <row r="874">
          <cell r="A874" t="str">
            <v>KHF-00-104265-QA-6050-00116-0000-1</v>
          </cell>
          <cell r="B874" t="str">
            <v>KHF_AIP_D_EXT_00647</v>
          </cell>
          <cell r="C874">
            <v>43373</v>
          </cell>
          <cell r="D874" t="str">
            <v>KHF-00-104265-QA-6050-00116-0000</v>
          </cell>
          <cell r="E874" t="str">
            <v>Quality Control Plan CP System for Pipelines and Trunk Lines</v>
          </cell>
          <cell r="F874">
            <v>1</v>
          </cell>
          <cell r="G874" t="str">
            <v>Code B</v>
          </cell>
        </row>
        <row r="875">
          <cell r="A875" t="str">
            <v>KHF-25-104133-EA-2384-00151-0001-5</v>
          </cell>
          <cell r="B875" t="str">
            <v>KHF_AIP_D_EXT_00648</v>
          </cell>
          <cell r="C875">
            <v>43376</v>
          </cell>
          <cell r="D875" t="str">
            <v>KHF-25-104133-EA-2384-00151-0001</v>
          </cell>
          <cell r="E875" t="str">
            <v>SCHEME FOR PILOT WIRE DIFFERENTIAL PROTECTION FOR I/C-3 OF G25222-SB</v>
          </cell>
          <cell r="F875">
            <v>5</v>
          </cell>
          <cell r="G875" t="str">
            <v>AFC Drawing</v>
          </cell>
        </row>
        <row r="876">
          <cell r="A876" t="str">
            <v>KHF-00-104265-AA-3341-00134-0000-1</v>
          </cell>
          <cell r="B876" t="str">
            <v>KHF_AIP_D_EXT_00649</v>
          </cell>
          <cell r="C876">
            <v>43377</v>
          </cell>
          <cell r="D876" t="str">
            <v>KHF-00-104265-AA-3341-00134-0000</v>
          </cell>
          <cell r="E876" t="str">
            <v>CV OF MR. PANKE ANAND SANTOSH KUMAR - NDT TECHNICIAN</v>
          </cell>
          <cell r="F876">
            <v>1</v>
          </cell>
          <cell r="G876" t="str">
            <v>Code A</v>
          </cell>
        </row>
        <row r="877">
          <cell r="A877" t="str">
            <v>KHF-00-104265-AA-3341-60074-0000-2</v>
          </cell>
          <cell r="B877" t="str">
            <v>KHF_AIP_D_EXT_00650</v>
          </cell>
          <cell r="C877">
            <v>43377</v>
          </cell>
          <cell r="D877" t="str">
            <v>KHF-00-104265-AA-3341-60074-0000</v>
          </cell>
          <cell r="E877" t="str">
            <v>CV OF MR. SUNIL KUMAR NAYAK - WELDING INSPECTOR-PIPELINES</v>
          </cell>
          <cell r="F877">
            <v>2</v>
          </cell>
          <cell r="G877" t="str">
            <v>Code A</v>
          </cell>
        </row>
        <row r="878">
          <cell r="A878" t="str">
            <v>---</v>
          </cell>
          <cell r="B878" t="str">
            <v>KHF_AIP_D_EXT_00651</v>
          </cell>
          <cell r="C878">
            <v>43377</v>
          </cell>
          <cell r="D878" t="str">
            <v>-</v>
          </cell>
          <cell r="E878" t="str">
            <v>AFC Drawings</v>
          </cell>
          <cell r="F878" t="str">
            <v>-</v>
          </cell>
          <cell r="G878" t="str">
            <v>Total 21 drawings</v>
          </cell>
        </row>
        <row r="879">
          <cell r="A879" t="str">
            <v>KHF-00-104265-QA-5733-22001-0000-1</v>
          </cell>
          <cell r="B879" t="str">
            <v>KHF_AIP_D_EXT_00652</v>
          </cell>
          <cell r="C879">
            <v>43377</v>
          </cell>
          <cell r="D879" t="str">
            <v>KHF-00-104265-QA-5733-22001-0000</v>
          </cell>
          <cell r="E879" t="str">
            <v>INSPECTION AND TEST PLAN FOR INSTALLATION AND TESTING OF EOT CRANE</v>
          </cell>
          <cell r="F879">
            <v>1</v>
          </cell>
          <cell r="G879" t="str">
            <v>Code B</v>
          </cell>
        </row>
        <row r="880">
          <cell r="A880" t="str">
            <v>KHF-00-104265-LA-5009-00119-0000-1</v>
          </cell>
          <cell r="B880" t="str">
            <v>KHF_AIP_D_EXT_00653</v>
          </cell>
          <cell r="C880">
            <v>43380</v>
          </cell>
          <cell r="D880" t="str">
            <v>KHF-00-104265-LA-5009-00119-0000</v>
          </cell>
          <cell r="E880" t="str">
            <v>Material Approval Sheet for Boulders for Gabions</v>
          </cell>
          <cell r="F880">
            <v>1</v>
          </cell>
          <cell r="G880" t="str">
            <v>Code B</v>
          </cell>
        </row>
        <row r="881">
          <cell r="A881" t="str">
            <v>KHF-00-104265-QA-5733-00603-0000-2</v>
          </cell>
          <cell r="B881" t="str">
            <v>KHF_AIP_D_EXT_00654</v>
          </cell>
          <cell r="C881">
            <v>43380</v>
          </cell>
          <cell r="D881" t="str">
            <v>KHF-00-104265-QA-5733-00603-0000</v>
          </cell>
          <cell r="E881" t="str">
            <v>INSPECTION &amp; TEST PLAN FOR EXTERNAL SURFACE PREPARATION &amp; PAINTING PCS-1, PCS-3, PCS-4 &amp; PCS-6</v>
          </cell>
          <cell r="F881">
            <v>2</v>
          </cell>
          <cell r="G881" t="str">
            <v>Code A</v>
          </cell>
        </row>
        <row r="882">
          <cell r="A882" t="str">
            <v>KHF-00-104265-QA-5733-24004-0000-2</v>
          </cell>
          <cell r="B882" t="str">
            <v>KHF_AIP_D_EXT_00655</v>
          </cell>
          <cell r="C882">
            <v>43380</v>
          </cell>
          <cell r="D882" t="str">
            <v>KHF-00-104265-QA-5733-24004-0000</v>
          </cell>
          <cell r="E882" t="str">
            <v>Inspection &amp; Test Plan for Installation and Testing of Impulse and Airline Tubing</v>
          </cell>
          <cell r="F882">
            <v>2</v>
          </cell>
          <cell r="G882" t="str">
            <v>Code B</v>
          </cell>
        </row>
        <row r="883">
          <cell r="A883" t="str">
            <v>KHF-00-104265-RA-8241-00801-0000-1</v>
          </cell>
          <cell r="B883" t="str">
            <v>KHF_AIP_D_EXT_00656</v>
          </cell>
          <cell r="C883">
            <v>43380</v>
          </cell>
          <cell r="D883" t="str">
            <v>KHF-00-104265-RA-8241-00801-0000</v>
          </cell>
          <cell r="E883" t="str">
            <v>MATERIAL APPROVAL SHEET FOR STEEL MATERIALS</v>
          </cell>
          <cell r="F883">
            <v>1</v>
          </cell>
          <cell r="G883" t="str">
            <v>Code A</v>
          </cell>
        </row>
        <row r="884">
          <cell r="A884" t="str">
            <v>KHF-00-104265-RA-8241-51119-0000-1</v>
          </cell>
          <cell r="B884" t="str">
            <v>KHF_AIP_D_EXT_00657</v>
          </cell>
          <cell r="C884">
            <v>43380</v>
          </cell>
          <cell r="D884" t="str">
            <v>KHF-00-104265-RA-8241-51119-0000</v>
          </cell>
          <cell r="E884" t="str">
            <v>MATERIAL APPROVAL SHEET FOR ROOF DRAIN</v>
          </cell>
          <cell r="F884">
            <v>1</v>
          </cell>
          <cell r="G884" t="str">
            <v>Code D</v>
          </cell>
        </row>
        <row r="885">
          <cell r="A885" t="str">
            <v>KHF-00-104265-RA-8241-51085-0000-1</v>
          </cell>
          <cell r="B885" t="str">
            <v>KHF_AIP_D_EXT_00658</v>
          </cell>
          <cell r="C885">
            <v>43380</v>
          </cell>
          <cell r="D885" t="str">
            <v>KHF-00-104265-RA-8241-51085-0000</v>
          </cell>
          <cell r="E885" t="str">
            <v>MATERIAL APPROVAL SHEET FOR PE WARNING TAPE, CABLE TILES</v>
          </cell>
          <cell r="F885">
            <v>1</v>
          </cell>
          <cell r="G885" t="str">
            <v>Code A</v>
          </cell>
        </row>
        <row r="886">
          <cell r="A886" t="str">
            <v>KHF-00-104265-RA-8241-51093-0000-1</v>
          </cell>
          <cell r="B886" t="str">
            <v>KHF_AIP_D_EXT_00659</v>
          </cell>
          <cell r="C886">
            <v>43380</v>
          </cell>
          <cell r="D886" t="str">
            <v>KHF-00-104265-RA-8241-51093-0000</v>
          </cell>
          <cell r="E886" t="str">
            <v>MATERIAL APPROVAL SHEET FOR GLASS DOOR AND FIXED GLASS WINDOW / VENTILATORS</v>
          </cell>
          <cell r="F886">
            <v>1</v>
          </cell>
          <cell r="G886" t="str">
            <v>Code B</v>
          </cell>
        </row>
        <row r="887">
          <cell r="A887" t="str">
            <v>KHF-00-104265-RA-8241-51095-0000-1</v>
          </cell>
          <cell r="B887" t="str">
            <v>KHF_AIP_D_EXT_00660</v>
          </cell>
          <cell r="C887">
            <v>43380</v>
          </cell>
          <cell r="D887" t="str">
            <v>KHF-00-104265-RA-8241-51095-0000</v>
          </cell>
          <cell r="E887" t="str">
            <v>MATERIAL APPROVAL SHEET FOR WOODEN DOOR / WOODEN ARCHITRAVE</v>
          </cell>
          <cell r="F887">
            <v>1</v>
          </cell>
          <cell r="G887" t="str">
            <v>Code D</v>
          </cell>
        </row>
        <row r="888">
          <cell r="A888" t="str">
            <v>KHF-00-104265-LA-5009-00115-0000-1</v>
          </cell>
          <cell r="B888" t="str">
            <v>KHF_AIP_D_EXT_00661</v>
          </cell>
          <cell r="C888">
            <v>43381</v>
          </cell>
          <cell r="D888" t="str">
            <v>KHF-00-104265-LA-5009-00115-0000</v>
          </cell>
          <cell r="E888" t="str">
            <v>Material Approval Sheet for Fiber Glass Mat</v>
          </cell>
          <cell r="F888">
            <v>1</v>
          </cell>
          <cell r="G888" t="str">
            <v>Code D</v>
          </cell>
        </row>
        <row r="889">
          <cell r="A889" t="str">
            <v>KHF-00-104265-LA-5009-00116-0000-1</v>
          </cell>
          <cell r="B889" t="str">
            <v>KHF_AIP_D_EXT_00661</v>
          </cell>
          <cell r="C889">
            <v>43381</v>
          </cell>
          <cell r="D889" t="str">
            <v>KHF-00-104265-LA-5009-00116-0000</v>
          </cell>
          <cell r="E889" t="str">
            <v>Material Approval Sheet for UPVC Sleeves 100 mm Dia.</v>
          </cell>
          <cell r="F889">
            <v>1</v>
          </cell>
          <cell r="G889" t="str">
            <v>Code D</v>
          </cell>
        </row>
        <row r="890">
          <cell r="A890" t="str">
            <v>KHF-00-104265-LA-5009-00106-0000-1</v>
          </cell>
          <cell r="B890" t="str">
            <v>KHF_AIP_D_EXT_00662</v>
          </cell>
          <cell r="C890">
            <v>43381</v>
          </cell>
          <cell r="D890" t="str">
            <v>KHF-00-104265-LA-5009-00106-0000</v>
          </cell>
          <cell r="E890" t="str">
            <v>Material Approval Sheet for Polythene sheet 1000 Gauge for wadi crossing concrete</v>
          </cell>
          <cell r="F890">
            <v>1</v>
          </cell>
          <cell r="G890" t="str">
            <v>Code D</v>
          </cell>
        </row>
        <row r="891">
          <cell r="A891" t="str">
            <v>KHF-00-104265-LA-5009-00114-0000-1</v>
          </cell>
          <cell r="B891" t="str">
            <v>KHF_AIP_D_EXT_00662</v>
          </cell>
          <cell r="C891">
            <v>43381</v>
          </cell>
          <cell r="D891" t="str">
            <v>KHF-00-104265-LA-5009-00114-0000</v>
          </cell>
          <cell r="E891" t="str">
            <v>Material Approval Sheet for Back filling Material (Type B)</v>
          </cell>
          <cell r="F891">
            <v>1</v>
          </cell>
          <cell r="G891" t="str">
            <v>Code C</v>
          </cell>
        </row>
        <row r="892">
          <cell r="A892" t="str">
            <v>KHF-00-104265-LA-5009-00117-0000-1</v>
          </cell>
          <cell r="B892" t="str">
            <v>KHF_AIP_D_EXT_00663</v>
          </cell>
          <cell r="C892">
            <v>43381</v>
          </cell>
          <cell r="D892" t="str">
            <v>KHF-00-104265-LA-5009-00117-0000</v>
          </cell>
          <cell r="E892" t="str">
            <v>Material Approval Sheet (MAS) for C30 Concrete (C30/10)</v>
          </cell>
          <cell r="F892">
            <v>1</v>
          </cell>
          <cell r="G892" t="str">
            <v>Code B</v>
          </cell>
        </row>
        <row r="893">
          <cell r="A893" t="str">
            <v>KHF-00-104265-RA-8241-51087-0000-2</v>
          </cell>
          <cell r="B893" t="str">
            <v>KHF_AIP_D_EXT_00664</v>
          </cell>
          <cell r="C893">
            <v>43381</v>
          </cell>
          <cell r="D893" t="str">
            <v>KHF-00-104265-RA-8241-51087-0000</v>
          </cell>
          <cell r="E893" t="str">
            <v>MATERIAL APPROVAL SHEET FOR ROOF CONCRETE TILES</v>
          </cell>
          <cell r="F893">
            <v>2</v>
          </cell>
          <cell r="G893" t="str">
            <v>Code A</v>
          </cell>
        </row>
        <row r="894">
          <cell r="A894" t="str">
            <v>KHF-00-104265-AA-3341-60101-0000-2</v>
          </cell>
          <cell r="B894" t="str">
            <v>KHF_AIP_D_EXT_00665</v>
          </cell>
          <cell r="C894">
            <v>43381</v>
          </cell>
          <cell r="D894" t="str">
            <v>KHF-00-104265-AA-3341-60101-0000</v>
          </cell>
          <cell r="E894" t="str">
            <v>CV OF MR. SYED ABBAS.S - PROCUREMENT MANAGER</v>
          </cell>
          <cell r="F894">
            <v>2</v>
          </cell>
          <cell r="G894" t="str">
            <v>Code B</v>
          </cell>
        </row>
        <row r="895">
          <cell r="A895" t="str">
            <v>KHF-00-104265-LA-5009-00110-0000-1</v>
          </cell>
          <cell r="B895" t="str">
            <v>KHF_AIP_D_EXT_00666</v>
          </cell>
          <cell r="C895">
            <v>43381</v>
          </cell>
          <cell r="D895" t="str">
            <v>KHF-00-104265-LA-5009-00110-0000</v>
          </cell>
          <cell r="E895" t="str">
            <v>MAS for G.I.Welded Mesh (Wadi Crossing Pipe Protection Concrete)</v>
          </cell>
          <cell r="F895">
            <v>1</v>
          </cell>
          <cell r="G895" t="str">
            <v>Code D</v>
          </cell>
        </row>
        <row r="896">
          <cell r="A896" t="str">
            <v>KHF-00-104265-RA-8241-51115-0000-1</v>
          </cell>
          <cell r="B896" t="str">
            <v>KHF_AIP_D_EXT_00667</v>
          </cell>
          <cell r="C896">
            <v>43381</v>
          </cell>
          <cell r="D896" t="str">
            <v>KHF-00-104265-RA-8241-51115-0000</v>
          </cell>
          <cell r="E896" t="str">
            <v>MATERIAL APPROVAL SHEET FOR PVC CONDUIT &amp; ACCESORIES</v>
          </cell>
          <cell r="F896">
            <v>1</v>
          </cell>
          <cell r="G896" t="str">
            <v>Code A</v>
          </cell>
        </row>
        <row r="897">
          <cell r="A897" t="str">
            <v>KHF-00-104265-AA-3341-60104-0000-1</v>
          </cell>
          <cell r="B897" t="str">
            <v>KHF_AIP_D_EXT_00668</v>
          </cell>
          <cell r="C897">
            <v>43382</v>
          </cell>
          <cell r="D897" t="str">
            <v>KHF-00-104265-AA-3341-60104-0000</v>
          </cell>
          <cell r="E897" t="str">
            <v>CV OF MR. HAMED ALI MOHAMMED ALJAFARI - SITE BASED HSE ADVISOR</v>
          </cell>
          <cell r="F897">
            <v>1</v>
          </cell>
          <cell r="G897" t="str">
            <v>Code D</v>
          </cell>
        </row>
        <row r="898">
          <cell r="A898" t="str">
            <v>KHF-00-104265-RA-8241-51001-0000-2</v>
          </cell>
          <cell r="B898" t="str">
            <v>KHF_AIP_D_EXT_00669</v>
          </cell>
          <cell r="C898">
            <v>43382</v>
          </cell>
          <cell r="D898" t="str">
            <v>KHF-00-104265-RA-8241-51001-0000</v>
          </cell>
          <cell r="E898" t="str">
            <v>Material Approval Sheet - Reinforcement Steel for Concrete Grade B 500S - JINDAL SHADEED - AL ANSARI BMT</v>
          </cell>
          <cell r="F898">
            <v>2</v>
          </cell>
          <cell r="G898" t="str">
            <v>Code C</v>
          </cell>
        </row>
        <row r="899">
          <cell r="A899" t="str">
            <v>KHF-00-104265-RA-8241-51002-0000-2</v>
          </cell>
          <cell r="B899" t="str">
            <v>KHF_AIP_D_EXT_00669</v>
          </cell>
          <cell r="C899">
            <v>43382</v>
          </cell>
          <cell r="D899" t="str">
            <v>KHF-00-104265-RA-8241-51002-0000</v>
          </cell>
          <cell r="E899" t="str">
            <v>MATERIAL APPROVAL SHEET - REINFORCEMENT STEEL FOR CONCRETE GRADE B 500S - MUSCAT STEEL INDUSTRIES</v>
          </cell>
          <cell r="F899">
            <v>2</v>
          </cell>
          <cell r="G899" t="str">
            <v>Code A</v>
          </cell>
        </row>
        <row r="900">
          <cell r="A900" t="str">
            <v>KHF-00-104265-RA-8241-51003-0000-2</v>
          </cell>
          <cell r="B900" t="str">
            <v>KHF_AIP_D_EXT_00670</v>
          </cell>
          <cell r="C900">
            <v>43382</v>
          </cell>
          <cell r="D900" t="str">
            <v>KHF-00-104265-RA-8241-51003-0000</v>
          </cell>
          <cell r="E900" t="str">
            <v>MATERIAL APPROVAL SHEET - REINFORCEMENT STEEL FOR CONCRETE GRADE B 500S - SHARQ SOHAR STEEL -MIDDLE EAST TRADERS</v>
          </cell>
          <cell r="F900">
            <v>2</v>
          </cell>
          <cell r="G900" t="str">
            <v>Code A</v>
          </cell>
        </row>
        <row r="901">
          <cell r="A901" t="str">
            <v>KHF-00-104265-RA-8241-51106-0000-1</v>
          </cell>
          <cell r="B901" t="str">
            <v>KHF_AIP_D_EXT_00671</v>
          </cell>
          <cell r="C901">
            <v>43382</v>
          </cell>
          <cell r="D901" t="str">
            <v>KHF-00-104265-RA-8241-51106-0000</v>
          </cell>
          <cell r="E901" t="str">
            <v>MATERIAL APPROVAL SHEET FOR NITOBOND SBR</v>
          </cell>
          <cell r="F901">
            <v>1</v>
          </cell>
          <cell r="G901" t="str">
            <v>Code A</v>
          </cell>
        </row>
        <row r="902">
          <cell r="A902" t="str">
            <v>KHF-00-104265-AA-3341-60105-0000-1</v>
          </cell>
          <cell r="B902" t="str">
            <v>KHF_AIP_D_EXT_00672</v>
          </cell>
          <cell r="C902">
            <v>43382</v>
          </cell>
          <cell r="D902" t="str">
            <v>KHF-00-104265-AA-3341-60105-0000</v>
          </cell>
          <cell r="E902" t="str">
            <v>CV OF MR. RAMJI R. - AIP PTW COORDINATOR</v>
          </cell>
          <cell r="F902">
            <v>1</v>
          </cell>
          <cell r="G902" t="str">
            <v>Code A</v>
          </cell>
        </row>
        <row r="903">
          <cell r="A903" t="str">
            <v>KHF-00-104265-QA-5733-00801-0000-1</v>
          </cell>
          <cell r="B903" t="str">
            <v>KHF_AIP_D_EXT_00673</v>
          </cell>
          <cell r="C903">
            <v>43382</v>
          </cell>
          <cell r="D903" t="str">
            <v>KHF-00-104265-QA-5733-00801-0000</v>
          </cell>
          <cell r="E903" t="str">
            <v>INSPECTION AND TEST PLAN - FABRICATION &amp; WELDING OF STRUCTURAL STEEL</v>
          </cell>
          <cell r="F903">
            <v>1</v>
          </cell>
          <cell r="G903" t="str">
            <v>Code B</v>
          </cell>
        </row>
        <row r="904">
          <cell r="A904" t="str">
            <v>KHF-00-104265-QA-5733-00802-0000-1</v>
          </cell>
          <cell r="B904" t="str">
            <v>KHF_AIP_D_EXT_00674</v>
          </cell>
          <cell r="C904">
            <v>43382</v>
          </cell>
          <cell r="D904" t="str">
            <v>KHF-00-104265-QA-5733-00802-0000</v>
          </cell>
          <cell r="E904" t="str">
            <v>Inspection and Test Plan for Surface preparation &amp; Painting of Structural Steel</v>
          </cell>
          <cell r="F904">
            <v>1</v>
          </cell>
          <cell r="G904" t="str">
            <v>Code B</v>
          </cell>
        </row>
        <row r="905">
          <cell r="A905" t="str">
            <v>KHF-00-104265-QA-5733-23008-0000-2</v>
          </cell>
          <cell r="B905" t="str">
            <v>KHF_AIP_D_EXT_00675</v>
          </cell>
          <cell r="C905">
            <v>43382</v>
          </cell>
          <cell r="D905" t="str">
            <v>KHF-00-104265-QA-5733-23008-0000</v>
          </cell>
          <cell r="E905" t="str">
            <v>Inspection &amp; Test Plan for Lighting &amp; Small Power works</v>
          </cell>
          <cell r="F905">
            <v>2</v>
          </cell>
          <cell r="G905" t="str">
            <v>Code B</v>
          </cell>
        </row>
        <row r="906">
          <cell r="A906" t="str">
            <v>KHF-00-104265-AA-3341-60106-0000-1</v>
          </cell>
          <cell r="B906" t="str">
            <v>KHF_AIP_D_EXT_00676</v>
          </cell>
          <cell r="C906">
            <v>43382</v>
          </cell>
          <cell r="D906" t="str">
            <v>KHF-00-104265-AA-3341-60106-0000</v>
          </cell>
          <cell r="E906" t="str">
            <v>CV OF MR. KUNDAN SINGH - WELDING INSPECTOR - PIPELINE</v>
          </cell>
          <cell r="F906">
            <v>1</v>
          </cell>
          <cell r="G906" t="str">
            <v>Code B</v>
          </cell>
        </row>
        <row r="907">
          <cell r="A907" t="str">
            <v>KHF-00-104265-QA-6050-00603-0000-2</v>
          </cell>
          <cell r="B907" t="str">
            <v>KHF_AIP_D_EXT_00677</v>
          </cell>
          <cell r="C907">
            <v>43382</v>
          </cell>
          <cell r="D907" t="str">
            <v>KHF-00-104265-QA-6050-00603-0000</v>
          </cell>
          <cell r="E907" t="str">
            <v>Ferrite Check Procedure</v>
          </cell>
          <cell r="F907">
            <v>2</v>
          </cell>
          <cell r="G907" t="str">
            <v>Code A</v>
          </cell>
        </row>
        <row r="908">
          <cell r="A908" t="str">
            <v>KHF-00-104265-QA-6050-00604-0000-2</v>
          </cell>
          <cell r="B908" t="str">
            <v>KHF_AIP_D_EXT_00678</v>
          </cell>
          <cell r="C908">
            <v>43382</v>
          </cell>
          <cell r="D908" t="str">
            <v>KHF-00-104265-QA-6050-00604-0000</v>
          </cell>
          <cell r="E908" t="str">
            <v>Pickling &amp; Passivation Procedure</v>
          </cell>
          <cell r="F908">
            <v>2</v>
          </cell>
          <cell r="G908" t="str">
            <v>Code A</v>
          </cell>
        </row>
        <row r="909">
          <cell r="A909" t="str">
            <v>KHF-00-104265-AA-3341-60111-0000-1</v>
          </cell>
          <cell r="B909" t="str">
            <v>KHF_AIP_D_EXT_00679</v>
          </cell>
          <cell r="C909">
            <v>43382</v>
          </cell>
          <cell r="D909" t="str">
            <v>KHF-00-104265-AA-3341-60111-0000</v>
          </cell>
          <cell r="E909" t="str">
            <v>CV OF MR. MOHAMMAD ALI KHAN - QC INSPECTOR - COATING</v>
          </cell>
          <cell r="F909">
            <v>1</v>
          </cell>
          <cell r="G909" t="str">
            <v>Code B</v>
          </cell>
        </row>
        <row r="910">
          <cell r="A910" t="str">
            <v>KHF-00-104265-QA-6050-00607-0000-2</v>
          </cell>
          <cell r="B910" t="str">
            <v>KHF_AIP_D_EXT_00680</v>
          </cell>
          <cell r="C910">
            <v>43383</v>
          </cell>
          <cell r="D910" t="str">
            <v>KHF-00-104265-QA-6050-00607-0000</v>
          </cell>
          <cell r="E910" t="str">
            <v>MATERIAL CONTROL PROCEDURE FOR PIPING MATERIAL AT FABRICATION SHOP</v>
          </cell>
          <cell r="F910">
            <v>2</v>
          </cell>
          <cell r="G910" t="str">
            <v>Code B</v>
          </cell>
        </row>
        <row r="911">
          <cell r="A911" t="str">
            <v>KHF-00-104265-RA-8241-51103-0000-1</v>
          </cell>
          <cell r="B911" t="str">
            <v>KHF_AIP_D_EXT_00681</v>
          </cell>
          <cell r="C911">
            <v>43383</v>
          </cell>
          <cell r="D911" t="str">
            <v>KHF-00-104265-RA-8241-51103-0000</v>
          </cell>
          <cell r="E911" t="str">
            <v>MATERIAL APPROVAL SHEET  FOR INDOOR SOCKET OUT LETS AND SWITCHES</v>
          </cell>
          <cell r="F911">
            <v>1</v>
          </cell>
          <cell r="G911" t="str">
            <v>Code B</v>
          </cell>
        </row>
        <row r="912">
          <cell r="A912" t="str">
            <v>KHF-00-104265-BA-6065-00801-0000-1</v>
          </cell>
          <cell r="B912" t="str">
            <v>KHF_AIP_D_EXT_00682</v>
          </cell>
          <cell r="C912">
            <v>43383</v>
          </cell>
          <cell r="D912" t="str">
            <v>KHF-00-104265-BA-6065-00801-0000</v>
          </cell>
          <cell r="E912" t="str">
            <v>WELDING PROCEDURE SPECIFICATION &amp; PROCEDURE QUALIFICATION RECORD (WPS &amp; PQR NO-01)</v>
          </cell>
          <cell r="F912">
            <v>1</v>
          </cell>
          <cell r="G912" t="str">
            <v>Code B</v>
          </cell>
        </row>
        <row r="913">
          <cell r="A913" t="str">
            <v>KHF-00-104265-BA-6065-00803-0000-1</v>
          </cell>
          <cell r="B913" t="str">
            <v>KHF_AIP_D_EXT_00682</v>
          </cell>
          <cell r="C913">
            <v>43383</v>
          </cell>
          <cell r="D913" t="str">
            <v>KHF-00-104265-BA-6065-00803-0000</v>
          </cell>
          <cell r="E913" t="str">
            <v>WELDING PROCEDURE SPECIFICATION &amp; PROCEDURE QUALIFICATION RECORD (WPS &amp; PQR NO-03)</v>
          </cell>
          <cell r="F913">
            <v>1</v>
          </cell>
          <cell r="G913" t="str">
            <v>Code B</v>
          </cell>
        </row>
        <row r="914">
          <cell r="A914" t="str">
            <v>KHF-00-104265-BA-6065-00804-0000-1</v>
          </cell>
          <cell r="B914" t="str">
            <v>KHF_AIP_D_EXT_00682</v>
          </cell>
          <cell r="C914">
            <v>43383</v>
          </cell>
          <cell r="D914" t="str">
            <v>KHF-00-104265-BA-6065-00804-0000</v>
          </cell>
          <cell r="E914" t="str">
            <v>WELDING PROCEDURE SPECIFICATION &amp; PROCEDURE QUALIFICATION RECORD (WPS &amp; PQR NO-04)</v>
          </cell>
          <cell r="F914">
            <v>1</v>
          </cell>
          <cell r="G914" t="str">
            <v>Code B</v>
          </cell>
        </row>
        <row r="915">
          <cell r="A915" t="str">
            <v>KHF-00-104265-BA-6065-00805-0000-1</v>
          </cell>
          <cell r="B915" t="str">
            <v>KHF_AIP_D_EXT_00682</v>
          </cell>
          <cell r="C915">
            <v>43383</v>
          </cell>
          <cell r="D915" t="str">
            <v>KHF-00-104265-BA-6065-00805-0000</v>
          </cell>
          <cell r="E915" t="str">
            <v>WELDING PROCEDURE SPECIFICATION &amp; PROCEDURE QUALIFICATION RECORD (WPS &amp; PQR NO-08)</v>
          </cell>
          <cell r="F915">
            <v>1</v>
          </cell>
          <cell r="G915" t="str">
            <v>Code B</v>
          </cell>
        </row>
        <row r="916">
          <cell r="A916" t="str">
            <v>KHF-00-104265-BA-6065-00808-0000-1</v>
          </cell>
          <cell r="B916" t="str">
            <v>KHF_AIP_D_EXT_00682</v>
          </cell>
          <cell r="C916">
            <v>43383</v>
          </cell>
          <cell r="D916" t="str">
            <v>KHF-00-104265-BA-6065-00808-0000</v>
          </cell>
          <cell r="E916" t="str">
            <v>WELDING PROCEDURE SPECIFICATION &amp; PROCEDURE QUALIFICATION RECORD (WPS NO-10B &amp; PQR NO-10)</v>
          </cell>
          <cell r="F916">
            <v>1</v>
          </cell>
          <cell r="G916" t="str">
            <v>Code A</v>
          </cell>
        </row>
        <row r="917">
          <cell r="A917" t="str">
            <v>KHF-00-104265-BA-6065-00809-0000-1</v>
          </cell>
          <cell r="B917" t="str">
            <v>KHF_AIP_D_EXT_00682</v>
          </cell>
          <cell r="C917">
            <v>43383</v>
          </cell>
          <cell r="D917" t="str">
            <v>KHF-00-104265-BA-6065-00809-0000</v>
          </cell>
          <cell r="E917" t="str">
            <v>WELDING PROCEDURE SPECIFICATION &amp; PROCEDURE QUALIFICATION RECORD (WPS &amp; PQR NO-02)</v>
          </cell>
          <cell r="F917">
            <v>1</v>
          </cell>
          <cell r="G917" t="str">
            <v>Code B</v>
          </cell>
        </row>
        <row r="918">
          <cell r="A918" t="str">
            <v>KHF-00-104265-BA-6065-00806-0000-1</v>
          </cell>
          <cell r="B918" t="str">
            <v>KHF_AIP_D_EXT_00683</v>
          </cell>
          <cell r="C918">
            <v>43383</v>
          </cell>
          <cell r="D918" t="str">
            <v>KHF-00-104265-BA-6065-00806-0000</v>
          </cell>
          <cell r="E918" t="str">
            <v>WELDING PROCEDURE SPECIFICATION &amp; PROCEDURE QUALIFICATION RECORD (WPS &amp; PQR NO - 09)</v>
          </cell>
          <cell r="F918">
            <v>1</v>
          </cell>
          <cell r="G918" t="str">
            <v>Code B</v>
          </cell>
        </row>
        <row r="919">
          <cell r="A919" t="str">
            <v>KHF-00-104265-BA-6065-00807-0000-1</v>
          </cell>
          <cell r="B919" t="str">
            <v>KHF_AIP_D_EXT_00683</v>
          </cell>
          <cell r="C919">
            <v>43383</v>
          </cell>
          <cell r="D919" t="str">
            <v>KHF-00-104265-BA-6065-00807-0000</v>
          </cell>
          <cell r="E919" t="str">
            <v>WELDING PROCEDURE SPECIFICATION &amp; PROCEDURE QUALIFICATION RECORD (WPS NO - 10A &amp; PQR NO - 10)</v>
          </cell>
          <cell r="F919">
            <v>1</v>
          </cell>
          <cell r="G919" t="str">
            <v>Code B</v>
          </cell>
        </row>
        <row r="920">
          <cell r="A920" t="str">
            <v>KHF-00-104265-RA-6038-00606-0000-1</v>
          </cell>
          <cell r="B920" t="str">
            <v>KHF_AIP_D_EXT_00684</v>
          </cell>
          <cell r="C920">
            <v>43383</v>
          </cell>
          <cell r="D920" t="str">
            <v>KHF-00-104265-RA-6038-00606-0000</v>
          </cell>
          <cell r="E920" t="str">
            <v>Procedure for Post Weld Heat Treatment for piping (HI-TECH)</v>
          </cell>
          <cell r="F920">
            <v>1</v>
          </cell>
          <cell r="G920" t="str">
            <v>Code B</v>
          </cell>
        </row>
        <row r="921">
          <cell r="A921" t="str">
            <v>KHF-00-104265-AA-3341-00131-0000-1</v>
          </cell>
          <cell r="B921" t="str">
            <v>KHF_AIP_D_EXT_00685</v>
          </cell>
          <cell r="C921">
            <v>43383</v>
          </cell>
          <cell r="D921" t="str">
            <v>KHF-00-104265-AA-3341-00131-0000</v>
          </cell>
          <cell r="E921" t="str">
            <v>CV OF MR.PENTAYYA BABU - CIVIL INSPECTOR</v>
          </cell>
          <cell r="F921">
            <v>1</v>
          </cell>
          <cell r="G921" t="str">
            <v>Code C</v>
          </cell>
        </row>
        <row r="922">
          <cell r="A922" t="str">
            <v>KHF-00-104265-BA-6070-00102-0000-2</v>
          </cell>
          <cell r="B922" t="str">
            <v>KHF_AIP_D_EXT_00686</v>
          </cell>
          <cell r="C922">
            <v>43383</v>
          </cell>
          <cell r="D922" t="str">
            <v>KHF-00-104265-BA-6070-00102-0000</v>
          </cell>
          <cell r="E922" t="str">
            <v>METHOD STATEMENT FOR CONCRETE WORKS</v>
          </cell>
          <cell r="F922">
            <v>2</v>
          </cell>
          <cell r="G922" t="str">
            <v>Code A</v>
          </cell>
        </row>
        <row r="923">
          <cell r="A923" t="str">
            <v>KHF-00-104265-RA-8241-51013-0000-2</v>
          </cell>
          <cell r="B923" t="str">
            <v>KHF_AIP_D_EXT_00687</v>
          </cell>
          <cell r="C923">
            <v>43384</v>
          </cell>
          <cell r="D923" t="str">
            <v>KHF-00-104265-RA-8241-51013-0000</v>
          </cell>
          <cell r="E923" t="str">
            <v>MATERIAL APPROVAL SHEET FOR CONCRETE COVER BLOCK</v>
          </cell>
          <cell r="F923">
            <v>2</v>
          </cell>
          <cell r="G923" t="str">
            <v>Code A</v>
          </cell>
        </row>
        <row r="924">
          <cell r="A924" t="str">
            <v>KHF-00-104265-RA-8241-51090-0000-1</v>
          </cell>
          <cell r="B924" t="str">
            <v>KHF_AIP_D_EXT_00688</v>
          </cell>
          <cell r="C924">
            <v>43384</v>
          </cell>
          <cell r="D924" t="str">
            <v>KHF-00-104265-RA-8241-51090-0000</v>
          </cell>
          <cell r="E924" t="str">
            <v>MATERIAL APPROVAL SHEET FOR FITBOND SBR</v>
          </cell>
          <cell r="F924">
            <v>1</v>
          </cell>
          <cell r="G924" t="str">
            <v>Code A</v>
          </cell>
        </row>
        <row r="925">
          <cell r="A925" t="str">
            <v>KHF-00-104265-RA-8241-51098-0000-1</v>
          </cell>
          <cell r="B925" t="str">
            <v>KHF_AIP_D_EXT_00688</v>
          </cell>
          <cell r="C925">
            <v>43384</v>
          </cell>
          <cell r="D925" t="str">
            <v>KHF-00-104265-RA-8241-51098-0000</v>
          </cell>
          <cell r="E925" t="str">
            <v>MATERIAL APPROVAL SHEET FOR HILTI INJECTABLE MORTAR HIT RE-100</v>
          </cell>
          <cell r="F925">
            <v>1</v>
          </cell>
          <cell r="G925" t="str">
            <v>Code A</v>
          </cell>
        </row>
        <row r="926">
          <cell r="A926" t="str">
            <v>KHF-00-104265-BA-6070-43003-0000-2</v>
          </cell>
          <cell r="B926" t="str">
            <v>KHF_AIP_D_EXT_00689</v>
          </cell>
          <cell r="C926">
            <v>43384</v>
          </cell>
          <cell r="D926" t="str">
            <v>KHF-00-104265-BA-6070-43003-0000</v>
          </cell>
          <cell r="E926" t="str">
            <v>METHOD STATEMENT FOR ERECTION OF TRANSFORMERS</v>
          </cell>
          <cell r="F926">
            <v>2</v>
          </cell>
          <cell r="G926" t="str">
            <v>Code B</v>
          </cell>
        </row>
        <row r="927">
          <cell r="A927" t="str">
            <v>KHF-00-104265-RA-8241-51092-0000-1</v>
          </cell>
          <cell r="B927" t="str">
            <v>KHF_AIP_D_EXT_00690</v>
          </cell>
          <cell r="C927">
            <v>43384</v>
          </cell>
          <cell r="D927" t="str">
            <v>KHF-00-104265-RA-8241-51092-0000</v>
          </cell>
          <cell r="E927" t="str">
            <v>MATERIAL APPROVAL SHEET FOR POLYBOND SBR (MATERIAL OPTION-2)</v>
          </cell>
          <cell r="F927">
            <v>1</v>
          </cell>
          <cell r="G927" t="str">
            <v>Code A</v>
          </cell>
        </row>
        <row r="928">
          <cell r="A928" t="str">
            <v>KHF-00-104265-RA-8241-51110-0000-1</v>
          </cell>
          <cell r="B928" t="str">
            <v>KHF_AIP_D_EXT_00690</v>
          </cell>
          <cell r="C928">
            <v>43384</v>
          </cell>
          <cell r="D928" t="str">
            <v>KHF-00-104265-RA-8241-51110-0000</v>
          </cell>
          <cell r="E928" t="str">
            <v>MATERIAL APPROVAL SHEET FOR FOSROC LOKFIX DUR</v>
          </cell>
          <cell r="F928">
            <v>1</v>
          </cell>
          <cell r="G928" t="str">
            <v>Code A</v>
          </cell>
        </row>
        <row r="929">
          <cell r="A929" t="str">
            <v>KHF-00-104265-RA-8241-51111-0000-1</v>
          </cell>
          <cell r="B929" t="str">
            <v>KHF_AIP_D_EXT_00691</v>
          </cell>
          <cell r="C929">
            <v>43384</v>
          </cell>
          <cell r="D929" t="str">
            <v>KHF-00-104265-RA-8241-51111-0000</v>
          </cell>
          <cell r="E929" t="str">
            <v>MATERIAL APPROVAL SHEET FOR LV CABLE JOINT KIT AT YKP (ON PLOT &amp; OFF PLOT WORKS )</v>
          </cell>
          <cell r="F929">
            <v>1</v>
          </cell>
          <cell r="G929" t="str">
            <v>Code B</v>
          </cell>
        </row>
        <row r="930">
          <cell r="A930" t="str">
            <v>---</v>
          </cell>
          <cell r="B930" t="str">
            <v>KHF_AIP_D_EXT_00692</v>
          </cell>
          <cell r="C930">
            <v>43384</v>
          </cell>
          <cell r="D930" t="str">
            <v>-</v>
          </cell>
          <cell r="E930" t="str">
            <v>AFC Drawings</v>
          </cell>
          <cell r="F930" t="str">
            <v>-</v>
          </cell>
          <cell r="G930" t="str">
            <v>Total 07 drawings</v>
          </cell>
        </row>
        <row r="931">
          <cell r="A931" t="str">
            <v>KHF-00-104265-BA-6070-00103-0000-1</v>
          </cell>
          <cell r="B931" t="str">
            <v>KHF_AIP_D_EXT_00693</v>
          </cell>
          <cell r="C931">
            <v>43387</v>
          </cell>
          <cell r="D931" t="str">
            <v>KHF-00-104265-BA-6070-00103-0000</v>
          </cell>
          <cell r="E931" t="str">
            <v>METHOD STATEMENT FOR INSTALLATION OF SLEEPERS &amp; FOUNDATIONS</v>
          </cell>
          <cell r="F931">
            <v>1</v>
          </cell>
          <cell r="G931" t="str">
            <v>Code B</v>
          </cell>
        </row>
        <row r="932">
          <cell r="A932" t="str">
            <v>KHF-00-104265-BA-6070-42001-0000-2</v>
          </cell>
          <cell r="B932" t="str">
            <v>KHF_AIP_D_EXT_00694</v>
          </cell>
          <cell r="C932">
            <v>43387</v>
          </cell>
          <cell r="D932" t="str">
            <v>KHF-00-104265-BA-6070-42001-0000</v>
          </cell>
          <cell r="E932" t="str">
            <v>METHOD STATEMENT FOR INSTALLATION OF PIPE RACK STRUCTURES AT POWER PLANT</v>
          </cell>
          <cell r="F932">
            <v>2</v>
          </cell>
          <cell r="G932" t="str">
            <v>Code A</v>
          </cell>
        </row>
        <row r="933">
          <cell r="A933" t="str">
            <v>KHF-00-104265-QA-5733-00601-0000-3</v>
          </cell>
          <cell r="B933" t="str">
            <v>KHF_AIP_D_EXT_00695</v>
          </cell>
          <cell r="C933">
            <v>43387</v>
          </cell>
          <cell r="D933" t="str">
            <v>KHF-00-104265-QA-5733-00601-0000</v>
          </cell>
          <cell r="E933" t="str">
            <v>INSPECTION &amp; TEST PLAN FOR CS &amp; LTCS PIPING FABRICATION (Off Plot / Power Plant)</v>
          </cell>
          <cell r="F933">
            <v>3</v>
          </cell>
          <cell r="G933" t="str">
            <v>Code A</v>
          </cell>
        </row>
        <row r="934">
          <cell r="A934" t="str">
            <v>KHF-00-104265-QA-5733-00604-0000-1</v>
          </cell>
          <cell r="B934" t="str">
            <v>KHF_AIP_D_EXT_00696</v>
          </cell>
          <cell r="C934">
            <v>43387</v>
          </cell>
          <cell r="D934" t="str">
            <v>KHF-00-104265-QA-5733-00604-0000</v>
          </cell>
          <cell r="E934" t="str">
            <v>Inspection &amp; Test Plan for Surface preparation &amp; TSA Coating of Stainless Steel Spools</v>
          </cell>
          <cell r="F934">
            <v>1</v>
          </cell>
          <cell r="G934" t="str">
            <v>Code B</v>
          </cell>
        </row>
        <row r="935">
          <cell r="A935" t="str">
            <v>KHF-00-104265-CX-4180-10005-0001-9</v>
          </cell>
          <cell r="B935" t="str">
            <v>KHF_AIP_D_EXT_00697</v>
          </cell>
          <cell r="C935">
            <v>43388</v>
          </cell>
          <cell r="D935" t="str">
            <v>KHF-00-104265-CX-4180-10005-0001</v>
          </cell>
          <cell r="E935" t="str">
            <v>Site Camp Layout</v>
          </cell>
          <cell r="F935">
            <v>9</v>
          </cell>
          <cell r="G935" t="str">
            <v>Code C</v>
          </cell>
        </row>
        <row r="936">
          <cell r="A936" t="str">
            <v>KHF-00-104133-AA-6180-00002-0000-4</v>
          </cell>
          <cell r="B936" t="str">
            <v>KHF_AIP_D_EXT_00698</v>
          </cell>
          <cell r="C936">
            <v>43388</v>
          </cell>
          <cell r="D936" t="str">
            <v>KHF-00-104133-AA-6180-00002-0000</v>
          </cell>
          <cell r="E936" t="str">
            <v>SITE QUERY PROCEDURE</v>
          </cell>
          <cell r="F936">
            <v>4</v>
          </cell>
          <cell r="G936" t="str">
            <v>IFI</v>
          </cell>
        </row>
        <row r="937">
          <cell r="A937" t="str">
            <v>KHF-00-104133-IN-2335-00004-0001-4</v>
          </cell>
          <cell r="B937" t="str">
            <v>KHF_AIP_D_EXT_00698</v>
          </cell>
          <cell r="C937">
            <v>43388</v>
          </cell>
          <cell r="D937" t="str">
            <v>KHF-00-104133-IN-2335-00004-0001</v>
          </cell>
          <cell r="E937" t="str">
            <v>INSTRUMENT MOUNTING DETAILS</v>
          </cell>
          <cell r="F937">
            <v>4</v>
          </cell>
          <cell r="G937" t="str">
            <v>AFC Drawing</v>
          </cell>
        </row>
        <row r="938">
          <cell r="A938" t="str">
            <v>KHF-00-104265-MP-6180-00142-0000-1</v>
          </cell>
          <cell r="B938" t="str">
            <v>KHF_AIP_D_EXT_00699</v>
          </cell>
          <cell r="C938">
            <v>43389</v>
          </cell>
          <cell r="D938" t="str">
            <v>KHF-00-104265-MP-6180-00142-0000</v>
          </cell>
          <cell r="E938" t="str">
            <v>Method Statement for Trenching, Post Padding &amp; Backfilling of GRE Pipeline (Threaded)</v>
          </cell>
          <cell r="F938">
            <v>1</v>
          </cell>
          <cell r="G938" t="str">
            <v>Code B</v>
          </cell>
        </row>
        <row r="939">
          <cell r="A939" t="str">
            <v>KHF-00-104265-QA-5733-24007-0000-1</v>
          </cell>
          <cell r="B939" t="str">
            <v>KHF_AIP_D_EXT_00700</v>
          </cell>
          <cell r="C939">
            <v>43389</v>
          </cell>
          <cell r="D939" t="str">
            <v>KHF-00-104265-QA-5733-24007-0000</v>
          </cell>
          <cell r="E939" t="str">
            <v>Inspection &amp; Test Plan for Calibration of Valves (Control Valves / ON-OFF Valves &amp; MOVs)</v>
          </cell>
          <cell r="F939">
            <v>1</v>
          </cell>
          <cell r="G939" t="str">
            <v>Code B</v>
          </cell>
        </row>
        <row r="940">
          <cell r="A940" t="str">
            <v>KHF-00-104265-BA-6070-00117-0000-3</v>
          </cell>
          <cell r="B940" t="str">
            <v>KHF_AIP_D_EXT_00701</v>
          </cell>
          <cell r="C940">
            <v>43389</v>
          </cell>
          <cell r="D940" t="str">
            <v>KHF-00-104265-BA-6070-00117-0000</v>
          </cell>
          <cell r="E940" t="str">
            <v>Method Statement for GRE material transportation, handling, storage and control</v>
          </cell>
          <cell r="F940">
            <v>3</v>
          </cell>
          <cell r="G940" t="str">
            <v>Code B</v>
          </cell>
        </row>
        <row r="941">
          <cell r="A941" t="str">
            <v>KHF-00-104265-AA-3341-60102-0000-2</v>
          </cell>
          <cell r="B941" t="str">
            <v>KHF_AIP_D_EXT_00702</v>
          </cell>
          <cell r="C941">
            <v>43389</v>
          </cell>
          <cell r="D941" t="str">
            <v>KHF-00-104265-AA-3341-60102-0000</v>
          </cell>
          <cell r="E941" t="str">
            <v>CV OF MR. PRASATH. V - GRE INSPECTOR</v>
          </cell>
          <cell r="F941">
            <v>2</v>
          </cell>
          <cell r="G941" t="str">
            <v>Code A</v>
          </cell>
        </row>
        <row r="942">
          <cell r="A942" t="str">
            <v>KHF-00-104265-HX-6180-10012-0000-6</v>
          </cell>
          <cell r="B942" t="str">
            <v>KHF_AIP_D_EXT_00703</v>
          </cell>
          <cell r="C942">
            <v>43389</v>
          </cell>
          <cell r="D942" t="str">
            <v>KHF-00-104265-HX-6180-10012-0000</v>
          </cell>
          <cell r="E942" t="str">
            <v>PERMIT TO WORK PROCEDURE (GREEN FIELD)</v>
          </cell>
          <cell r="F942">
            <v>6</v>
          </cell>
          <cell r="G942" t="str">
            <v>Code A</v>
          </cell>
        </row>
        <row r="943">
          <cell r="A943" t="str">
            <v>KHF-00-104265-FA-5765-10040-0000-4</v>
          </cell>
          <cell r="B943" t="str">
            <v>KHF_AIP_D_EXT_00704</v>
          </cell>
          <cell r="C943">
            <v>43389</v>
          </cell>
          <cell r="D943" t="str">
            <v>KHF-00-104265-FA-5765-10040-0000</v>
          </cell>
          <cell r="E943" t="str">
            <v>Project Schedule - Level 04</v>
          </cell>
          <cell r="F943">
            <v>4</v>
          </cell>
          <cell r="G943" t="str">
            <v>Code B</v>
          </cell>
        </row>
        <row r="944">
          <cell r="A944" t="str">
            <v>KHF-00-104265-RA-8241-51116-0000-1</v>
          </cell>
          <cell r="B944" t="str">
            <v>KHF_AIP_D_EXT_00705</v>
          </cell>
          <cell r="C944">
            <v>43389</v>
          </cell>
          <cell r="D944" t="str">
            <v>KHF-00-104265-RA-8241-51116-0000</v>
          </cell>
          <cell r="E944" t="str">
            <v>MATERIAL APPROVAL SHEET FOR CABLE TRAYS WITH ACCESSORIES / LADDER &amp; PERFORATED - VENDOR 01</v>
          </cell>
          <cell r="F944">
            <v>1</v>
          </cell>
          <cell r="G944" t="str">
            <v>Code A</v>
          </cell>
        </row>
        <row r="945">
          <cell r="A945" t="str">
            <v>KHF-00-104265-RA-8241-51118-0000-1</v>
          </cell>
          <cell r="B945" t="str">
            <v>KHF_AIP_D_EXT_00705</v>
          </cell>
          <cell r="C945">
            <v>43389</v>
          </cell>
          <cell r="D945" t="str">
            <v>KHF-00-104265-RA-8241-51118-0000</v>
          </cell>
          <cell r="E945" t="str">
            <v>MATERIAL APPROVAL SHEET FOR CABLE TRAYS WITH ACCESSORIES / LADDER &amp; PERFORATED - VENDOR 02</v>
          </cell>
          <cell r="F945">
            <v>1</v>
          </cell>
          <cell r="G945" t="str">
            <v>Code A</v>
          </cell>
        </row>
        <row r="946">
          <cell r="A946" t="str">
            <v>KHF-00-104265-BA-6070-00143-0000-3</v>
          </cell>
          <cell r="B946" t="str">
            <v>KHF_AIP_D_EXT_00706</v>
          </cell>
          <cell r="C946">
            <v>43389</v>
          </cell>
          <cell r="D946" t="str">
            <v>KHF-00-104265-BA-6070-00143-0000</v>
          </cell>
          <cell r="E946" t="str">
            <v>Method Statement For Tie-In of GRE Pipeline (Adhesive Bonding)</v>
          </cell>
          <cell r="F946">
            <v>3</v>
          </cell>
          <cell r="G946" t="str">
            <v>Code A</v>
          </cell>
        </row>
        <row r="947">
          <cell r="A947" t="str">
            <v>KHF-00-104265-AA-3341-60108-0000-1</v>
          </cell>
          <cell r="B947" t="str">
            <v>KHF_AIP_D_EXT_00707</v>
          </cell>
          <cell r="C947">
            <v>43389</v>
          </cell>
          <cell r="D947" t="str">
            <v>KHF-00-104265-AA-3341-60108-0000</v>
          </cell>
          <cell r="E947" t="str">
            <v>CV OF MR.CHERAN SOLLIN SELVAN - HSE ADVISOR</v>
          </cell>
          <cell r="F947">
            <v>1</v>
          </cell>
          <cell r="G947" t="str">
            <v>Code B</v>
          </cell>
        </row>
        <row r="948">
          <cell r="A948" t="str">
            <v>KHF-00-104265-QA-6050-00611-0000-1</v>
          </cell>
          <cell r="B948" t="str">
            <v>KHF_AIP_D_EXT_00708</v>
          </cell>
          <cell r="C948">
            <v>43389</v>
          </cell>
          <cell r="D948" t="str">
            <v>KHF-00-104265-QA-6050-00611-0000</v>
          </cell>
          <cell r="E948" t="str">
            <v>Surface Preparation &amp; Coating Procedure (TSA) for Stainless Steel Spools.</v>
          </cell>
          <cell r="F948">
            <v>1</v>
          </cell>
          <cell r="G948" t="str">
            <v>Code A</v>
          </cell>
        </row>
        <row r="949">
          <cell r="A949" t="str">
            <v>KHF-00-104265-RA-8241-00802-0000-1</v>
          </cell>
          <cell r="B949" t="str">
            <v>KHF_AIP_D_EXT_00709</v>
          </cell>
          <cell r="C949">
            <v>43389</v>
          </cell>
          <cell r="D949" t="str">
            <v>KHF-00-104265-RA-8241-00802-0000</v>
          </cell>
          <cell r="E949" t="str">
            <v>MATERIAL APPROVAL SUBMITTAL FOR STEEL SHOT</v>
          </cell>
          <cell r="F949">
            <v>1</v>
          </cell>
          <cell r="G949" t="str">
            <v>Code B</v>
          </cell>
        </row>
        <row r="950">
          <cell r="A950" t="str">
            <v>KHF-00-104265-AA-3341-60114-0000-1</v>
          </cell>
          <cell r="B950" t="str">
            <v>KHF_AIP_D_EXT_00710</v>
          </cell>
          <cell r="C950">
            <v>43389</v>
          </cell>
          <cell r="D950" t="str">
            <v>KHF-00-104265-AA-3341-60114-0000</v>
          </cell>
          <cell r="E950" t="str">
            <v>CV OF MR. RONALDO MOSUELA TAYAM - HSE ADVIDOR</v>
          </cell>
          <cell r="F950">
            <v>1</v>
          </cell>
          <cell r="G950" t="str">
            <v>Code B</v>
          </cell>
        </row>
        <row r="951">
          <cell r="A951" t="str">
            <v>KHF-00-104265-MP-6180-00141-0000-1</v>
          </cell>
          <cell r="B951" t="str">
            <v>KHF_AIP_D_EXT_00711</v>
          </cell>
          <cell r="C951">
            <v>43389</v>
          </cell>
          <cell r="D951" t="str">
            <v>KHF-00-104265-MP-6180-00141-0000</v>
          </cell>
          <cell r="E951" t="str">
            <v>Method Statement for Road &amp; Wadi Crossing of GRE Pipeline (Threaded)</v>
          </cell>
          <cell r="F951">
            <v>1</v>
          </cell>
          <cell r="G951" t="str">
            <v>Code B</v>
          </cell>
        </row>
        <row r="952">
          <cell r="A952" t="str">
            <v>KHF-00-104265-RA-8241-51125-0000-1</v>
          </cell>
          <cell r="B952" t="str">
            <v>KHF_AIP_D_EXT_00712</v>
          </cell>
          <cell r="C952">
            <v>43389</v>
          </cell>
          <cell r="D952" t="str">
            <v>KHF-00-104265-RA-8241-51125-0000</v>
          </cell>
          <cell r="E952" t="str">
            <v>MATERIAL APPROVAL SHEET FOR HV &amp; LV CABLE TERMINATION LUGS</v>
          </cell>
          <cell r="F952">
            <v>1</v>
          </cell>
          <cell r="G952" t="str">
            <v>Code A</v>
          </cell>
        </row>
        <row r="953">
          <cell r="A953" t="str">
            <v>KHF-00-104265-RA-8241-51126-0000-1</v>
          </cell>
          <cell r="B953" t="str">
            <v>KHF_AIP_D_EXT_00713</v>
          </cell>
          <cell r="C953">
            <v>43389</v>
          </cell>
          <cell r="D953" t="str">
            <v>KHF-00-104265-RA-8241-51126-0000</v>
          </cell>
          <cell r="E953" t="str">
            <v>MATERIAL APPROVAL SHEET FOR HV &amp; LV CABLE TERMINATION LUGS (VENDOR-2)</v>
          </cell>
          <cell r="F953">
            <v>1</v>
          </cell>
          <cell r="G953" t="str">
            <v>Code D</v>
          </cell>
        </row>
        <row r="954">
          <cell r="A954" t="str">
            <v>KHF-00-104265-RA-8241-51127-0000-1</v>
          </cell>
          <cell r="B954" t="str">
            <v>KHF_AIP_D_EXT_00713</v>
          </cell>
          <cell r="C954">
            <v>43389</v>
          </cell>
          <cell r="D954" t="str">
            <v>KHF-00-104265-RA-8241-51127-0000</v>
          </cell>
          <cell r="E954" t="str">
            <v>MATERIAL APPROVAL SHEET FOR ELECTRICAL CABLE GLAND</v>
          </cell>
          <cell r="F954">
            <v>1</v>
          </cell>
          <cell r="G954" t="str">
            <v>Code A</v>
          </cell>
        </row>
        <row r="955">
          <cell r="A955" t="str">
            <v>KHF-00-104265-RA-8241-51129-0000-1</v>
          </cell>
          <cell r="B955" t="str">
            <v>KHF_AIP_D_EXT_00714</v>
          </cell>
          <cell r="C955">
            <v>43389</v>
          </cell>
          <cell r="D955" t="str">
            <v>KHF-00-104265-RA-8241-51129-0000</v>
          </cell>
          <cell r="E955" t="str">
            <v>MATERIAL APPROVAL SHEET FOR GALVANIZED BOLTS /NUTS &amp; ANCHOR FASTENER</v>
          </cell>
          <cell r="F955">
            <v>1</v>
          </cell>
          <cell r="G955" t="str">
            <v>Code A</v>
          </cell>
        </row>
        <row r="956">
          <cell r="A956" t="str">
            <v>KHF-00-104265-AA-3341-60113-0000-1</v>
          </cell>
          <cell r="B956" t="str">
            <v>KHF_AIP_D_EXT_00715</v>
          </cell>
          <cell r="C956">
            <v>43391</v>
          </cell>
          <cell r="D956" t="str">
            <v>KHF-00-104265-AA-3341-60113-0000</v>
          </cell>
          <cell r="E956" t="str">
            <v>CV OF MR. V. ESWARA RAO - QC INSPECTOR PIPING</v>
          </cell>
          <cell r="F956">
            <v>1</v>
          </cell>
          <cell r="G956" t="str">
            <v>Code B</v>
          </cell>
        </row>
        <row r="957">
          <cell r="A957" t="str">
            <v>KHF-00-104265-BA-6070-44001-0000-1</v>
          </cell>
          <cell r="B957" t="str">
            <v>KHF_AIP_D_EXT_00716</v>
          </cell>
          <cell r="C957">
            <v>43391</v>
          </cell>
          <cell r="D957" t="str">
            <v>KHF-00-104265-BA-6070-44001-0000</v>
          </cell>
          <cell r="E957" t="str">
            <v>METHOD STATEMENT FOR INSTALLATION OF CABLE TRAYS AND CONDUITS</v>
          </cell>
          <cell r="F957">
            <v>1</v>
          </cell>
          <cell r="G957" t="str">
            <v>Code A</v>
          </cell>
        </row>
        <row r="958">
          <cell r="A958" t="str">
            <v>KHF-00-000000-AA-5706-00001-0000-13</v>
          </cell>
          <cell r="B958" t="str">
            <v>KHF_AIP_D_EXT_00717</v>
          </cell>
          <cell r="C958">
            <v>43390</v>
          </cell>
          <cell r="D958" t="str">
            <v>KHF-00-000000-AA-5706-00001-0000</v>
          </cell>
          <cell r="E958" t="str">
            <v>Project Controls &amp; Assurance Plan</v>
          </cell>
          <cell r="F958">
            <v>13</v>
          </cell>
          <cell r="G958" t="str">
            <v>IFI</v>
          </cell>
        </row>
        <row r="959">
          <cell r="A959" t="str">
            <v>KHF-00-000000-AA-6603-00001-0000-9</v>
          </cell>
          <cell r="B959" t="str">
            <v>KHF_AIP_D_EXT_00717</v>
          </cell>
          <cell r="C959">
            <v>43390</v>
          </cell>
          <cell r="D959" t="str">
            <v>KHF-00-000000-AA-6603-00001-0000</v>
          </cell>
          <cell r="E959" t="str">
            <v>TA List -  Execute Phase</v>
          </cell>
          <cell r="F959">
            <v>9</v>
          </cell>
          <cell r="G959" t="str">
            <v>IFI</v>
          </cell>
        </row>
        <row r="960">
          <cell r="A960" t="str">
            <v>KHF-00-104265-BA-6065-00638-0000-1</v>
          </cell>
          <cell r="B960" t="str">
            <v>KHF_AIP_D_EXT_00718</v>
          </cell>
          <cell r="C960">
            <v>43390</v>
          </cell>
          <cell r="D960" t="str">
            <v>KHF-00-104265-BA-6065-00638-0000</v>
          </cell>
          <cell r="E960" t="str">
            <v>WELDING PROCEDURE SPECIFICATION (WPS) / PQR-038 - AI-WPS-M-398</v>
          </cell>
          <cell r="F960">
            <v>1</v>
          </cell>
          <cell r="G960" t="str">
            <v>Code B</v>
          </cell>
        </row>
        <row r="961">
          <cell r="A961" t="str">
            <v>KHF-00-104265-BA-6065-00639-0000-1</v>
          </cell>
          <cell r="B961" t="str">
            <v>KHF_AIP_D_EXT_00718</v>
          </cell>
          <cell r="C961">
            <v>43390</v>
          </cell>
          <cell r="D961" t="str">
            <v>KHF-00-104265-BA-6065-00639-0000</v>
          </cell>
          <cell r="E961" t="str">
            <v>WELDING PROCEDURE SPECIFICATION (WPS) / PQR-039 - AI-WPS-T-548</v>
          </cell>
          <cell r="F961">
            <v>1</v>
          </cell>
          <cell r="G961" t="str">
            <v>Code A</v>
          </cell>
        </row>
        <row r="962">
          <cell r="A962" t="str">
            <v>---</v>
          </cell>
          <cell r="B962" t="str">
            <v>KHF_AIP_D_EXT_00719</v>
          </cell>
          <cell r="C962">
            <v>43391</v>
          </cell>
          <cell r="D962" t="str">
            <v>-</v>
          </cell>
          <cell r="E962" t="str">
            <v>AFC Drawings</v>
          </cell>
          <cell r="F962" t="str">
            <v>-</v>
          </cell>
          <cell r="G962" t="str">
            <v>Total 16 drawings</v>
          </cell>
        </row>
        <row r="963">
          <cell r="A963" t="str">
            <v>KHF-00-104265-RA-8241-51105-0000-1</v>
          </cell>
          <cell r="B963" t="str">
            <v>KHF_AIP_D_EXT_00720</v>
          </cell>
          <cell r="C963">
            <v>43391</v>
          </cell>
          <cell r="D963" t="str">
            <v>KHF-00-104265-RA-8241-51105-0000</v>
          </cell>
          <cell r="E963" t="str">
            <v>MATERIAL APPROVAL SHEET FOR GRP MANHOLES</v>
          </cell>
          <cell r="F963">
            <v>1</v>
          </cell>
          <cell r="G963" t="str">
            <v>Code B</v>
          </cell>
        </row>
        <row r="964">
          <cell r="A964" t="str">
            <v>---</v>
          </cell>
          <cell r="B964" t="str">
            <v>KHF_AIP_D_EXT_00721</v>
          </cell>
          <cell r="C964">
            <v>43391</v>
          </cell>
          <cell r="D964" t="str">
            <v>-</v>
          </cell>
          <cell r="E964" t="str">
            <v>AFC Drawings</v>
          </cell>
          <cell r="F964" t="str">
            <v>-</v>
          </cell>
          <cell r="G964" t="str">
            <v>Total 01 drawings</v>
          </cell>
        </row>
        <row r="965">
          <cell r="A965" t="str">
            <v>KHF-00-104265-RA-8241-51114-0000-1</v>
          </cell>
          <cell r="B965" t="str">
            <v>KHF_AIP_D_EXT_00722</v>
          </cell>
          <cell r="C965">
            <v>43394</v>
          </cell>
          <cell r="D965" t="str">
            <v>KHF-00-104265-RA-8241-51114-0000</v>
          </cell>
          <cell r="E965" t="str">
            <v>MATERIAL APPROVAL SHEET FOR SUSPENDED CEILING</v>
          </cell>
          <cell r="F965">
            <v>1</v>
          </cell>
          <cell r="G965" t="str">
            <v>Code B</v>
          </cell>
        </row>
        <row r="966">
          <cell r="A966" t="str">
            <v>KHF-00-104265-RA-8241-51120-0000-1</v>
          </cell>
          <cell r="B966" t="str">
            <v>KHF_AIP_D_EXT_00723</v>
          </cell>
          <cell r="C966">
            <v>43394</v>
          </cell>
          <cell r="D966" t="str">
            <v>KHF-00-104265-RA-8241-51120-0000</v>
          </cell>
          <cell r="E966" t="str">
            <v>MATERIAL APPROVAL SHEET FOR PVC CONDUIT &amp; ACCESSORIES - VENDOR-2</v>
          </cell>
          <cell r="F966">
            <v>1</v>
          </cell>
          <cell r="G966" t="str">
            <v>Code C</v>
          </cell>
        </row>
        <row r="967">
          <cell r="A967" t="str">
            <v>KHF-00-104265-BA-6070-41008-0000-1</v>
          </cell>
          <cell r="B967" t="str">
            <v>KHF_AIP_D_EXT_00724</v>
          </cell>
          <cell r="C967">
            <v>43394</v>
          </cell>
          <cell r="D967" t="str">
            <v>KHF-00-104265-BA-6070-41008-0000</v>
          </cell>
          <cell r="E967" t="str">
            <v>METHOD OF STATEMENT FOR DRAIN VESSEL PIT</v>
          </cell>
          <cell r="F967">
            <v>1</v>
          </cell>
          <cell r="G967" t="str">
            <v>Code C</v>
          </cell>
        </row>
        <row r="968">
          <cell r="A968" t="str">
            <v>KHF-00-104265-BA-6070-41009-0000-1</v>
          </cell>
          <cell r="B968" t="str">
            <v>KHF_AIP_D_EXT_00724</v>
          </cell>
          <cell r="C968">
            <v>43394</v>
          </cell>
          <cell r="D968" t="str">
            <v>KHF-00-104265-BA-6070-41009-0000</v>
          </cell>
          <cell r="E968" t="str">
            <v>METHOD OF STATEMENT FOR FLANGE PIT</v>
          </cell>
          <cell r="F968">
            <v>1</v>
          </cell>
          <cell r="G968" t="str">
            <v>Code C</v>
          </cell>
        </row>
        <row r="969">
          <cell r="A969" t="str">
            <v>KHF-00-104265-BA-6065-00640-0000-1</v>
          </cell>
          <cell r="B969" t="str">
            <v>KHF_AIP_D_EXT_00725</v>
          </cell>
          <cell r="C969">
            <v>43394</v>
          </cell>
          <cell r="D969" t="str">
            <v>KHF-00-104265-BA-6065-00640-0000</v>
          </cell>
          <cell r="E969" t="str">
            <v>WELDING PROCEDURE SPECIFICATION (WPS) / PQR-040 (AI-WPS-T-704)</v>
          </cell>
          <cell r="F969">
            <v>1</v>
          </cell>
          <cell r="G969" t="str">
            <v>Code A</v>
          </cell>
        </row>
        <row r="970">
          <cell r="A970" t="str">
            <v>KHF-00-104265-BA-6065-00641-0000-1</v>
          </cell>
          <cell r="B970" t="str">
            <v>KHF_AIP_D_EXT_00725</v>
          </cell>
          <cell r="C970">
            <v>43394</v>
          </cell>
          <cell r="D970" t="str">
            <v>KHF-00-104265-BA-6065-00641-0000</v>
          </cell>
          <cell r="E970" t="str">
            <v>WELDING PROCEDURE SPECIFICATION (WPS) / PQR-041 (AI-WPS-TM-705)</v>
          </cell>
          <cell r="F970">
            <v>1</v>
          </cell>
          <cell r="G970" t="str">
            <v>Code A</v>
          </cell>
        </row>
        <row r="971">
          <cell r="A971" t="str">
            <v>KHF-00-104265-AA-3341-60107-0000-1</v>
          </cell>
          <cell r="B971" t="str">
            <v>KHF_AIP_D_EXT_00726</v>
          </cell>
          <cell r="C971">
            <v>43394</v>
          </cell>
          <cell r="D971" t="str">
            <v>KHF-00-104265-AA-3341-60107-0000</v>
          </cell>
          <cell r="E971" t="str">
            <v>CV OF MR. ASHRAF FATHI AHMED ABDELAL - MEDICAL OFFICER</v>
          </cell>
          <cell r="F971">
            <v>1</v>
          </cell>
          <cell r="G971" t="str">
            <v>Code A</v>
          </cell>
        </row>
        <row r="972">
          <cell r="A972" t="str">
            <v>KHF-00-104265-MP-6180-00138-0000-1</v>
          </cell>
          <cell r="B972" t="str">
            <v>KHF_AIP_D_EXT_00727</v>
          </cell>
          <cell r="C972">
            <v>43396</v>
          </cell>
          <cell r="D972" t="str">
            <v>KHF-00-104265-MP-6180-00138-0000</v>
          </cell>
          <cell r="E972" t="str">
            <v>Method Statement for Repair Work (FGS)</v>
          </cell>
          <cell r="F972">
            <v>1</v>
          </cell>
          <cell r="G972" t="str">
            <v>Code B</v>
          </cell>
        </row>
        <row r="973">
          <cell r="A973" t="str">
            <v>KHF-00-104265-MP-6180-00139-0000-1</v>
          </cell>
          <cell r="B973" t="str">
            <v>KHF_AIP_D_EXT_00727</v>
          </cell>
          <cell r="C973">
            <v>43396</v>
          </cell>
          <cell r="D973" t="str">
            <v>KHF-00-104265-MP-6180-00139-0000</v>
          </cell>
          <cell r="E973" t="str">
            <v>Method Statement for Flange Tightening for GRE Pipes/Fittings (Threaded)</v>
          </cell>
          <cell r="F973">
            <v>1</v>
          </cell>
          <cell r="G973" t="str">
            <v>Code B</v>
          </cell>
        </row>
        <row r="974">
          <cell r="A974" t="str">
            <v>KHF-00-104265-RA-8241-51132-0000-1</v>
          </cell>
          <cell r="B974" t="str">
            <v>KHF_AIP_D_EXT_00728</v>
          </cell>
          <cell r="C974">
            <v>43396</v>
          </cell>
          <cell r="D974" t="str">
            <v>KHF-00-104265-RA-8241-51132-0000</v>
          </cell>
          <cell r="E974" t="str">
            <v>MATERIAL APPROVAL SHEET FOR FIRESTOP SEALANT CP 601S</v>
          </cell>
          <cell r="F974">
            <v>1</v>
          </cell>
          <cell r="G974" t="str">
            <v>Code A</v>
          </cell>
        </row>
        <row r="975">
          <cell r="A975" t="str">
            <v>KHF-00-104265-RA-8241-51133-0000-1</v>
          </cell>
          <cell r="B975" t="str">
            <v>KHF_AIP_D_EXT_00728</v>
          </cell>
          <cell r="C975">
            <v>43396</v>
          </cell>
          <cell r="D975" t="str">
            <v>KHF-00-104265-RA-8241-51133-0000</v>
          </cell>
          <cell r="E975" t="str">
            <v>MATERIAL APPROVAL SHEET FOR ROCKWOOL</v>
          </cell>
          <cell r="F975">
            <v>1</v>
          </cell>
          <cell r="G975" t="str">
            <v>Code A</v>
          </cell>
        </row>
        <row r="976">
          <cell r="A976" t="str">
            <v>---</v>
          </cell>
          <cell r="B976" t="str">
            <v>KHF_AIP_D_EXT_00729</v>
          </cell>
          <cell r="C976">
            <v>43396</v>
          </cell>
          <cell r="D976" t="str">
            <v>-</v>
          </cell>
          <cell r="E976" t="str">
            <v>AFC Drawings</v>
          </cell>
          <cell r="F976" t="str">
            <v>-</v>
          </cell>
          <cell r="G976" t="str">
            <v>Total 02 drawings</v>
          </cell>
        </row>
        <row r="977">
          <cell r="A977" t="str">
            <v>KHF-00-104265-BA-6070-00801-0000-1</v>
          </cell>
          <cell r="B977" t="str">
            <v>KHF_AIP_D_EXT_00730</v>
          </cell>
          <cell r="C977">
            <v>43396</v>
          </cell>
          <cell r="D977" t="str">
            <v>KHF-00-104265-BA-6070-00801-0000</v>
          </cell>
          <cell r="E977" t="str">
            <v>METHOD STATEMENT FOR FABRICATION AND WELDING OF STRUCTURAL STEEL WORKS</v>
          </cell>
          <cell r="F977">
            <v>1</v>
          </cell>
          <cell r="G977" t="str">
            <v>Code C</v>
          </cell>
        </row>
        <row r="978">
          <cell r="A978" t="str">
            <v>KHF-00-104265-BA-6070-00802-0000-1</v>
          </cell>
          <cell r="B978" t="str">
            <v>KHF_AIP_D_EXT_00730</v>
          </cell>
          <cell r="C978">
            <v>43396</v>
          </cell>
          <cell r="D978" t="str">
            <v>KHF-00-104265-BA-6070-00802-0000</v>
          </cell>
          <cell r="E978" t="str">
            <v>METHOD STATEMENT FOR SURFACE PREPARATION AND PAINTING OF STRUCTURAL STEEL (PCS-1 SYSTEM)</v>
          </cell>
          <cell r="F978">
            <v>1</v>
          </cell>
          <cell r="G978" t="str">
            <v>Code C</v>
          </cell>
        </row>
        <row r="979">
          <cell r="A979" t="str">
            <v>KHF-00-104265-RA-8241-51084-0000-1</v>
          </cell>
          <cell r="B979" t="str">
            <v>KHF_AIP_D_EXT_00731</v>
          </cell>
          <cell r="C979">
            <v>43396</v>
          </cell>
          <cell r="D979" t="str">
            <v>KHF-00-104265-RA-8241-51084-0000</v>
          </cell>
          <cell r="E979" t="str">
            <v>MATERIAL APPROVAL SHEET FOR DEKGUARD S, DEKGUARD FILLER AND DEKGUARD PRIMER</v>
          </cell>
          <cell r="F979">
            <v>1</v>
          </cell>
          <cell r="G979" t="str">
            <v>Code A</v>
          </cell>
        </row>
        <row r="980">
          <cell r="A980" t="str">
            <v>KHF-00-104265-AA-3341-60109-0000-1</v>
          </cell>
          <cell r="B980" t="str">
            <v>KHF_AIP_D_EXT_00732</v>
          </cell>
          <cell r="C980">
            <v>43397</v>
          </cell>
          <cell r="D980" t="str">
            <v>KHF-00-104265-AA-3341-60109-0000</v>
          </cell>
          <cell r="E980" t="str">
            <v>CV OF MR.PREMNATH V. - HSE ADVISOR</v>
          </cell>
          <cell r="F980">
            <v>1</v>
          </cell>
          <cell r="G980" t="str">
            <v>Code A</v>
          </cell>
        </row>
        <row r="981">
          <cell r="A981" t="str">
            <v>KHF-00-104265-AA-3341-60110-0000-1</v>
          </cell>
          <cell r="B981" t="str">
            <v>KHF_AIP_D_EXT_00732</v>
          </cell>
          <cell r="C981">
            <v>43397</v>
          </cell>
          <cell r="D981" t="str">
            <v>KHF-00-104265-AA-3341-60110-0000</v>
          </cell>
          <cell r="E981" t="str">
            <v>CV OF MR. SUNIL LOPAS - HSE ADVISOR</v>
          </cell>
          <cell r="F981">
            <v>1</v>
          </cell>
          <cell r="G981" t="str">
            <v>Code A</v>
          </cell>
        </row>
        <row r="982">
          <cell r="A982" t="str">
            <v>KHF-00-104265-AA-3341-60115-0000-1</v>
          </cell>
          <cell r="B982" t="str">
            <v>KHF_AIP_D_EXT_00733</v>
          </cell>
          <cell r="C982">
            <v>43397</v>
          </cell>
          <cell r="D982" t="str">
            <v>KHF-00-104265-AA-3341-60115-0000</v>
          </cell>
          <cell r="E982" t="str">
            <v>CV OF MR. S.PONNUCHAMY - QA/QC MANAGER</v>
          </cell>
          <cell r="F982">
            <v>1</v>
          </cell>
          <cell r="G982" t="str">
            <v>Code A</v>
          </cell>
        </row>
        <row r="983">
          <cell r="A983" t="str">
            <v>KHF-00-104265-BA-6070-41010-0000-1</v>
          </cell>
          <cell r="B983" t="str">
            <v>KHF_AIP_D_EXT_00734</v>
          </cell>
          <cell r="C983">
            <v>43397</v>
          </cell>
          <cell r="D983" t="str">
            <v>KHF-00-104265-BA-6070-41010-0000</v>
          </cell>
          <cell r="E983" t="str">
            <v>METHOD STATEMENT FOR LIGHT WEIGHT FOAM CONCRETE</v>
          </cell>
          <cell r="F983">
            <v>1</v>
          </cell>
          <cell r="G983" t="str">
            <v>Code C</v>
          </cell>
        </row>
        <row r="984">
          <cell r="A984" t="str">
            <v>KHF-00-104265-BA-6070-43011-0000-1</v>
          </cell>
          <cell r="B984" t="str">
            <v>KHF_AIP_D_EXT_00735</v>
          </cell>
          <cell r="C984">
            <v>43398</v>
          </cell>
          <cell r="D984" t="str">
            <v>KHF-00-104265-BA-6070-43011-0000</v>
          </cell>
          <cell r="E984" t="str">
            <v>METHOD STATEMENT FOR MODIFICATION WORKS IN G94100-GIS TAMCO SWITCHBOARD TYPE GV3 AT GGP-IV SUBSTATION</v>
          </cell>
          <cell r="F984">
            <v>1</v>
          </cell>
          <cell r="G984" t="str">
            <v>Code D</v>
          </cell>
        </row>
        <row r="985">
          <cell r="A985" t="str">
            <v>KHF-00-104265-MP-6180-00136-0000-1</v>
          </cell>
          <cell r="B985" t="str">
            <v>KHF_AIP_D_EXT_00736</v>
          </cell>
          <cell r="C985">
            <v>43398</v>
          </cell>
          <cell r="D985" t="str">
            <v>KHF-00-104265-MP-6180-00136-0000</v>
          </cell>
          <cell r="E985" t="str">
            <v>Method Statement for GRE Pipe Jointing (Threaded)</v>
          </cell>
          <cell r="F985">
            <v>1</v>
          </cell>
          <cell r="G985" t="str">
            <v>Code D</v>
          </cell>
        </row>
        <row r="986">
          <cell r="A986" t="str">
            <v>KHF-00-104265-MP-6180-00137-0000-1</v>
          </cell>
          <cell r="B986" t="str">
            <v>KHF_AIP_D_EXT_00736</v>
          </cell>
          <cell r="C986">
            <v>43398</v>
          </cell>
          <cell r="D986" t="str">
            <v>KHF-00-104265-MP-6180-00137-0000</v>
          </cell>
          <cell r="E986" t="str">
            <v>Method Statement for Field Thread Fabrication of GRE Pipes &amp; Fittings</v>
          </cell>
          <cell r="F986">
            <v>1</v>
          </cell>
          <cell r="G986" t="str">
            <v>Code B</v>
          </cell>
        </row>
        <row r="987">
          <cell r="A987" t="str">
            <v>KHF-00-104265-AA-5760-10036-0000-3</v>
          </cell>
          <cell r="B987" t="str">
            <v>KHF_AIP_D_EXT_00737</v>
          </cell>
          <cell r="C987">
            <v>43402</v>
          </cell>
          <cell r="D987" t="str">
            <v>KHF-00-104265-AA-5760-10036-0000</v>
          </cell>
          <cell r="E987" t="str">
            <v>Contract Execution Plan</v>
          </cell>
          <cell r="F987">
            <v>3</v>
          </cell>
          <cell r="G987" t="str">
            <v>Code B</v>
          </cell>
        </row>
        <row r="988">
          <cell r="A988" t="str">
            <v>---</v>
          </cell>
          <cell r="B988" t="str">
            <v>KHF_AIP_D_EXT_00738</v>
          </cell>
          <cell r="C988">
            <v>43398</v>
          </cell>
          <cell r="D988" t="str">
            <v>-</v>
          </cell>
          <cell r="E988" t="str">
            <v>AFC Drawings</v>
          </cell>
          <cell r="F988" t="str">
            <v>-</v>
          </cell>
          <cell r="G988" t="str">
            <v>Total 58 drawings</v>
          </cell>
        </row>
        <row r="989">
          <cell r="A989" t="str">
            <v>KHF-00-104265-RA-6038-00906-0000-1</v>
          </cell>
          <cell r="B989" t="str">
            <v>KHF_AIP_D_EXT_00739</v>
          </cell>
          <cell r="C989">
            <v>43401</v>
          </cell>
          <cell r="D989" t="str">
            <v>KHF-00-104265-RA-6038-00906-0000</v>
          </cell>
          <cell r="E989" t="str">
            <v>Procedure for Post Weld Heat Treatment</v>
          </cell>
          <cell r="F989">
            <v>1</v>
          </cell>
          <cell r="G989" t="str">
            <v>Code B</v>
          </cell>
        </row>
        <row r="990">
          <cell r="A990" t="str">
            <v>KHF-00-104265-RA-6038-00907-0000-1</v>
          </cell>
          <cell r="B990" t="str">
            <v>KHF_AIP_D_EXT_00739</v>
          </cell>
          <cell r="C990">
            <v>43401</v>
          </cell>
          <cell r="D990" t="str">
            <v>KHF-00-104265-RA-6038-00907-0000</v>
          </cell>
          <cell r="E990" t="str">
            <v>Procedure for Positive Material Identification using Optical Emission Spectrometer &amp; XRF Methods</v>
          </cell>
          <cell r="F990">
            <v>1</v>
          </cell>
          <cell r="G990" t="str">
            <v>Code B</v>
          </cell>
        </row>
        <row r="991">
          <cell r="A991" t="str">
            <v>KHF-00-104265-RA-6038-00908-0000-1</v>
          </cell>
          <cell r="B991" t="str">
            <v>KHF_AIP_D_EXT_00739</v>
          </cell>
          <cell r="C991">
            <v>43401</v>
          </cell>
          <cell r="D991" t="str">
            <v>KHF-00-104265-RA-6038-00908-0000</v>
          </cell>
          <cell r="E991" t="str">
            <v>Procedure for Hardness Testing</v>
          </cell>
          <cell r="F991">
            <v>1</v>
          </cell>
          <cell r="G991" t="str">
            <v>Code B</v>
          </cell>
        </row>
        <row r="992">
          <cell r="A992" t="str">
            <v>KHF-00-104265-RA-6038-00909-0000-1</v>
          </cell>
          <cell r="B992" t="str">
            <v>KHF_AIP_D_EXT_00739</v>
          </cell>
          <cell r="C992">
            <v>43401</v>
          </cell>
          <cell r="D992" t="str">
            <v>KHF-00-104265-RA-6038-00909-0000</v>
          </cell>
          <cell r="E992" t="str">
            <v>Procedure for Ferrite Content Measurement</v>
          </cell>
          <cell r="F992">
            <v>1</v>
          </cell>
          <cell r="G992" t="str">
            <v>Code B</v>
          </cell>
        </row>
        <row r="993">
          <cell r="A993" t="str">
            <v>KHF-00-104265-BA-6070-42004-0000-1</v>
          </cell>
          <cell r="B993" t="str">
            <v>KHF_AIP_D_EXT_00740</v>
          </cell>
          <cell r="C993">
            <v>43402</v>
          </cell>
          <cell r="D993" t="str">
            <v>KHF-00-104265-BA-6070-42004-0000</v>
          </cell>
          <cell r="E993" t="str">
            <v>METHOD STATEMENT FOR INSTALLATION OF EOT CRANE AT 132 KV GIS BUILDING IN AREA 100</v>
          </cell>
          <cell r="F993">
            <v>1</v>
          </cell>
          <cell r="G993" t="str">
            <v>Code B</v>
          </cell>
        </row>
        <row r="994">
          <cell r="A994" t="str">
            <v>---</v>
          </cell>
          <cell r="B994" t="str">
            <v>KHF_AIP_D_EXT_00741</v>
          </cell>
          <cell r="C994">
            <v>43404</v>
          </cell>
          <cell r="D994" t="str">
            <v>-</v>
          </cell>
          <cell r="E994" t="str">
            <v>AFC Drawings</v>
          </cell>
          <cell r="F994" t="str">
            <v>-</v>
          </cell>
          <cell r="G994" t="str">
            <v>Total 07 drawings</v>
          </cell>
        </row>
        <row r="995">
          <cell r="A995" t="str">
            <v>KHF-00-104265-QA-6050-00605-0000-2</v>
          </cell>
          <cell r="B995" t="str">
            <v>KHF_AIP_D_EXT_00742</v>
          </cell>
          <cell r="C995">
            <v>43405</v>
          </cell>
          <cell r="D995" t="str">
            <v>KHF-00-104265-QA-6050-00605-0000</v>
          </cell>
          <cell r="E995" t="str">
            <v>Hydrotest Procedure for Piping Spool</v>
          </cell>
          <cell r="F995">
            <v>2</v>
          </cell>
          <cell r="G995" t="str">
            <v>Code A</v>
          </cell>
        </row>
        <row r="996">
          <cell r="A996" t="str">
            <v>KHF-00-104265-RA-8241-51096-0000-1</v>
          </cell>
          <cell r="B996" t="str">
            <v>KHF_AIP_D_EXT_00743</v>
          </cell>
          <cell r="C996">
            <v>43405</v>
          </cell>
          <cell r="D996" t="str">
            <v>KHF-00-104265-RA-8241-51096-0000</v>
          </cell>
          <cell r="E996" t="str">
            <v>MATERIAL APPROVAL SHEET FOR CEMENTITIOUS WATERPROOF COATING (RICHFLEX)</v>
          </cell>
          <cell r="F996">
            <v>1</v>
          </cell>
          <cell r="G996" t="str">
            <v>Code D</v>
          </cell>
        </row>
        <row r="997">
          <cell r="A997" t="str">
            <v>KHF-00-104265-AA-3341-00134-0000-2</v>
          </cell>
          <cell r="B997" t="str">
            <v>KHF_AIP_D_EXT_00744</v>
          </cell>
          <cell r="C997">
            <v>43408</v>
          </cell>
          <cell r="D997" t="str">
            <v>KHF-00-104265-AA-3341-00134-0000</v>
          </cell>
          <cell r="E997" t="str">
            <v>CV OF MR-PANKE ANAND SANTOSH KUMAR - NDT TECHNICIAN (RT- MT-PT and UT Lamination)</v>
          </cell>
          <cell r="F997">
            <v>2</v>
          </cell>
          <cell r="G997" t="str">
            <v>Code A</v>
          </cell>
        </row>
        <row r="998">
          <cell r="A998" t="str">
            <v>KHF-00-104265-AA-3341-60112-0000-1</v>
          </cell>
          <cell r="B998" t="str">
            <v>KHF_AIP_D_EXT_00745</v>
          </cell>
          <cell r="C998">
            <v>43408</v>
          </cell>
          <cell r="D998" t="str">
            <v>KHF-00-104265-AA-3341-60112-0000</v>
          </cell>
          <cell r="E998" t="str">
            <v>CV OF MR. MOHAMMED KAMRAN ALAM - QC INSPECTOR - INSTRUMENTATION</v>
          </cell>
          <cell r="F998">
            <v>1</v>
          </cell>
          <cell r="G998" t="str">
            <v>Code B</v>
          </cell>
        </row>
        <row r="999">
          <cell r="A999" t="str">
            <v>KHF-00-104265-AA-3341-60117-0000-1</v>
          </cell>
          <cell r="B999" t="str">
            <v>KHF_AIP_D_EXT_00746</v>
          </cell>
          <cell r="C999">
            <v>43408</v>
          </cell>
          <cell r="D999" t="str">
            <v>KHF-00-104265-AA-3341-60117-0000</v>
          </cell>
          <cell r="E999" t="str">
            <v>CV OF MR. MOHAMED MANSOOR - QC INSPECTOR -INSTRUMENT &amp; TELECOM</v>
          </cell>
          <cell r="F999">
            <v>1</v>
          </cell>
          <cell r="G999" t="str">
            <v>Code B</v>
          </cell>
        </row>
        <row r="1000">
          <cell r="A1000" t="str">
            <v>KHF-00-104265-AA-3341-60119-0000-1</v>
          </cell>
          <cell r="B1000" t="str">
            <v>KHF_AIP_D_EXT_00747</v>
          </cell>
          <cell r="C1000">
            <v>43408</v>
          </cell>
          <cell r="D1000" t="str">
            <v>KHF-00-104265-AA-3341-60119-0000</v>
          </cell>
          <cell r="E1000" t="str">
            <v>CV OF MR. MAGESH C. R - QC INSPECTOR CIVIL</v>
          </cell>
          <cell r="F1000">
            <v>1</v>
          </cell>
          <cell r="G1000" t="str">
            <v>Code B</v>
          </cell>
        </row>
        <row r="1001">
          <cell r="A1001" t="str">
            <v>KHF-00-104265-BA-6070-00145-0000-1</v>
          </cell>
          <cell r="B1001" t="str">
            <v>KHF_AIP_D_EXT_00748</v>
          </cell>
          <cell r="C1001">
            <v>43408</v>
          </cell>
          <cell r="D1001" t="str">
            <v>KHF-00-104265-BA-6070-00145-0000</v>
          </cell>
          <cell r="E1001" t="str">
            <v>Method Statement for Hydrotesting of High Pressure GRE Flowlines (Threaded)</v>
          </cell>
          <cell r="F1001">
            <v>1</v>
          </cell>
          <cell r="G1001" t="str">
            <v>Code B</v>
          </cell>
        </row>
        <row r="1002">
          <cell r="A1002" t="str">
            <v>KHF-00-104265-RA-8241-51060-0000-2</v>
          </cell>
          <cell r="B1002" t="str">
            <v>KHF_AIP_D_EXT_00749</v>
          </cell>
          <cell r="C1002">
            <v>43408</v>
          </cell>
          <cell r="D1002" t="str">
            <v>KHF-00-104265-RA-8241-51060-0000</v>
          </cell>
          <cell r="E1002" t="str">
            <v>MATERIAL APPROVAL SHEET FOR ROLLING SHUTTER</v>
          </cell>
          <cell r="F1002">
            <v>2</v>
          </cell>
          <cell r="G1002" t="str">
            <v>Code A</v>
          </cell>
        </row>
        <row r="1003">
          <cell r="A1003" t="str">
            <v>KHF-00-104265-RA-8241-51128-0000-1</v>
          </cell>
          <cell r="B1003" t="str">
            <v>KHF_AIP_D_EXT_00750</v>
          </cell>
          <cell r="C1003">
            <v>43409</v>
          </cell>
          <cell r="D1003" t="str">
            <v>KHF-00-104265-RA-8241-51128-0000</v>
          </cell>
          <cell r="E1003" t="str">
            <v>MATERIAL APPROVAL SHEET FOR PORTABLE HAND-HELD TORCH LIGHT WITH BATTERY BACKUP</v>
          </cell>
          <cell r="F1003">
            <v>1</v>
          </cell>
          <cell r="G1003" t="str">
            <v>Code B</v>
          </cell>
        </row>
        <row r="1004">
          <cell r="A1004" t="str">
            <v>KHF-00-104265-QA-5733-22005-0000-1</v>
          </cell>
          <cell r="B1004" t="str">
            <v>KHF_AIP_D_EXT_00751</v>
          </cell>
          <cell r="C1004">
            <v>43409</v>
          </cell>
          <cell r="D1004" t="str">
            <v>KHF-00-104265-QA-5733-22005-0000</v>
          </cell>
          <cell r="E1004" t="str">
            <v>Inspection &amp; Test Plan for Installation of Above Ground Carbon Steel Pipeline Works</v>
          </cell>
          <cell r="F1004">
            <v>1</v>
          </cell>
          <cell r="G1004" t="str">
            <v>Code B</v>
          </cell>
        </row>
        <row r="1005">
          <cell r="A1005" t="str">
            <v>KHF-00-104265-AA-3341-60116-0000-1</v>
          </cell>
          <cell r="B1005" t="str">
            <v>KHF_AIP_D_EXT_00752</v>
          </cell>
          <cell r="C1005">
            <v>43409</v>
          </cell>
          <cell r="D1005" t="str">
            <v>KHF-00-104265-AA-3341-60116-0000</v>
          </cell>
          <cell r="E1005" t="str">
            <v>CV OF MR. R. SANKARA NARAYANAN  - LEAD QC ENGINEER</v>
          </cell>
          <cell r="F1005">
            <v>1</v>
          </cell>
          <cell r="G1005" t="str">
            <v>Code B</v>
          </cell>
        </row>
        <row r="1006">
          <cell r="A1006" t="str">
            <v>KHF-00-104265-QA-5733-00801-0000-2</v>
          </cell>
          <cell r="B1006" t="str">
            <v>KHF_AIP_D_EXT_00753</v>
          </cell>
          <cell r="C1006">
            <v>43409</v>
          </cell>
          <cell r="D1006" t="str">
            <v>KHF-00-104265-QA-5733-00801-0000</v>
          </cell>
          <cell r="E1006" t="str">
            <v>INSPECTION AND TEST PLAN-FABRICATION &amp; WELDING OF STRUCTURAL STEEL</v>
          </cell>
          <cell r="F1006">
            <v>2</v>
          </cell>
          <cell r="G1006" t="str">
            <v>Code A</v>
          </cell>
        </row>
        <row r="1007">
          <cell r="A1007" t="str">
            <v>KHF-00-104265-QA-5733-00802-0000-2</v>
          </cell>
          <cell r="B1007" t="str">
            <v>KHF_AIP_D_EXT_00753</v>
          </cell>
          <cell r="C1007">
            <v>43409</v>
          </cell>
          <cell r="D1007" t="str">
            <v>KHF-00-104265-QA-5733-00802-0000</v>
          </cell>
          <cell r="E1007" t="str">
            <v>INSPECTION AND TEST PLAN-SURFACE PREPARATION &amp; PAINTING OF STRUCTURAL STEEL</v>
          </cell>
          <cell r="F1007">
            <v>2</v>
          </cell>
          <cell r="G1007" t="str">
            <v>Code A</v>
          </cell>
        </row>
        <row r="1008">
          <cell r="A1008" t="str">
            <v>KHF-00-104265-HX-6180-00901-0000-1</v>
          </cell>
          <cell r="B1008" t="str">
            <v>KHF_AIP_D_EXT_00754</v>
          </cell>
          <cell r="C1008">
            <v>43409</v>
          </cell>
          <cell r="D1008" t="str">
            <v>KHF-00-104265-HX-6180-00901-0000</v>
          </cell>
          <cell r="E1008" t="str">
            <v>Procedure for Radiation Safety</v>
          </cell>
          <cell r="F1008">
            <v>1</v>
          </cell>
          <cell r="G1008" t="str">
            <v>Code B</v>
          </cell>
        </row>
        <row r="1009">
          <cell r="A1009" t="str">
            <v>KHF-00-104265-HX-6180-00902-0000-1</v>
          </cell>
          <cell r="B1009" t="str">
            <v>KHF_AIP_D_EXT_00754</v>
          </cell>
          <cell r="C1009">
            <v>43409</v>
          </cell>
          <cell r="D1009" t="str">
            <v>KHF-00-104265-HX-6180-00902-0000</v>
          </cell>
          <cell r="E1009" t="str">
            <v>Standard Handling Procedures for the Transport of Radioisotopes</v>
          </cell>
          <cell r="F1009">
            <v>1</v>
          </cell>
          <cell r="G1009" t="str">
            <v>Code B</v>
          </cell>
        </row>
        <row r="1010">
          <cell r="A1010" t="str">
            <v>KHF-00-104265-HX-6180-00903-0000-1</v>
          </cell>
          <cell r="B1010" t="str">
            <v>KHF_AIP_D_EXT_00754</v>
          </cell>
          <cell r="C1010">
            <v>43409</v>
          </cell>
          <cell r="D1010" t="str">
            <v>KHF-00-104265-HX-6180-00903-0000</v>
          </cell>
          <cell r="E1010" t="str">
            <v>Procedure for Source Exchange</v>
          </cell>
          <cell r="F1010">
            <v>1</v>
          </cell>
          <cell r="G1010" t="str">
            <v>Code B</v>
          </cell>
        </row>
        <row r="1011">
          <cell r="A1011" t="str">
            <v>KHF-00-104265-HX-6180-00904-0000-1</v>
          </cell>
          <cell r="B1011" t="str">
            <v>KHF_AIP_D_EXT_00754</v>
          </cell>
          <cell r="C1011">
            <v>43409</v>
          </cell>
          <cell r="D1011" t="str">
            <v>KHF-00-104265-HX-6180-00904-0000</v>
          </cell>
          <cell r="E1011" t="str">
            <v>Procedure for Emergency Preparedness and Incident /Accident Reporting and Investigations</v>
          </cell>
          <cell r="F1011">
            <v>1</v>
          </cell>
          <cell r="G1011" t="str">
            <v>Code B</v>
          </cell>
        </row>
        <row r="1012">
          <cell r="A1012" t="str">
            <v>KHF-00-104265-HX-6180-00905-0000-1</v>
          </cell>
          <cell r="B1012" t="str">
            <v>KHF_AIP_D_EXT_00754</v>
          </cell>
          <cell r="C1012">
            <v>43409</v>
          </cell>
          <cell r="D1012" t="str">
            <v>KHF-00-104265-HX-6180-00905-0000</v>
          </cell>
          <cell r="E1012" t="str">
            <v>Procedure for Waste Disposal</v>
          </cell>
          <cell r="F1012">
            <v>1</v>
          </cell>
          <cell r="G1012" t="str">
            <v>Code B</v>
          </cell>
        </row>
        <row r="1013">
          <cell r="A1013" t="str">
            <v>KHF-00-104265-BA-6065-00644-0000-1</v>
          </cell>
          <cell r="B1013" t="str">
            <v>KHF_AIP_D_EXT_00755</v>
          </cell>
          <cell r="C1013">
            <v>43410</v>
          </cell>
          <cell r="D1013" t="str">
            <v>KHF-00-104265-BA-6065-00644-0000</v>
          </cell>
          <cell r="E1013" t="str">
            <v>WELDING PROCEDURE SPECIFICATION (WPS) / PQR-044 (AI-WPS-TM-634)</v>
          </cell>
          <cell r="F1013">
            <v>1</v>
          </cell>
          <cell r="G1013" t="str">
            <v>Code B</v>
          </cell>
        </row>
        <row r="1014">
          <cell r="A1014" t="str">
            <v>KHF-00-104265-FA-5765-10040-0000-5</v>
          </cell>
          <cell r="B1014" t="str">
            <v>KHF_AIP_D_EXT_00756</v>
          </cell>
          <cell r="C1014">
            <v>43410</v>
          </cell>
          <cell r="D1014" t="str">
            <v>KHF-00-104265-FA-5765-10040-0000</v>
          </cell>
          <cell r="E1014" t="str">
            <v>PROJECT SCHEDULE - LEVEL 04</v>
          </cell>
          <cell r="F1014">
            <v>5</v>
          </cell>
          <cell r="G1014" t="str">
            <v>Code B</v>
          </cell>
        </row>
        <row r="1015">
          <cell r="A1015" t="str">
            <v>KHF-00-104265-LA-5009-00118-0000-1</v>
          </cell>
          <cell r="B1015" t="str">
            <v>KHF_AIP_D_EXT_00757</v>
          </cell>
          <cell r="C1015">
            <v>43410</v>
          </cell>
          <cell r="D1015" t="str">
            <v>KHF-00-104265-LA-5009-00118-0000</v>
          </cell>
          <cell r="E1015" t="str">
            <v>MAS for 3 G.I Pipe (Class L2 ) For Pipeline Marker Post-Off Plot</v>
          </cell>
          <cell r="F1015">
            <v>1</v>
          </cell>
          <cell r="G1015" t="str">
            <v>Code D</v>
          </cell>
        </row>
        <row r="1016">
          <cell r="A1016" t="str">
            <v>KHF-00-104265-QA-6050-00102-0000-5</v>
          </cell>
          <cell r="B1016" t="str">
            <v>KHF_AIP_D_EXT_00758</v>
          </cell>
          <cell r="C1016">
            <v>43411</v>
          </cell>
          <cell r="D1016" t="str">
            <v>KHF-00-104265-QA-6050-00102-0000</v>
          </cell>
          <cell r="E1016" t="str">
            <v>Quality Control Plan for Earthworks</v>
          </cell>
          <cell r="F1016">
            <v>5</v>
          </cell>
          <cell r="G1016" t="str">
            <v>Code B</v>
          </cell>
        </row>
        <row r="1017">
          <cell r="A1017" t="str">
            <v>KHF-00-104265-QA-6050-00103-0000-4</v>
          </cell>
          <cell r="B1017" t="str">
            <v>KHF_AIP_D_EXT_00758</v>
          </cell>
          <cell r="C1017">
            <v>43411</v>
          </cell>
          <cell r="D1017" t="str">
            <v>KHF-00-104265-QA-6050-00103-0000</v>
          </cell>
          <cell r="E1017" t="str">
            <v>Quality Control Plan for Concrete Works</v>
          </cell>
          <cell r="F1017">
            <v>4</v>
          </cell>
          <cell r="G1017" t="str">
            <v>Code A</v>
          </cell>
        </row>
        <row r="1018">
          <cell r="A1018" t="str">
            <v>KHF-00-104265-QA-6050-00107-0000-4</v>
          </cell>
          <cell r="B1018" t="str">
            <v>KHF_AIP_D_EXT_00758</v>
          </cell>
          <cell r="C1018">
            <v>43411</v>
          </cell>
          <cell r="D1018" t="str">
            <v>KHF-00-104265-QA-6050-00107-0000</v>
          </cell>
          <cell r="E1018" t="str">
            <v>Quality Control Plan for Painting (PCS-01)</v>
          </cell>
          <cell r="F1018">
            <v>4</v>
          </cell>
          <cell r="G1018" t="str">
            <v>Code A</v>
          </cell>
        </row>
        <row r="1019">
          <cell r="A1019" t="str">
            <v>KHF-00-104265-RA-8241-51124-0000-1</v>
          </cell>
          <cell r="B1019" t="str">
            <v>KHF_AIP_D_EXT_00759</v>
          </cell>
          <cell r="C1019">
            <v>43411</v>
          </cell>
          <cell r="D1019" t="str">
            <v>KHF-00-104265-RA-8241-51124-0000</v>
          </cell>
          <cell r="E1019" t="str">
            <v>MATERIAL APPROVAL SHEET FOR INSTRUMENT CABLE TILE AND CAUTION TAPE</v>
          </cell>
          <cell r="F1019">
            <v>1</v>
          </cell>
          <cell r="G1019" t="str">
            <v>Code A</v>
          </cell>
        </row>
        <row r="1020">
          <cell r="A1020" t="str">
            <v>KHF-00-104265-AA-3341-00135-0000-1</v>
          </cell>
          <cell r="B1020" t="str">
            <v>KHF_AIP_D_EXT_00760</v>
          </cell>
          <cell r="C1020">
            <v>43412</v>
          </cell>
          <cell r="D1020" t="str">
            <v>KHF-00-104265-AA-3341-00135-0000</v>
          </cell>
          <cell r="E1020" t="str">
            <v>CV of Mr. Jitendra Kumar Yadav - GRE Pipe Jointer (FGS)</v>
          </cell>
          <cell r="F1020">
            <v>1</v>
          </cell>
          <cell r="G1020" t="str">
            <v>Code D</v>
          </cell>
        </row>
        <row r="1021">
          <cell r="A1021" t="str">
            <v>KHF-00-104265-AA-3341-00136-0000-1</v>
          </cell>
          <cell r="B1021" t="str">
            <v>KHF_AIP_D_EXT_00760</v>
          </cell>
          <cell r="C1021">
            <v>43412</v>
          </cell>
          <cell r="D1021" t="str">
            <v>KHF-00-104265-AA-3341-00136-0000</v>
          </cell>
          <cell r="E1021" t="str">
            <v>CV of Mr. Total Mandal - GRE Jointer/Bonder (FGS)</v>
          </cell>
          <cell r="F1021">
            <v>1</v>
          </cell>
          <cell r="G1021" t="str">
            <v>Code D</v>
          </cell>
        </row>
        <row r="1022">
          <cell r="A1022" t="str">
            <v>KHF-00-104265-AA-3341-00137-0000-1</v>
          </cell>
          <cell r="B1022" t="str">
            <v>KHF_AIP_D_EXT_00760</v>
          </cell>
          <cell r="C1022">
            <v>43412</v>
          </cell>
          <cell r="D1022" t="str">
            <v>KHF-00-104265-AA-3341-00137-0000</v>
          </cell>
          <cell r="E1022" t="str">
            <v>CV of Mr. Bhupendra Tiwari - GRE Pipe Jointer (FGS)</v>
          </cell>
          <cell r="F1022">
            <v>1</v>
          </cell>
          <cell r="G1022" t="str">
            <v>Code D</v>
          </cell>
        </row>
        <row r="1023">
          <cell r="A1023" t="str">
            <v>KHF-00-104265-BA-6065-00631-0000-2</v>
          </cell>
          <cell r="B1023" t="str">
            <v>KHF_AIP_D_EXT_00761</v>
          </cell>
          <cell r="C1023">
            <v>43412</v>
          </cell>
          <cell r="D1023" t="str">
            <v>KHF-00-104265-BA-6065-00631-0000</v>
          </cell>
          <cell r="E1023" t="str">
            <v>WELDING PROCEDURE SPECIFICATION (WPS) /PQR- 031 (AI-WPS-T-381FW)</v>
          </cell>
          <cell r="F1023">
            <v>2</v>
          </cell>
          <cell r="G1023" t="str">
            <v>Code A</v>
          </cell>
        </row>
        <row r="1024">
          <cell r="A1024" t="str">
            <v>KHF-00-104265-BA-6065-00632-0000-2</v>
          </cell>
          <cell r="B1024" t="str">
            <v>KHF_AIP_D_EXT_00761</v>
          </cell>
          <cell r="C1024">
            <v>43412</v>
          </cell>
          <cell r="D1024" t="str">
            <v>KHF-00-104265-BA-6065-00632-0000</v>
          </cell>
          <cell r="E1024" t="str">
            <v>WELDING PROCEDURE SPECIFICATION (WPS) /PQR- 032 (AI-WPS-M-508FW)</v>
          </cell>
          <cell r="F1024">
            <v>2</v>
          </cell>
          <cell r="G1024" t="str">
            <v>Code A</v>
          </cell>
        </row>
        <row r="1025">
          <cell r="A1025" t="str">
            <v>KHF-00-104265-BA-6065-00645-0000-1</v>
          </cell>
          <cell r="B1025" t="str">
            <v>KHF_AIP_D_EXT_00762</v>
          </cell>
          <cell r="C1025">
            <v>43412</v>
          </cell>
          <cell r="D1025" t="str">
            <v>KHF-00-104265-BA-6065-00645-0000</v>
          </cell>
          <cell r="E1025" t="str">
            <v>Welding Procedure Specification (WPS) / PQR-045 (AIM-WPS-TM-710 (825 # 625)</v>
          </cell>
          <cell r="F1025">
            <v>1</v>
          </cell>
          <cell r="G1025" t="str">
            <v>Code B</v>
          </cell>
        </row>
        <row r="1026">
          <cell r="A1026" t="str">
            <v>KHF-00-104265-QA-6050-00115-0000-2</v>
          </cell>
          <cell r="B1026" t="str">
            <v>KHF_AIP_D_EXT_00763</v>
          </cell>
          <cell r="C1026">
            <v>43412</v>
          </cell>
          <cell r="D1026" t="str">
            <v>KHF-00-104265-QA-6050-00115-0000</v>
          </cell>
          <cell r="E1026" t="str">
            <v>Quality Control Plan for Hydrotesting of CS Pipeline</v>
          </cell>
          <cell r="F1026">
            <v>2</v>
          </cell>
          <cell r="G1026" t="str">
            <v>Code B</v>
          </cell>
        </row>
        <row r="1027">
          <cell r="A1027" t="str">
            <v>---</v>
          </cell>
          <cell r="B1027" t="str">
            <v>KHF_AIP_D_EXT_00764</v>
          </cell>
          <cell r="C1027">
            <v>43415</v>
          </cell>
          <cell r="D1027" t="str">
            <v>-</v>
          </cell>
          <cell r="E1027" t="str">
            <v>AFC Drawings</v>
          </cell>
          <cell r="F1027" t="str">
            <v>-</v>
          </cell>
          <cell r="G1027" t="str">
            <v>Total 20 drawings</v>
          </cell>
        </row>
        <row r="1028">
          <cell r="A1028" t="str">
            <v>---</v>
          </cell>
          <cell r="B1028" t="str">
            <v>KHF_AIP_D_EXT_00765</v>
          </cell>
          <cell r="C1028">
            <v>43416</v>
          </cell>
          <cell r="D1028" t="str">
            <v>-</v>
          </cell>
          <cell r="E1028" t="str">
            <v>AFC Drawings</v>
          </cell>
          <cell r="F1028" t="str">
            <v>-</v>
          </cell>
          <cell r="G1028" t="str">
            <v>Total 04 drawings</v>
          </cell>
        </row>
        <row r="1029">
          <cell r="A1029" t="str">
            <v>KHF-00-104265-FA-5759-10059-0000-1</v>
          </cell>
          <cell r="B1029" t="str">
            <v>KHF_AIP_D_EXT_00766</v>
          </cell>
          <cell r="C1029">
            <v>43416</v>
          </cell>
          <cell r="D1029" t="str">
            <v>KHF-00-104265-FA-5759-10059-0000</v>
          </cell>
          <cell r="E1029" t="str">
            <v>Project Cost &amp; Scheduling Control Plan</v>
          </cell>
          <cell r="F1029">
            <v>1</v>
          </cell>
          <cell r="G1029" t="str">
            <v>Code B</v>
          </cell>
        </row>
        <row r="1030">
          <cell r="A1030" t="str">
            <v>KHF-00-104265-RA-8241-51072-0000-2</v>
          </cell>
          <cell r="B1030" t="str">
            <v>KHF_AIP_D_EXT_00767</v>
          </cell>
          <cell r="C1030">
            <v>43416</v>
          </cell>
          <cell r="D1030" t="str">
            <v>KHF-00-104265-RA-8241-51072-0000</v>
          </cell>
          <cell r="E1030" t="str">
            <v>MATERIAL APPROVAL SHEET FOR CS PIPE SLEEVES</v>
          </cell>
          <cell r="F1030">
            <v>2</v>
          </cell>
          <cell r="G1030" t="str">
            <v>Code C</v>
          </cell>
        </row>
        <row r="1031">
          <cell r="A1031" t="str">
            <v>KHF-00-104265-RA-8241-51121-0000-1</v>
          </cell>
          <cell r="B1031" t="str">
            <v>KHF_AIP_D_EXT_00768</v>
          </cell>
          <cell r="C1031">
            <v>43418</v>
          </cell>
          <cell r="D1031" t="str">
            <v>KHF-00-104265-RA-8241-51121-0000</v>
          </cell>
          <cell r="E1031" t="str">
            <v>MATERIAL APPROVAL SHEET FOR FLEXIBLE METALLIC CONDUIT &amp; ACCESORIES</v>
          </cell>
          <cell r="F1031">
            <v>1</v>
          </cell>
          <cell r="G1031" t="str">
            <v>Code B</v>
          </cell>
        </row>
        <row r="1032">
          <cell r="A1032" t="str">
            <v>KHF-00-104265-RA-8241-51122-0000-1</v>
          </cell>
          <cell r="B1032" t="str">
            <v>KHF_AIP_D_EXT_00768</v>
          </cell>
          <cell r="C1032">
            <v>43418</v>
          </cell>
          <cell r="D1032" t="str">
            <v>KHF-00-104265-RA-8241-51122-0000</v>
          </cell>
          <cell r="E1032" t="str">
            <v>MATERIAL APPROVAL SHEET FOR HEAVY GAUGE GI CONDUIT &amp; ACCESSORIES (VENDOR-1)</v>
          </cell>
          <cell r="F1032">
            <v>1</v>
          </cell>
          <cell r="G1032" t="str">
            <v>Code B</v>
          </cell>
        </row>
        <row r="1033">
          <cell r="A1033" t="str">
            <v>KHF-00-104265-RA-8241-51123-0000-1</v>
          </cell>
          <cell r="B1033" t="str">
            <v>KHF_AIP_D_EXT_00768</v>
          </cell>
          <cell r="C1033">
            <v>43418</v>
          </cell>
          <cell r="D1033" t="str">
            <v>KHF-00-104265-RA-8241-51123-0000</v>
          </cell>
          <cell r="E1033" t="str">
            <v>MATERIAL APPROVAL SHEET FOR HEAVY GAUGE GI CONDUIT &amp; ACCESSORIES (VENDOR-2)</v>
          </cell>
          <cell r="F1033">
            <v>1</v>
          </cell>
          <cell r="G1033" t="str">
            <v>Code D</v>
          </cell>
        </row>
        <row r="1034">
          <cell r="A1034" t="str">
            <v>KHF-00-104265-RA-8241-51134-0000-1</v>
          </cell>
          <cell r="B1034" t="str">
            <v>KHF_AIP_D_EXT_00769</v>
          </cell>
          <cell r="C1034">
            <v>43418</v>
          </cell>
          <cell r="D1034" t="str">
            <v>KHF-00-104265-RA-8241-51134-0000</v>
          </cell>
          <cell r="E1034" t="str">
            <v>MATERIAL APPROVAL SHEET FOR HEAVY GAUGE GI CONDUIT &amp; ACCESSORIES (VENDOR-3)</v>
          </cell>
          <cell r="F1034">
            <v>1</v>
          </cell>
          <cell r="G1034" t="str">
            <v>Code D</v>
          </cell>
        </row>
        <row r="1035">
          <cell r="A1035" t="str">
            <v>KHF-00-104265-RA-8241-51136-0000-1</v>
          </cell>
          <cell r="B1035" t="str">
            <v>KHF_AIP_D_EXT_00770</v>
          </cell>
          <cell r="C1035">
            <v>43418</v>
          </cell>
          <cell r="D1035" t="str">
            <v>KHF-00-104265-RA-8241-51136-0000</v>
          </cell>
          <cell r="E1035" t="str">
            <v>MATERIAL APPROVAL SHEET FOR CABLE TRAYS/SUPPORT CHANNEL WITH ACCESSORIES / LADDER &amp; PERFORRATED - (VENDOR-3)</v>
          </cell>
          <cell r="F1035">
            <v>1</v>
          </cell>
          <cell r="G1035" t="str">
            <v>Code A</v>
          </cell>
        </row>
        <row r="1036">
          <cell r="A1036" t="str">
            <v>KHF-00-104265-BA-6070-42005-0000-1</v>
          </cell>
          <cell r="B1036" t="str">
            <v>KHF_AIP_D_EXT_00771</v>
          </cell>
          <cell r="C1036">
            <v>43419</v>
          </cell>
          <cell r="D1036" t="str">
            <v>KHF-00-104265-BA-6070-42005-0000</v>
          </cell>
          <cell r="E1036" t="str">
            <v>METHOD STATEMENT FOR HYDROSTATIC TESTING OF PIPING</v>
          </cell>
          <cell r="F1036">
            <v>1</v>
          </cell>
          <cell r="G1036" t="str">
            <v>Code C</v>
          </cell>
        </row>
        <row r="1037">
          <cell r="A1037" t="str">
            <v>KHF-00-104265-RA-8241-51112-0000-1</v>
          </cell>
          <cell r="B1037" t="str">
            <v>KHF_AIP_D_EXT_00772</v>
          </cell>
          <cell r="C1037">
            <v>43419</v>
          </cell>
          <cell r="D1037" t="str">
            <v>KHF-00-104265-RA-8241-51112-0000</v>
          </cell>
          <cell r="E1037" t="str">
            <v>MATERIAL APPROVAL SHEET FOR GRANOLITHIC FLOOR MATERIALS</v>
          </cell>
          <cell r="F1037">
            <v>1</v>
          </cell>
          <cell r="G1037" t="str">
            <v>Code C</v>
          </cell>
        </row>
        <row r="1038">
          <cell r="A1038" t="str">
            <v>KHF-00-104265-RA-8241-51138-0000-1</v>
          </cell>
          <cell r="B1038" t="str">
            <v>KHF_AIP_D_EXT_00773</v>
          </cell>
          <cell r="C1038">
            <v>43419</v>
          </cell>
          <cell r="D1038" t="str">
            <v>KHF-00-104265-RA-8241-51138-0000</v>
          </cell>
          <cell r="E1038" t="str">
            <v>MATERIAL APPROVAL SHEET FOR EARTH CABLE TERMINATION LUGS</v>
          </cell>
          <cell r="F1038">
            <v>1</v>
          </cell>
          <cell r="G1038" t="str">
            <v>Code A</v>
          </cell>
        </row>
        <row r="1039">
          <cell r="A1039" t="str">
            <v>KHF-00-104265-RA-8241-51139-0000-1</v>
          </cell>
          <cell r="B1039" t="str">
            <v>KHF_AIP_D_EXT_00774</v>
          </cell>
          <cell r="C1039">
            <v>43419</v>
          </cell>
          <cell r="D1039" t="str">
            <v>KHF-00-104265-RA-8241-51139-0000</v>
          </cell>
          <cell r="E1039" t="str">
            <v>MATERIAL APPROVAL SHEET FOR HILTI GALVANIZED BOLTS /NUTS &amp; ANCHOR FASTENER</v>
          </cell>
          <cell r="F1039">
            <v>1</v>
          </cell>
          <cell r="G1039" t="str">
            <v>Code A</v>
          </cell>
        </row>
        <row r="1040">
          <cell r="A1040" t="str">
            <v>KHF-00-104265-BA-6070-00146-0000-1</v>
          </cell>
          <cell r="B1040" t="str">
            <v>KHF_AIP_D_EXT_00775</v>
          </cell>
          <cell r="C1040">
            <v>43422</v>
          </cell>
          <cell r="D1040" t="str">
            <v>KHF-00-104265-BA-6070-00146-0000</v>
          </cell>
          <cell r="E1040" t="str">
            <v>Method Statement for Fabrication, Painting, and Installation of Markers and Barriers</v>
          </cell>
          <cell r="F1040">
            <v>1</v>
          </cell>
          <cell r="G1040" t="str">
            <v>Code D</v>
          </cell>
        </row>
        <row r="1041">
          <cell r="A1041" t="str">
            <v>KHF-00-104265-RA-8241-51043-0000-2</v>
          </cell>
          <cell r="B1041" t="str">
            <v>KHF_AIP_D_EXT_00776</v>
          </cell>
          <cell r="C1041">
            <v>43422</v>
          </cell>
          <cell r="D1041" t="str">
            <v>KHF-00-104265-RA-8241-51043-0000</v>
          </cell>
          <cell r="E1041" t="str">
            <v>MATERIAL APPROVAL SHEET FOR IRONMONGERY (DOORS)</v>
          </cell>
          <cell r="F1041">
            <v>2</v>
          </cell>
          <cell r="G1041" t="str">
            <v>Code A</v>
          </cell>
        </row>
        <row r="1042">
          <cell r="A1042" t="str">
            <v>KHF-00-104265-RA-8241-51109-0000-1</v>
          </cell>
          <cell r="B1042" t="str">
            <v>KHF_AIP_D_EXT_00777</v>
          </cell>
          <cell r="C1042">
            <v>43422</v>
          </cell>
          <cell r="D1042" t="str">
            <v>KHF-00-104265-RA-8241-51109-0000</v>
          </cell>
          <cell r="E1042" t="str">
            <v>MATERIAL APPROVAL SHEET FOR GRANOLITHIC FLOOR MATERIALS</v>
          </cell>
          <cell r="F1042">
            <v>1</v>
          </cell>
          <cell r="G1042" t="str">
            <v>Code C</v>
          </cell>
        </row>
        <row r="1043">
          <cell r="A1043" t="str">
            <v>KHF-00-104265-BA-6070-00148-0000-1</v>
          </cell>
          <cell r="B1043" t="str">
            <v>KHF_AIP_D_EXT_00778</v>
          </cell>
          <cell r="C1043">
            <v>43422</v>
          </cell>
          <cell r="D1043" t="str">
            <v>KHF-00-104265-BA-6070-00148-0000</v>
          </cell>
          <cell r="E1043" t="str">
            <v>Method Statement for Determination of Water (Moisture) Content of Soil by the Calcium Carbide Gas Pressure Teater Method</v>
          </cell>
          <cell r="F1043">
            <v>1</v>
          </cell>
          <cell r="G1043" t="str">
            <v>Code B</v>
          </cell>
        </row>
        <row r="1044">
          <cell r="A1044" t="str">
            <v>KHF-00-104265-BA-6070-00149-0000-1</v>
          </cell>
          <cell r="B1044" t="str">
            <v>KHF_AIP_D_EXT_00778</v>
          </cell>
          <cell r="C1044">
            <v>43422</v>
          </cell>
          <cell r="D1044" t="str">
            <v>KHF-00-104265-BA-6070-00149-0000</v>
          </cell>
          <cell r="E1044" t="str">
            <v>Method Statement for Determination of In-Situ Density of Soil</v>
          </cell>
          <cell r="F1044">
            <v>1</v>
          </cell>
          <cell r="G1044" t="str">
            <v>Code B</v>
          </cell>
        </row>
        <row r="1045">
          <cell r="A1045" t="str">
            <v>KHF-00-104265-BA-6065-00646-0000-1</v>
          </cell>
          <cell r="B1045" t="str">
            <v>KHF_AIP_D_EXT_00779</v>
          </cell>
          <cell r="C1045">
            <v>43422</v>
          </cell>
          <cell r="D1045" t="str">
            <v>KHF-00-104265-BA-6065-00646-0000</v>
          </cell>
          <cell r="E1045" t="str">
            <v>Welding Procedure Specification (WPS) / PQR-046 (AI-WPS-TS-711)</v>
          </cell>
          <cell r="F1045">
            <v>1</v>
          </cell>
          <cell r="G1045" t="str">
            <v>Code A</v>
          </cell>
        </row>
        <row r="1046">
          <cell r="A1046" t="str">
            <v>KHF-00-104265-BA-6065-00647-0000-1</v>
          </cell>
          <cell r="B1046" t="str">
            <v>KHF_AIP_D_EXT_00779</v>
          </cell>
          <cell r="C1046">
            <v>43422</v>
          </cell>
          <cell r="D1046" t="str">
            <v>KHF-00-104265-BA-6065-00647-0000</v>
          </cell>
          <cell r="E1046" t="str">
            <v>Welding Procedure Specification (WPS) / PQR-047 (AI-WPS-TM-712)</v>
          </cell>
          <cell r="F1046">
            <v>1</v>
          </cell>
          <cell r="G1046" t="str">
            <v>Code A</v>
          </cell>
        </row>
        <row r="1047">
          <cell r="A1047" t="str">
            <v>KHF-00-104265-CX-4180-10005-0001-10</v>
          </cell>
          <cell r="B1047" t="str">
            <v>KHF_AIP_D_EXT_00780</v>
          </cell>
          <cell r="C1047">
            <v>43422</v>
          </cell>
          <cell r="D1047" t="str">
            <v>KHF-00-104265-CX-4180-10005-0001</v>
          </cell>
          <cell r="E1047" t="str">
            <v>Site Camp Layout</v>
          </cell>
          <cell r="F1047">
            <v>10</v>
          </cell>
          <cell r="G1047" t="str">
            <v>Code C</v>
          </cell>
        </row>
        <row r="1048">
          <cell r="A1048" t="str">
            <v>KHF-00-104265-AA-3341-60120-0000-1</v>
          </cell>
          <cell r="B1048" t="str">
            <v>KHF_AIP_D_EXT_00781</v>
          </cell>
          <cell r="C1048">
            <v>43423</v>
          </cell>
          <cell r="D1048" t="str">
            <v>KHF-00-104265-AA-3341-60120-0000</v>
          </cell>
          <cell r="E1048" t="str">
            <v>CV OF MR. ASHWINKUMAR K.G - QC INSPECTOR-PIPING WELDING</v>
          </cell>
          <cell r="F1048">
            <v>1</v>
          </cell>
          <cell r="G1048" t="str">
            <v>Code B</v>
          </cell>
        </row>
        <row r="1049">
          <cell r="A1049" t="str">
            <v>KHF-00-104265-JA-6017-10010-0000-3</v>
          </cell>
          <cell r="B1049" t="str">
            <v>KHF_AIP_D_EXT_00782</v>
          </cell>
          <cell r="C1049">
            <v>43423</v>
          </cell>
          <cell r="D1049" t="str">
            <v>KHF-00-104265-JA-6017-10010-0000</v>
          </cell>
          <cell r="E1049" t="str">
            <v>Information Management Plan</v>
          </cell>
          <cell r="F1049">
            <v>3</v>
          </cell>
          <cell r="G1049" t="str">
            <v>Code B</v>
          </cell>
        </row>
        <row r="1050">
          <cell r="A1050" t="str">
            <v>KHF-00-104265-LA-5009-00121-0000-1</v>
          </cell>
          <cell r="B1050" t="str">
            <v>KHF_AIP_D_EXT_00783</v>
          </cell>
          <cell r="C1050">
            <v>43423</v>
          </cell>
          <cell r="D1050" t="str">
            <v>KHF-00-104265-LA-5009-00121-0000</v>
          </cell>
          <cell r="E1050" t="str">
            <v>MAS for 2 1/2 and 3 G.S.Pipes (ASTM A53 Grade B SCH-40) for Pipe line Access Barriers-Off Plot</v>
          </cell>
          <cell r="F1050">
            <v>1</v>
          </cell>
          <cell r="G1050" t="str">
            <v>Code A</v>
          </cell>
        </row>
        <row r="1051">
          <cell r="A1051" t="str">
            <v>---</v>
          </cell>
          <cell r="B1051" t="str">
            <v>KHF_AIP_D_EXT_00784</v>
          </cell>
          <cell r="C1051">
            <v>43423</v>
          </cell>
          <cell r="D1051" t="str">
            <v>-</v>
          </cell>
          <cell r="E1051" t="str">
            <v>AFC Drawings</v>
          </cell>
          <cell r="F1051" t="str">
            <v>-</v>
          </cell>
          <cell r="G1051" t="str">
            <v>Total 04 drawings</v>
          </cell>
        </row>
        <row r="1052">
          <cell r="A1052" t="str">
            <v>KHF-00-104265-RA-6038-00801-0000-1</v>
          </cell>
          <cell r="B1052" t="str">
            <v>KHF_AIP_D_EXT_00785</v>
          </cell>
          <cell r="C1052">
            <v>43423</v>
          </cell>
          <cell r="D1052" t="str">
            <v>KHF-00-104265-RA-6038-00801-0000</v>
          </cell>
          <cell r="E1052" t="str">
            <v>NDE OPERATOR QUALIFICATION RECORD</v>
          </cell>
          <cell r="F1052">
            <v>1</v>
          </cell>
          <cell r="G1052" t="str">
            <v>Code C</v>
          </cell>
        </row>
        <row r="1053">
          <cell r="A1053" t="str">
            <v>KHF-00-104265-RA-6038-00802-0000-1</v>
          </cell>
          <cell r="B1053" t="str">
            <v>KHF_AIP_D_EXT_00786</v>
          </cell>
          <cell r="C1053">
            <v>43423</v>
          </cell>
          <cell r="D1053" t="str">
            <v>KHF-00-104265-RA-6038-00802-0000</v>
          </cell>
          <cell r="E1053" t="str">
            <v>MAGNETIC PARTICLE INSPECTION PROCEDURE</v>
          </cell>
          <cell r="F1053">
            <v>1</v>
          </cell>
          <cell r="G1053" t="str">
            <v>Code A</v>
          </cell>
        </row>
        <row r="1054">
          <cell r="A1054" t="str">
            <v>KHF-00-104265-RA-6038-00804-0000-1</v>
          </cell>
          <cell r="B1054" t="str">
            <v>KHF_AIP_D_EXT_00787</v>
          </cell>
          <cell r="C1054">
            <v>43423</v>
          </cell>
          <cell r="D1054" t="str">
            <v>KHF-00-104265-RA-6038-00804-0000</v>
          </cell>
          <cell r="E1054" t="str">
            <v>RADIOGRAPHIC TESTING PROCEDURE</v>
          </cell>
          <cell r="F1054">
            <v>1</v>
          </cell>
          <cell r="G1054" t="str">
            <v>Code A</v>
          </cell>
        </row>
        <row r="1055">
          <cell r="A1055" t="str">
            <v>KHF-00-104265-RA-6038-00901-0000-1</v>
          </cell>
          <cell r="B1055" t="str">
            <v>KHF_AIP_D_EXT_00788</v>
          </cell>
          <cell r="C1055">
            <v>43423</v>
          </cell>
          <cell r="D1055" t="str">
            <v>KHF-00-104265-RA-6038-00901-0000</v>
          </cell>
          <cell r="E1055" t="str">
            <v>Procedure for Gamma-Ray Radiography for Piping</v>
          </cell>
          <cell r="F1055">
            <v>1</v>
          </cell>
          <cell r="G1055" t="str">
            <v>Code A</v>
          </cell>
        </row>
        <row r="1056">
          <cell r="A1056" t="str">
            <v>KHF-00-104265-RA-6038-00902-0000-1</v>
          </cell>
          <cell r="B1056" t="str">
            <v>KHF_AIP_D_EXT_00788</v>
          </cell>
          <cell r="C1056">
            <v>43423</v>
          </cell>
          <cell r="D1056" t="str">
            <v>KHF-00-104265-RA-6038-00902-0000</v>
          </cell>
          <cell r="E1056" t="str">
            <v>Procedure for External X-Ray Radiography for Piping</v>
          </cell>
          <cell r="F1056">
            <v>1</v>
          </cell>
          <cell r="G1056" t="str">
            <v>Code A</v>
          </cell>
        </row>
        <row r="1057">
          <cell r="A1057" t="str">
            <v>KHF-00-104265-RA-6038-00903-0000-1</v>
          </cell>
          <cell r="B1057" t="str">
            <v>KHF_AIP_D_EXT_00788</v>
          </cell>
          <cell r="C1057">
            <v>43423</v>
          </cell>
          <cell r="D1057" t="str">
            <v>KHF-00-104265-RA-6038-00903-0000</v>
          </cell>
          <cell r="E1057" t="str">
            <v>Procedure for Magnetic Particle Testing for Piping</v>
          </cell>
          <cell r="F1057">
            <v>1</v>
          </cell>
          <cell r="G1057" t="str">
            <v>Code A</v>
          </cell>
        </row>
        <row r="1058">
          <cell r="A1058" t="str">
            <v>KHF-00-104265-RA-6038-00904-0000-1</v>
          </cell>
          <cell r="B1058" t="str">
            <v>KHF_AIP_D_EXT_00788</v>
          </cell>
          <cell r="C1058">
            <v>43423</v>
          </cell>
          <cell r="D1058" t="str">
            <v>KHF-00-104265-RA-6038-00904-0000</v>
          </cell>
          <cell r="E1058" t="str">
            <v>Procedure for Liquid Penetrant Testing for Piping</v>
          </cell>
          <cell r="F1058">
            <v>1</v>
          </cell>
          <cell r="G1058" t="str">
            <v>Code A</v>
          </cell>
        </row>
        <row r="1059">
          <cell r="A1059" t="str">
            <v>KHF-00-104265-RA-6038-00905-0000-1</v>
          </cell>
          <cell r="B1059" t="str">
            <v>KHF_AIP_D_EXT_00788</v>
          </cell>
          <cell r="C1059">
            <v>43423</v>
          </cell>
          <cell r="D1059" t="str">
            <v>KHF-00-104265-RA-6038-00905-0000</v>
          </cell>
          <cell r="E1059" t="str">
            <v>Procedure for Ultrasonic Testing for Lamination for Piping</v>
          </cell>
          <cell r="F1059">
            <v>1</v>
          </cell>
          <cell r="G1059" t="str">
            <v>Code A</v>
          </cell>
        </row>
        <row r="1060">
          <cell r="A1060" t="str">
            <v>GGP-90-104133-IN-6612-00002-0000-3</v>
          </cell>
          <cell r="B1060" t="str">
            <v>KHF_AIP_D_EXT_00789</v>
          </cell>
          <cell r="C1060">
            <v>43429</v>
          </cell>
          <cell r="D1060" t="str">
            <v>GGP-90-104133-IN-6612-00002-0000</v>
          </cell>
          <cell r="E1060" t="str">
            <v>INSTRUMENT SUMMARY YIBAL GGP</v>
          </cell>
          <cell r="F1060">
            <v>3</v>
          </cell>
          <cell r="G1060" t="str">
            <v>IFI</v>
          </cell>
        </row>
        <row r="1061">
          <cell r="A1061" t="str">
            <v>KHF-10-104133-IN-6612-00002-0000-5</v>
          </cell>
          <cell r="B1061" t="str">
            <v>KHF_AIP_D_EXT_00789</v>
          </cell>
          <cell r="C1061">
            <v>43429</v>
          </cell>
          <cell r="D1061" t="str">
            <v>KHF-10-104133-IN-6612-00002-0000</v>
          </cell>
          <cell r="E1061" t="str">
            <v>INSTRUMENT SUMMARY WEST RMS &amp; PRODUCTION WELLS</v>
          </cell>
          <cell r="F1061">
            <v>5</v>
          </cell>
          <cell r="G1061" t="str">
            <v>IFI</v>
          </cell>
        </row>
        <row r="1062">
          <cell r="A1062" t="str">
            <v>KHF-11-104133-IN-6612-00002-0000-5</v>
          </cell>
          <cell r="B1062" t="str">
            <v>KHF_AIP_D_EXT_00789</v>
          </cell>
          <cell r="C1062">
            <v>43429</v>
          </cell>
          <cell r="D1062" t="str">
            <v>KHF-11-104133-IN-6612-00002-0000</v>
          </cell>
          <cell r="E1062" t="str">
            <v>INSTRUMENT SUMMARY EAST RMS &amp; PRODUCTION WELLS</v>
          </cell>
          <cell r="F1062">
            <v>5</v>
          </cell>
          <cell r="G1062" t="str">
            <v>IFI</v>
          </cell>
        </row>
        <row r="1063">
          <cell r="A1063" t="str">
            <v>KHF-12-104133-IN-6612-00002-0000-5</v>
          </cell>
          <cell r="B1063" t="str">
            <v>KHF_AIP_D_EXT_00789</v>
          </cell>
          <cell r="C1063">
            <v>43429</v>
          </cell>
          <cell r="D1063" t="str">
            <v>KHF-12-104133-IN-6612-00002-0000</v>
          </cell>
          <cell r="E1063" t="str">
            <v>INSTRUMENT SUMMARY SOUTH RMS &amp; PRODUCTION WELLS</v>
          </cell>
          <cell r="F1063">
            <v>5</v>
          </cell>
          <cell r="G1063" t="str">
            <v>IFI</v>
          </cell>
        </row>
        <row r="1064">
          <cell r="A1064" t="str">
            <v>KHF-23-104133-IN-2105-00017-0000-5</v>
          </cell>
          <cell r="B1064" t="str">
            <v>KHF_AIP_D_EXT_00789</v>
          </cell>
          <cell r="C1064">
            <v>43429</v>
          </cell>
          <cell r="D1064" t="str">
            <v>KHF-23-104133-IN-2105-00017-0000</v>
          </cell>
          <cell r="E1064" t="str">
            <v>INSTRUMENT DATASHEET FOR CONTROL VALVE</v>
          </cell>
          <cell r="F1064">
            <v>5</v>
          </cell>
          <cell r="G1064" t="str">
            <v>IFI</v>
          </cell>
        </row>
        <row r="1065">
          <cell r="A1065" t="str">
            <v>KHF-23-104133-IN-2105-02521-0000-5</v>
          </cell>
          <cell r="B1065" t="str">
            <v>KHF_AIP_D_EXT_00789</v>
          </cell>
          <cell r="C1065">
            <v>43429</v>
          </cell>
          <cell r="D1065" t="str">
            <v>KHF-23-104133-IN-2105-02521-0000</v>
          </cell>
          <cell r="E1065" t="str">
            <v>INSTRUMENT DATASHEET FOR ULTRASONIC FLOW METER</v>
          </cell>
          <cell r="F1065">
            <v>5</v>
          </cell>
          <cell r="G1065" t="str">
            <v>IFI</v>
          </cell>
        </row>
        <row r="1066">
          <cell r="A1066" t="str">
            <v>KHF-23-104133-IN-2105-02538-0000-4</v>
          </cell>
          <cell r="B1066" t="str">
            <v>KHF_AIP_D_EXT_00789</v>
          </cell>
          <cell r="C1066">
            <v>43429</v>
          </cell>
          <cell r="D1066" t="str">
            <v>KHF-23-104133-IN-2105-02538-0000</v>
          </cell>
          <cell r="E1066" t="str">
            <v>INSTRUMENT DATASHEET FOR LEVEL GAUGES</v>
          </cell>
          <cell r="F1066">
            <v>4</v>
          </cell>
          <cell r="G1066" t="str">
            <v>IFI</v>
          </cell>
        </row>
        <row r="1067">
          <cell r="A1067" t="str">
            <v>KHF-23-104133-IN-2105-02545-0000-4</v>
          </cell>
          <cell r="B1067" t="str">
            <v>KHF_AIP_D_EXT_00789</v>
          </cell>
          <cell r="C1067">
            <v>43429</v>
          </cell>
          <cell r="D1067" t="str">
            <v>KHF-23-104133-IN-2105-02545-0000</v>
          </cell>
          <cell r="E1067" t="str">
            <v>INSTRUMENT DATASHEET FOR PRESSURE &amp; TEMP GAUGES</v>
          </cell>
          <cell r="F1067">
            <v>4</v>
          </cell>
          <cell r="G1067" t="str">
            <v>IFI</v>
          </cell>
        </row>
        <row r="1068">
          <cell r="A1068" t="str">
            <v>KHF-23-104133-IN-2105-02550-0000-5</v>
          </cell>
          <cell r="B1068" t="str">
            <v>KHF_AIP_D_EXT_00789</v>
          </cell>
          <cell r="C1068">
            <v>43429</v>
          </cell>
          <cell r="D1068" t="str">
            <v>KHF-23-104133-IN-2105-02550-0000</v>
          </cell>
          <cell r="E1068" t="str">
            <v>INSTRUMENT DATASHEET FOR F&amp;G INSTRUMENTS</v>
          </cell>
          <cell r="F1068">
            <v>5</v>
          </cell>
          <cell r="G1068" t="str">
            <v>IFI</v>
          </cell>
        </row>
        <row r="1069">
          <cell r="A1069" t="str">
            <v>KHF-23-104133-IN-2105-10001-0000-5</v>
          </cell>
          <cell r="B1069" t="str">
            <v>KHF_AIP_D_EXT_00789</v>
          </cell>
          <cell r="C1069">
            <v>43429</v>
          </cell>
          <cell r="D1069" t="str">
            <v>KHF-23-104133-IN-2105-10001-0000</v>
          </cell>
          <cell r="E1069" t="str">
            <v>INSTRUMENT DATASHEET FOR PRESSURE TX</v>
          </cell>
          <cell r="F1069">
            <v>5</v>
          </cell>
          <cell r="G1069" t="str">
            <v>IFI</v>
          </cell>
        </row>
        <row r="1070">
          <cell r="A1070" t="str">
            <v>KHF-23-104133-IN-2105-10002-0000-5</v>
          </cell>
          <cell r="B1070" t="str">
            <v>KHF_AIP_D_EXT_00789</v>
          </cell>
          <cell r="C1070">
            <v>43429</v>
          </cell>
          <cell r="D1070" t="str">
            <v>KHF-23-104133-IN-2105-10002-0000</v>
          </cell>
          <cell r="E1070" t="str">
            <v>INSTRUMENT DATASHEET FOR PRESSURE TX FF</v>
          </cell>
          <cell r="F1070">
            <v>5</v>
          </cell>
          <cell r="G1070" t="str">
            <v>IFI</v>
          </cell>
        </row>
        <row r="1071">
          <cell r="A1071" t="str">
            <v>KHF-23-104133-IN-2105-10004-0000-5</v>
          </cell>
          <cell r="B1071" t="str">
            <v>KHF_AIP_D_EXT_00789</v>
          </cell>
          <cell r="C1071">
            <v>43429</v>
          </cell>
          <cell r="D1071" t="str">
            <v>KHF-23-104133-IN-2105-10004-0000</v>
          </cell>
          <cell r="E1071" t="str">
            <v xml:space="preserve">INSTRUMENT DATASHEET FOR DP TX FF </v>
          </cell>
          <cell r="F1071">
            <v>5</v>
          </cell>
          <cell r="G1071" t="str">
            <v>IFI</v>
          </cell>
        </row>
        <row r="1072">
          <cell r="A1072" t="str">
            <v>KHF-23-104133-IN-2105-10007-0000-3</v>
          </cell>
          <cell r="B1072" t="str">
            <v>KHF_AIP_D_EXT_00789</v>
          </cell>
          <cell r="C1072">
            <v>43429</v>
          </cell>
          <cell r="D1072" t="str">
            <v>KHF-23-104133-IN-2105-10007-0000</v>
          </cell>
          <cell r="E1072" t="str">
            <v>INSTRUMENT DATA SHEET FOR DP TRANSMITTER (LEVEL)</v>
          </cell>
          <cell r="F1072">
            <v>3</v>
          </cell>
          <cell r="G1072" t="str">
            <v>IFI</v>
          </cell>
        </row>
        <row r="1073">
          <cell r="A1073" t="str">
            <v>KHF-23-104133-IN-2105-10008-0000-6</v>
          </cell>
          <cell r="B1073" t="str">
            <v>KHF_AIP_D_EXT_00789</v>
          </cell>
          <cell r="C1073">
            <v>43429</v>
          </cell>
          <cell r="D1073" t="str">
            <v>KHF-23-104133-IN-2105-10008-0000</v>
          </cell>
          <cell r="E1073" t="str">
            <v>INSTRUMENT DATASHEET FOR DP TX FF (LEVEL)</v>
          </cell>
          <cell r="F1073">
            <v>6</v>
          </cell>
          <cell r="G1073" t="str">
            <v>IFI</v>
          </cell>
        </row>
        <row r="1074">
          <cell r="A1074" t="str">
            <v>KHF-23-104133-IN-2105-10009-0000-5</v>
          </cell>
          <cell r="B1074" t="str">
            <v>KHF_AIP_D_EXT_00789</v>
          </cell>
          <cell r="C1074">
            <v>43429</v>
          </cell>
          <cell r="D1074" t="str">
            <v>KHF-23-104133-IN-2105-10009-0000</v>
          </cell>
          <cell r="E1074" t="str">
            <v>INSTRUMENT DATASHEET FOR TEMPERATURE TRANSMITTER</v>
          </cell>
          <cell r="F1074">
            <v>5</v>
          </cell>
          <cell r="G1074" t="str">
            <v>IFI</v>
          </cell>
        </row>
        <row r="1075">
          <cell r="A1075" t="str">
            <v>KHF-23-104133-IN-2105-10010-0000-5</v>
          </cell>
          <cell r="B1075" t="str">
            <v>KHF_AIP_D_EXT_00789</v>
          </cell>
          <cell r="C1075">
            <v>43429</v>
          </cell>
          <cell r="D1075" t="str">
            <v>KHF-23-104133-IN-2105-10010-0000</v>
          </cell>
          <cell r="E1075" t="str">
            <v>INSTRUMENT DATASHEET FOR TEMPERATURE TRANSMITTER FF</v>
          </cell>
          <cell r="F1075">
            <v>5</v>
          </cell>
          <cell r="G1075" t="str">
            <v>IFI</v>
          </cell>
        </row>
        <row r="1076">
          <cell r="A1076" t="str">
            <v>KHF-23-104133-IN-2105-25565-0000 -5</v>
          </cell>
          <cell r="B1076" t="str">
            <v>KHF_AIP_D_EXT_00789</v>
          </cell>
          <cell r="C1076">
            <v>43429</v>
          </cell>
          <cell r="D1076" t="str">
            <v xml:space="preserve">KHF-23-104133-IN-2105-25565-0000 </v>
          </cell>
          <cell r="E1076" t="str">
            <v>INSTRUMENT DATASHEET FOR BUILDING FIRE &amp; GAS DETECTOR</v>
          </cell>
          <cell r="F1076">
            <v>5</v>
          </cell>
          <cell r="G1076" t="str">
            <v>IFI</v>
          </cell>
        </row>
        <row r="1077">
          <cell r="A1077" t="str">
            <v>KHF-23-104133-IN-4380-00002-0000-2</v>
          </cell>
          <cell r="B1077" t="str">
            <v>KHF_AIP_D_EXT_00789</v>
          </cell>
          <cell r="C1077">
            <v>43429</v>
          </cell>
          <cell r="D1077" t="str">
            <v>KHF-23-104133-IN-4380-00002-0000</v>
          </cell>
          <cell r="E1077" t="str">
            <v xml:space="preserve">INSTRUMENT SUMMARY     </v>
          </cell>
          <cell r="F1077">
            <v>2</v>
          </cell>
          <cell r="G1077" t="str">
            <v>IFI</v>
          </cell>
        </row>
        <row r="1078">
          <cell r="A1078" t="str">
            <v>KHF-23-104133-MP-2105-02518-0000-4</v>
          </cell>
          <cell r="B1078" t="str">
            <v>KHF_AIP_D_EXT_00789</v>
          </cell>
          <cell r="C1078">
            <v>43429</v>
          </cell>
          <cell r="D1078" t="str">
            <v>KHF-23-104133-MP-2105-02518-0000</v>
          </cell>
          <cell r="E1078" t="str">
            <v>INSTRUMENT DATASHEET FOR SAFETY RELIEF VALVES</v>
          </cell>
          <cell r="F1078">
            <v>4</v>
          </cell>
          <cell r="G1078" t="str">
            <v>IFI</v>
          </cell>
        </row>
        <row r="1079">
          <cell r="A1079" t="str">
            <v>KHF-28-104133-IN-6612-00001-0000-5</v>
          </cell>
          <cell r="B1079" t="str">
            <v>KHF_AIP_D_EXT_00789</v>
          </cell>
          <cell r="C1079">
            <v>43429</v>
          </cell>
          <cell r="D1079" t="str">
            <v>KHF-28-104133-IN-6612-00001-0000</v>
          </cell>
          <cell r="E1079" t="str">
            <v xml:space="preserve">INSTRUMENT SUMMARY - UNIT 28 </v>
          </cell>
          <cell r="F1079">
            <v>5</v>
          </cell>
          <cell r="G1079" t="str">
            <v>IFI</v>
          </cell>
        </row>
        <row r="1080">
          <cell r="A1080" t="str">
            <v>YIB-09-000000-PX-2365-90026-0003-8</v>
          </cell>
          <cell r="B1080" t="str">
            <v>KHF_AIP_D_EXT_00789</v>
          </cell>
          <cell r="C1080">
            <v>43429</v>
          </cell>
          <cell r="D1080" t="str">
            <v>YIB-09-000000-PX-2365-90026-0003</v>
          </cell>
          <cell r="E1080" t="str">
            <v>PEFS FOR INSTRUMENT AIR DISTRIBUTION (PROJECT TIE-IN CONSTRUCTION)</v>
          </cell>
          <cell r="F1080">
            <v>8</v>
          </cell>
          <cell r="G1080" t="str">
            <v>cancelled</v>
          </cell>
        </row>
        <row r="1081">
          <cell r="A1081" t="str">
            <v>YIB-09-000000-PX-2365-91956-0001-11</v>
          </cell>
          <cell r="B1081" t="str">
            <v>KHF_AIP_D_EXT_00789</v>
          </cell>
          <cell r="C1081">
            <v>43429</v>
          </cell>
          <cell r="D1081" t="str">
            <v>YIB-09-000000-PX-2365-91956-0001</v>
          </cell>
          <cell r="E1081" t="str">
            <v>PEFS CRUDE EXPORT LINES (PROJECT TIE- IN CONSTRUCTION)</v>
          </cell>
          <cell r="F1081">
            <v>11</v>
          </cell>
          <cell r="G1081" t="str">
            <v>cancelled</v>
          </cell>
        </row>
        <row r="1082">
          <cell r="A1082" t="str">
            <v>YIB-09-000000-PX-2365-92859-0001 -11</v>
          </cell>
          <cell r="B1082" t="str">
            <v>KHF_AIP_D_EXT_00789</v>
          </cell>
          <cell r="C1082">
            <v>43429</v>
          </cell>
          <cell r="D1082" t="str">
            <v xml:space="preserve">YIB-09-000000-PX-2365-92859-0001 </v>
          </cell>
          <cell r="E1082" t="str">
            <v>PEFS FOR SKIMMING TANK T-09508 (PHASE-1) (PROJECT TIE-IN CONSTRUCTION)</v>
          </cell>
          <cell r="F1082">
            <v>11</v>
          </cell>
          <cell r="G1082" t="str">
            <v>cancelled</v>
          </cell>
        </row>
        <row r="1083">
          <cell r="A1083" t="str">
            <v>YIB-09-104133-IN-6612-00002-0000-3</v>
          </cell>
          <cell r="B1083" t="str">
            <v>KHF_AIP_D_EXT_00789</v>
          </cell>
          <cell r="C1083">
            <v>43429</v>
          </cell>
          <cell r="D1083" t="str">
            <v>YIB-09-104133-IN-6612-00002-0000</v>
          </cell>
          <cell r="E1083" t="str">
            <v>INSTRUMENT SUMMARY YIBAL A</v>
          </cell>
          <cell r="F1083">
            <v>3</v>
          </cell>
          <cell r="G1083" t="str">
            <v>IFI</v>
          </cell>
        </row>
        <row r="1084">
          <cell r="A1084" t="str">
            <v>YIB-09-104133-PX-2365-00001-0001-8</v>
          </cell>
          <cell r="B1084" t="str">
            <v>KHF_AIP_D_EXT_00789</v>
          </cell>
          <cell r="C1084">
            <v>43429</v>
          </cell>
          <cell r="D1084" t="str">
            <v>YIB-09-104133-PX-2365-00001-0001</v>
          </cell>
          <cell r="E1084" t="str">
            <v>PEFS YIBAL KHUFF PIG RECEIVER A-0991</v>
          </cell>
          <cell r="F1084">
            <v>8</v>
          </cell>
          <cell r="G1084" t="str">
            <v>cancelled</v>
          </cell>
        </row>
        <row r="1085">
          <cell r="A1085" t="str">
            <v>KHF-00-104265-QA-5733-24004-0000-3</v>
          </cell>
          <cell r="B1085" t="str">
            <v>KHF_AIP_D_EXT_00790</v>
          </cell>
          <cell r="C1085">
            <v>43429</v>
          </cell>
          <cell r="D1085" t="str">
            <v>KHF-00-104265-QA-5733-24004-0000</v>
          </cell>
          <cell r="E1085" t="str">
            <v>INSPECTION AND TEST PLAN FOR INSTALLATION AND TESTING OF IMPLUSE AND AIRLINE TUBING</v>
          </cell>
          <cell r="F1085">
            <v>3</v>
          </cell>
          <cell r="G1085" t="str">
            <v>Code B</v>
          </cell>
        </row>
        <row r="1086">
          <cell r="A1086" t="str">
            <v>KHF-00-104265-QA-5733-00604-0000-2</v>
          </cell>
          <cell r="B1086" t="str">
            <v>KHF_AIP_D_EXT_00791</v>
          </cell>
          <cell r="C1086">
            <v>43429</v>
          </cell>
          <cell r="D1086" t="str">
            <v>KHF-00-104265-QA-5733-00604-0000</v>
          </cell>
          <cell r="E1086" t="str">
            <v>Inspection &amp; Test Plan for Surface preparation &amp; TSA Coating of Stainless Steel Spools</v>
          </cell>
          <cell r="F1086">
            <v>2</v>
          </cell>
          <cell r="G1086" t="str">
            <v>Code A</v>
          </cell>
        </row>
        <row r="1087">
          <cell r="A1087" t="str">
            <v>KHF-00-104265-QA-5733-23008-0000-3</v>
          </cell>
          <cell r="B1087" t="str">
            <v>KHF_AIP_D_EXT_00792</v>
          </cell>
          <cell r="C1087">
            <v>43429</v>
          </cell>
          <cell r="D1087" t="str">
            <v>KHF-00-104265-QA-5733-23008-0000</v>
          </cell>
          <cell r="E1087" t="str">
            <v>INSPECTION AND TEST PLAN FOR LIGHTING &amp; SMALL POWER WORKS</v>
          </cell>
          <cell r="F1087">
            <v>3</v>
          </cell>
          <cell r="G1087" t="str">
            <v>Code B</v>
          </cell>
        </row>
        <row r="1088">
          <cell r="A1088" t="str">
            <v>KHF-00-104265-BA-6065-00648-0000-1</v>
          </cell>
          <cell r="B1088" t="str">
            <v>KHF_AIP_D_EXT_00793</v>
          </cell>
          <cell r="C1088">
            <v>43429</v>
          </cell>
          <cell r="D1088" t="str">
            <v>KHF-00-104265-BA-6065-00648-0000</v>
          </cell>
          <cell r="E1088" t="str">
            <v>Welding Procedure Specification (WPS) / PQR-048 (AI-WPS-T-713)</v>
          </cell>
          <cell r="F1088">
            <v>1</v>
          </cell>
          <cell r="G1088" t="str">
            <v>Code A</v>
          </cell>
        </row>
        <row r="1089">
          <cell r="A1089" t="str">
            <v>KHF-00-104265-BA-6065-00649-0000-1</v>
          </cell>
          <cell r="B1089" t="str">
            <v>KHF_AIP_D_EXT_00793</v>
          </cell>
          <cell r="C1089">
            <v>43429</v>
          </cell>
          <cell r="D1089" t="str">
            <v>KHF-00-104265-BA-6065-00649-0000</v>
          </cell>
          <cell r="E1089" t="str">
            <v>Welding Procedure Specification (WPS) /PQR - 049 (AI-WPS-M-712FW)</v>
          </cell>
          <cell r="F1089">
            <v>1</v>
          </cell>
          <cell r="G1089" t="str">
            <v>Code A</v>
          </cell>
        </row>
        <row r="1090">
          <cell r="A1090" t="str">
            <v>KHF-00-104265-BA-6065-00650-0000-1</v>
          </cell>
          <cell r="B1090" t="str">
            <v>KHF_AIP_D_EXT_00793</v>
          </cell>
          <cell r="C1090">
            <v>43429</v>
          </cell>
          <cell r="D1090" t="str">
            <v>KHF-00-104265-BA-6065-00650-0000</v>
          </cell>
          <cell r="E1090" t="str">
            <v>Welding Procedure Specification (WPS) /PQR - 050 (AI-WPS-T-713FW)</v>
          </cell>
          <cell r="F1090">
            <v>1</v>
          </cell>
          <cell r="G1090" t="str">
            <v>Code A</v>
          </cell>
        </row>
        <row r="1091">
          <cell r="A1091" t="str">
            <v>KHF-00-104265-AA-3341-60121-0000-1</v>
          </cell>
          <cell r="B1091" t="str">
            <v>KHF_AIP_D_EXT_00794</v>
          </cell>
          <cell r="C1091">
            <v>43429</v>
          </cell>
          <cell r="D1091" t="str">
            <v>KHF-00-104265-AA-3341-60121-0000</v>
          </cell>
          <cell r="E1091" t="str">
            <v>CV OF MR. HAMAD IQBAL - LABORATORY TECHNICIAN-CIVIL (Element Material Technology ME Ltd LLC)</v>
          </cell>
          <cell r="F1091">
            <v>1</v>
          </cell>
          <cell r="G1091" t="str">
            <v>Code B</v>
          </cell>
        </row>
        <row r="1092">
          <cell r="A1092" t="str">
            <v>---</v>
          </cell>
          <cell r="B1092" t="str">
            <v>KHF_AIP_D_EXT_00795</v>
          </cell>
          <cell r="C1092">
            <v>43429</v>
          </cell>
          <cell r="D1092" t="str">
            <v>-</v>
          </cell>
          <cell r="E1092" t="str">
            <v>AFC Drawings</v>
          </cell>
          <cell r="F1092" t="str">
            <v>-</v>
          </cell>
          <cell r="G1092" t="str">
            <v>Total 20 drawings</v>
          </cell>
        </row>
        <row r="1093">
          <cell r="A1093" t="str">
            <v>KHF-00-104265-QA-6050-00109-0000-3</v>
          </cell>
          <cell r="B1093" t="str">
            <v>KHF_AIP_D_EXT_00796</v>
          </cell>
          <cell r="C1093">
            <v>43429</v>
          </cell>
          <cell r="D1093" t="str">
            <v>KHF-00-104265-QA-6050-00109-0000</v>
          </cell>
          <cell r="E1093" t="str">
            <v>Quality Control Plan for Application of Stopaq</v>
          </cell>
          <cell r="F1093">
            <v>3</v>
          </cell>
          <cell r="G1093" t="str">
            <v>Code A</v>
          </cell>
        </row>
        <row r="1094">
          <cell r="A1094" t="str">
            <v>KHF-00-104133-OA-4380-00015-0000-1</v>
          </cell>
          <cell r="B1094" t="str">
            <v>KHF_AIP_D_EXT_00797</v>
          </cell>
          <cell r="C1094">
            <v>43429</v>
          </cell>
          <cell r="D1094" t="str">
            <v>KHF-00-104133-OA-4380-00015-0000</v>
          </cell>
          <cell r="E1094" t="str">
            <v>SYSTEM MARKUP DRAWINGS SET(AFC -PEFS, OFF PLOT)</v>
          </cell>
          <cell r="F1094">
            <v>1</v>
          </cell>
          <cell r="G1094" t="str">
            <v>IFI</v>
          </cell>
        </row>
        <row r="1095">
          <cell r="A1095" t="str">
            <v>KHF-23-104133-OA-5798-00004-0000-1</v>
          </cell>
          <cell r="B1095" t="str">
            <v>KHF_AIP_D_EXT_00797</v>
          </cell>
          <cell r="C1095">
            <v>43429</v>
          </cell>
          <cell r="D1095" t="str">
            <v>KHF-23-104133-OA-5798-00004-0000</v>
          </cell>
          <cell r="E1095" t="str">
            <v>PEFS MARKUP SET - IFD DRAWING BASIS</v>
          </cell>
          <cell r="F1095">
            <v>1</v>
          </cell>
          <cell r="G1095" t="str">
            <v>IFI</v>
          </cell>
        </row>
        <row r="1096">
          <cell r="A1096" t="str">
            <v>KHF-00-104265-RA-8241-51147-0000-1</v>
          </cell>
          <cell r="B1096" t="str">
            <v>KHF_AIP_D_EXT_00798</v>
          </cell>
          <cell r="C1096">
            <v>43430</v>
          </cell>
          <cell r="D1096" t="str">
            <v>KHF-00-104265-RA-8241-51147-0000</v>
          </cell>
          <cell r="E1096" t="str">
            <v>Material Approval Sheet for Indoor lighting junction boxes</v>
          </cell>
          <cell r="F1096">
            <v>1</v>
          </cell>
          <cell r="G1096" t="str">
            <v>Code B</v>
          </cell>
        </row>
        <row r="1097">
          <cell r="A1097" t="str">
            <v>KHF-00-104265-MP-1206-01101-0000-1</v>
          </cell>
          <cell r="B1097" t="str">
            <v>KHF_AIP_D_EXT_00799</v>
          </cell>
          <cell r="C1097">
            <v>43431</v>
          </cell>
          <cell r="D1097" t="str">
            <v>KHF-00-104265-MP-1206-01101-0000</v>
          </cell>
          <cell r="E1097" t="str">
            <v>HDPE Liner Design Calculation-10 Sch30 Water - 65deg C</v>
          </cell>
          <cell r="F1097">
            <v>1</v>
          </cell>
          <cell r="G1097" t="str">
            <v>Code B</v>
          </cell>
        </row>
        <row r="1098">
          <cell r="A1098" t="str">
            <v>KHF-00-104265-AA-3341-60122-0000-1</v>
          </cell>
          <cell r="B1098" t="str">
            <v>KHF_AIP_D_EXT_00800</v>
          </cell>
          <cell r="C1098">
            <v>43431</v>
          </cell>
          <cell r="D1098" t="str">
            <v>KHF-00-104265-AA-3341-60122-0000</v>
          </cell>
          <cell r="E1098" t="str">
            <v>CV OF MR. ABISH SUKUMARAN - MALE NURSE</v>
          </cell>
          <cell r="F1098">
            <v>1</v>
          </cell>
          <cell r="G1098" t="str">
            <v>Code A</v>
          </cell>
        </row>
        <row r="1099">
          <cell r="A1099" t="str">
            <v>KHF-23-104133-IN-4306-00001-0000-4</v>
          </cell>
          <cell r="B1099" t="str">
            <v>KHF_AIP_D_EXT_00801</v>
          </cell>
          <cell r="C1099">
            <v>43436</v>
          </cell>
          <cell r="D1099" t="str">
            <v>KHF-23-104133-IN-4306-00001-0000</v>
          </cell>
          <cell r="E1099" t="str">
            <v>SUMMARY OF INSTALLATION MATERIAL (BULK MATERIAL TAKE-OFF LIST)-MTO</v>
          </cell>
          <cell r="F1099">
            <v>4</v>
          </cell>
          <cell r="G1099" t="str">
            <v>IFI</v>
          </cell>
        </row>
        <row r="1100">
          <cell r="A1100" t="str">
            <v>KHF-00-104265-AA-3341-60125-0000-1</v>
          </cell>
          <cell r="B1100" t="str">
            <v>KHF_AIP_D_EXT_00802</v>
          </cell>
          <cell r="C1100">
            <v>43436</v>
          </cell>
          <cell r="D1100" t="str">
            <v>KHF-00-104265-AA-3341-60125-0000</v>
          </cell>
          <cell r="E1100" t="str">
            <v>CV OF MR. GUFRAN AHMAD - HSE ADVISOR</v>
          </cell>
          <cell r="F1100">
            <v>1</v>
          </cell>
          <cell r="G1100" t="str">
            <v>Code A</v>
          </cell>
        </row>
        <row r="1101">
          <cell r="A1101" t="str">
            <v>KHF-00-104265-BA-6070-00150-0000-1</v>
          </cell>
          <cell r="B1101" t="str">
            <v>KHF_AIP_D_EXT_00803</v>
          </cell>
          <cell r="C1101">
            <v>43436</v>
          </cell>
          <cell r="D1101" t="str">
            <v>KHF-00-104265-BA-6070-00150-0000</v>
          </cell>
          <cell r="E1101" t="str">
            <v>Method Statement for Concrete Works for GRE Pipeline (Split Casing)</v>
          </cell>
          <cell r="F1101">
            <v>1</v>
          </cell>
          <cell r="G1101" t="str">
            <v>Code B</v>
          </cell>
        </row>
        <row r="1102">
          <cell r="A1102" t="str">
            <v>KHF-00-104265-RA-8241-51144-0000-1</v>
          </cell>
          <cell r="B1102" t="str">
            <v>KHF_AIP_D_EXT_00804</v>
          </cell>
          <cell r="C1102">
            <v>43436</v>
          </cell>
          <cell r="D1102" t="str">
            <v>KHF-00-104265-RA-8241-51144-0000</v>
          </cell>
          <cell r="E1102" t="str">
            <v>MATERIAL APPROVAL SHEET FOR CABLE TIES FOR INSTRUMENTATION AND TELECOM WORKS</v>
          </cell>
          <cell r="F1102">
            <v>1</v>
          </cell>
          <cell r="G1102" t="str">
            <v>Code A</v>
          </cell>
        </row>
        <row r="1103">
          <cell r="A1103" t="str">
            <v>KHF-00-104265-RA-8241-51080-0000-1</v>
          </cell>
          <cell r="B1103" t="str">
            <v>KHF_AIP_D_EXT_00805</v>
          </cell>
          <cell r="C1103">
            <v>43437</v>
          </cell>
          <cell r="D1103" t="str">
            <v>KHF-00-104265-RA-8241-51080-0000</v>
          </cell>
          <cell r="E1103" t="str">
            <v>MATERIAL APPROVAL SHEET FOR EARTHING MATERIAL (AL KIYUMI ELECTRIC &amp; TRADING CO. LLC)</v>
          </cell>
          <cell r="F1103">
            <v>1</v>
          </cell>
          <cell r="G1103" t="str">
            <v>Code B</v>
          </cell>
        </row>
        <row r="1104">
          <cell r="A1104" t="str">
            <v>KHF-00-104265-RA-8241-51145-0000-1</v>
          </cell>
          <cell r="B1104" t="str">
            <v>KHF_AIP_D_EXT_00806</v>
          </cell>
          <cell r="C1104">
            <v>43437</v>
          </cell>
          <cell r="D1104" t="str">
            <v>KHF-00-104265-RA-8241-51145-0000</v>
          </cell>
          <cell r="E1104" t="str">
            <v>MATERIAL APPROVAL SHEET FOR CABLE MARKER &amp; CARRIER STRIP FOR INSTRUMENTATION AND TELECOM WORKS</v>
          </cell>
          <cell r="F1104">
            <v>1</v>
          </cell>
          <cell r="G1104" t="str">
            <v>Code A</v>
          </cell>
        </row>
        <row r="1105">
          <cell r="A1105" t="str">
            <v>KHF-00-104265-RA-8241-51149-0000-1</v>
          </cell>
          <cell r="B1105" t="str">
            <v>KHF_AIP_D_EXT_00807</v>
          </cell>
          <cell r="C1105">
            <v>43437</v>
          </cell>
          <cell r="D1105" t="str">
            <v>KHF-00-104265-RA-8241-51149-0000</v>
          </cell>
          <cell r="E1105" t="str">
            <v>MATERIAL APPROVAL SHEET FOR DEEP WELL EARTH BOX WITH COMPLETE FIXING ACCESSORIES</v>
          </cell>
          <cell r="F1105">
            <v>1</v>
          </cell>
          <cell r="G1105" t="str">
            <v>Code A</v>
          </cell>
        </row>
        <row r="1106">
          <cell r="A1106" t="str">
            <v>KHF-00-104133-IN-2105-02570-0000-6</v>
          </cell>
          <cell r="B1106" t="str">
            <v>KHF_AIP_D_EXT_00808</v>
          </cell>
          <cell r="C1106">
            <v>43437</v>
          </cell>
          <cell r="D1106" t="str">
            <v>KHF-00-104133-IN-2105-02570-0000</v>
          </cell>
          <cell r="E1106" t="str">
            <v>INSTRUMENT DATASHEET FOR JUCTION BOX</v>
          </cell>
          <cell r="F1106">
            <v>6</v>
          </cell>
          <cell r="G1106" t="str">
            <v>IFI</v>
          </cell>
        </row>
        <row r="1107">
          <cell r="A1107" t="str">
            <v>KHF-10-104133-PX-2365-00003-0008-10</v>
          </cell>
          <cell r="B1107" t="str">
            <v>KHF_AIP_D_EXT_00809</v>
          </cell>
          <cell r="C1107">
            <v>43439</v>
          </cell>
          <cell r="D1107" t="str">
            <v>KHF-10-104133-PX-2365-00003-0008</v>
          </cell>
          <cell r="E1107" t="str">
            <v>PEFS FOR CORROSION INHIBITOR INJECTION PACKAGE (A-10303)</v>
          </cell>
          <cell r="F1107">
            <v>10</v>
          </cell>
          <cell r="G1107" t="str">
            <v>AFC Drawing</v>
          </cell>
        </row>
        <row r="1108">
          <cell r="A1108" t="str">
            <v>KHF-00-104265-BA-6065-00651-0000-1</v>
          </cell>
          <cell r="B1108" t="str">
            <v>KHF_AIP_D_EXT_00810</v>
          </cell>
          <cell r="C1108">
            <v>43439</v>
          </cell>
          <cell r="D1108" t="str">
            <v>KHF-00-104265-BA-6065-00651-0000</v>
          </cell>
          <cell r="E1108" t="str">
            <v>Welding Procedure Specification (WPS) /PQR- 051 (AI-WPS-M-720)</v>
          </cell>
          <cell r="F1108">
            <v>1</v>
          </cell>
          <cell r="G1108" t="str">
            <v>Code B</v>
          </cell>
        </row>
        <row r="1109">
          <cell r="A1109" t="str">
            <v>KHF-00-104265-BA-6065-50003-0000-3</v>
          </cell>
          <cell r="B1109" t="str">
            <v>KHF_AIP_D_EXT_00811</v>
          </cell>
          <cell r="C1109">
            <v>43439</v>
          </cell>
          <cell r="D1109" t="str">
            <v>KHF-00-104265-BA-6065-50003-0000</v>
          </cell>
          <cell r="E1109" t="str">
            <v>WPS Pipe to Barred Tee / Flange - Applicable for Pipeline PL7, PL8 &amp; PL9</v>
          </cell>
          <cell r="F1109">
            <v>3</v>
          </cell>
          <cell r="G1109" t="str">
            <v>Code B</v>
          </cell>
        </row>
        <row r="1110">
          <cell r="A1110" t="str">
            <v>KHF-00-104265-LA-5009-00118-0000-2</v>
          </cell>
          <cell r="B1110" t="str">
            <v>KHF_AIP_D_EXT_00812</v>
          </cell>
          <cell r="C1110">
            <v>43439</v>
          </cell>
          <cell r="D1110" t="str">
            <v>KHF-00-104265-LA-5009-00118-0000</v>
          </cell>
          <cell r="E1110" t="str">
            <v>MAS for 3inch G.I Pipe (Class L2 ) For Pipeline Marker Post-Off Plot</v>
          </cell>
          <cell r="F1110">
            <v>2</v>
          </cell>
          <cell r="G1110" t="str">
            <v>Code D</v>
          </cell>
        </row>
        <row r="1111">
          <cell r="A1111" t="str">
            <v>KHF-00-104265-RA-8241-51146-0000-1</v>
          </cell>
          <cell r="B1111" t="str">
            <v>KHF_AIP_D_EXT_00813</v>
          </cell>
          <cell r="C1111">
            <v>43439</v>
          </cell>
          <cell r="D1111" t="str">
            <v>KHF-00-104265-RA-8241-51146-0000</v>
          </cell>
          <cell r="E1111" t="str">
            <v>MATERIAL APPROVAL SHEET FOR PANIC LATCH &amp; OUTSIDE ACCESS DEVICE</v>
          </cell>
          <cell r="F1111">
            <v>1</v>
          </cell>
          <cell r="G1111" t="str">
            <v>Code A</v>
          </cell>
        </row>
        <row r="1112">
          <cell r="A1112" t="str">
            <v>KHF-00-104265-QA-6180-00810-0000-1</v>
          </cell>
          <cell r="B1112" t="str">
            <v>KHF_AIP_D_EXT_00814</v>
          </cell>
          <cell r="C1112">
            <v>43443</v>
          </cell>
          <cell r="D1112" t="str">
            <v>KHF-00-104265-QA-6180-00810-0000</v>
          </cell>
          <cell r="E1112" t="str">
            <v>Hot Dip Galvanization Procedure</v>
          </cell>
          <cell r="F1112">
            <v>1</v>
          </cell>
          <cell r="G1112" t="str">
            <v>Code A</v>
          </cell>
        </row>
        <row r="1113">
          <cell r="A1113" t="str">
            <v>KHF-00-104265-RA-8241-51141-0000-1</v>
          </cell>
          <cell r="B1113" t="str">
            <v>KHF_AIP_D_EXT_00815</v>
          </cell>
          <cell r="C1113">
            <v>43443</v>
          </cell>
          <cell r="D1113" t="str">
            <v>KHF-00-104265-RA-8241-51141-0000</v>
          </cell>
          <cell r="E1113" t="str">
            <v>MATERIAL APPROVAL SHEET FOR FENCING</v>
          </cell>
          <cell r="F1113">
            <v>1</v>
          </cell>
          <cell r="G1113" t="str">
            <v>Code A</v>
          </cell>
        </row>
        <row r="1114">
          <cell r="A1114" t="str">
            <v>KHF-00-104265-BA-6070-42007-0000-1</v>
          </cell>
          <cell r="B1114" t="str">
            <v>KHF_AIP_D_EXT_00816</v>
          </cell>
          <cell r="C1114">
            <v>43443</v>
          </cell>
          <cell r="D1114" t="str">
            <v>KHF-00-104265-BA-6070-42007-0000</v>
          </cell>
          <cell r="E1114" t="str">
            <v>METHOD STATEMENT FOR WELDING OF CS &amp; LTCS PIPING</v>
          </cell>
          <cell r="F1114">
            <v>1</v>
          </cell>
          <cell r="G1114" t="str">
            <v>Code B</v>
          </cell>
        </row>
        <row r="1115">
          <cell r="A1115" t="str">
            <v>KHF-00-104265-BA-6070-42008-0000-1</v>
          </cell>
          <cell r="B1115" t="str">
            <v>KHF_AIP_D_EXT_00816</v>
          </cell>
          <cell r="C1115">
            <v>43443</v>
          </cell>
          <cell r="D1115" t="str">
            <v>KHF-00-104265-BA-6070-42008-0000</v>
          </cell>
          <cell r="E1115" t="str">
            <v>METHOD STATEMENT FOR WELDING OF SS &amp; ALLOY 825 PIPING</v>
          </cell>
          <cell r="F1115">
            <v>1</v>
          </cell>
          <cell r="G1115" t="str">
            <v>Code C</v>
          </cell>
        </row>
        <row r="1116">
          <cell r="A1116" t="str">
            <v>KHF-00-104265-BA-6070-42009-0000-1</v>
          </cell>
          <cell r="B1116" t="str">
            <v>KHF_AIP_D_EXT_00816</v>
          </cell>
          <cell r="C1116">
            <v>43443</v>
          </cell>
          <cell r="D1116" t="str">
            <v>KHF-00-104265-BA-6070-42009-0000</v>
          </cell>
          <cell r="E1116" t="str">
            <v>Method of Statement for Fabrication &amp; Welding of Steel Structures</v>
          </cell>
          <cell r="F1116">
            <v>1</v>
          </cell>
          <cell r="G1116" t="str">
            <v>Code C</v>
          </cell>
        </row>
        <row r="1117">
          <cell r="A1117" t="str">
            <v>KHF-00-104265-AA-3341-60124-0000-1</v>
          </cell>
          <cell r="B1117" t="str">
            <v>KHF_AIP_D_EXT_00817</v>
          </cell>
          <cell r="C1117">
            <v>43443</v>
          </cell>
          <cell r="D1117" t="str">
            <v>KHF-00-104265-AA-3341-60124-0000</v>
          </cell>
          <cell r="E1117" t="str">
            <v>CV OF MR. THIRUMURUGAN SUBRAMANI - QCI WELDING</v>
          </cell>
          <cell r="F1117">
            <v>1</v>
          </cell>
          <cell r="G1117" t="str">
            <v>Code B</v>
          </cell>
        </row>
        <row r="1118">
          <cell r="A1118" t="str">
            <v>KHF-00-104265-AA-3341-60128-0000-1</v>
          </cell>
          <cell r="B1118" t="str">
            <v>KHF_AIP_D_EXT_00818</v>
          </cell>
          <cell r="C1118">
            <v>43443</v>
          </cell>
          <cell r="D1118" t="str">
            <v>KHF-00-104265-AA-3341-60128-0000</v>
          </cell>
          <cell r="E1118" t="str">
            <v>CV OF MR. CHITYABOINA SANKAR - QA/QC INSPECTOR CIVIL</v>
          </cell>
          <cell r="F1118">
            <v>1</v>
          </cell>
          <cell r="G1118" t="str">
            <v>Code A</v>
          </cell>
        </row>
        <row r="1119">
          <cell r="A1119" t="str">
            <v>KHF-00-104265-AA-3341-60079-0000-2</v>
          </cell>
          <cell r="B1119" t="str">
            <v>KHF_AIP_D_EXT_00819</v>
          </cell>
          <cell r="C1119">
            <v>43443</v>
          </cell>
          <cell r="D1119" t="str">
            <v>KHF-00-104265-AA-3341-60079-0000</v>
          </cell>
          <cell r="E1119" t="str">
            <v>CV of Mr. DHARMA RAO DRONADULA - ELECTRICAL QC INSPECTOR</v>
          </cell>
          <cell r="F1119">
            <v>2</v>
          </cell>
          <cell r="G1119" t="str">
            <v>Code A</v>
          </cell>
        </row>
        <row r="1120">
          <cell r="A1120" t="str">
            <v>--</v>
          </cell>
          <cell r="B1120" t="str">
            <v>KHF_AIP_D_EXT_00820</v>
          </cell>
          <cell r="C1120">
            <v>43443</v>
          </cell>
          <cell r="D1120" t="str">
            <v>-</v>
          </cell>
          <cell r="E1120" t="str">
            <v>AFC Drawings</v>
          </cell>
          <cell r="F1120">
            <v>0</v>
          </cell>
          <cell r="G1120" t="str">
            <v>Total 05 drawings</v>
          </cell>
        </row>
        <row r="1121">
          <cell r="A1121" t="str">
            <v>KHF-00-104265-QA-5798-10009-0000-5</v>
          </cell>
          <cell r="B1121" t="str">
            <v>KHF_AIP_D_EXT_00821</v>
          </cell>
          <cell r="C1121">
            <v>43444</v>
          </cell>
          <cell r="D1121" t="str">
            <v>KHF-00-104265-QA-5798-10009-0000</v>
          </cell>
          <cell r="E1121" t="str">
            <v>Contract Quality Plan</v>
          </cell>
          <cell r="F1121">
            <v>5</v>
          </cell>
          <cell r="G1121" t="str">
            <v>Code A</v>
          </cell>
        </row>
        <row r="1122">
          <cell r="A1122" t="str">
            <v>KHF-00-104265-QA-6050-00105-0000-8</v>
          </cell>
          <cell r="B1122" t="str">
            <v>KHF_AIP_D_EXT_00822</v>
          </cell>
          <cell r="C1122">
            <v>43444</v>
          </cell>
          <cell r="D1122" t="str">
            <v>KHF-00-104265-QA-6050-00105-0000</v>
          </cell>
          <cell r="E1122" t="str">
            <v>Quality Control Plan for Welding -Class 1 Pipeline</v>
          </cell>
          <cell r="F1122">
            <v>8</v>
          </cell>
          <cell r="G1122" t="str">
            <v>Code A</v>
          </cell>
        </row>
        <row r="1123">
          <cell r="A1123" t="str">
            <v>KHF-00-104265-QA-5798-00101-0000-5</v>
          </cell>
          <cell r="B1123" t="str">
            <v>KHF_AIP_D_EXT_00823</v>
          </cell>
          <cell r="C1123">
            <v>43444</v>
          </cell>
          <cell r="D1123" t="str">
            <v>KHF-00-104265-QA-5798-00101-0000</v>
          </cell>
          <cell r="E1123" t="str">
            <v>Project Quality Plan</v>
          </cell>
          <cell r="F1123">
            <v>5</v>
          </cell>
          <cell r="G1123" t="str">
            <v>Code A</v>
          </cell>
        </row>
        <row r="1124">
          <cell r="A1124" t="str">
            <v>KHF-00-104265-QA-5733-22008-0000-1</v>
          </cell>
          <cell r="B1124" t="str">
            <v>KHF_AIP_D_EXT_00824</v>
          </cell>
          <cell r="C1124">
            <v>43444</v>
          </cell>
          <cell r="D1124" t="str">
            <v>KHF-00-104265-QA-5733-22008-0000</v>
          </cell>
          <cell r="E1124" t="str">
            <v>Inspection &amp; Test Plan for Installation of Air Cooled Heat Exchanger</v>
          </cell>
          <cell r="F1124">
            <v>1</v>
          </cell>
          <cell r="G1124" t="str">
            <v>Code B</v>
          </cell>
        </row>
        <row r="1125">
          <cell r="A1125" t="str">
            <v>KHF-00-104265-MP-1206-01101-0000-2</v>
          </cell>
          <cell r="B1125" t="str">
            <v>KHF_AIP_D_EXT_00825</v>
          </cell>
          <cell r="C1125">
            <v>43444</v>
          </cell>
          <cell r="D1125" t="str">
            <v>KHF-00-104265-MP-1206-01101-0000</v>
          </cell>
          <cell r="E1125" t="str">
            <v>HDPE Liner Design Calculation - (10 IN Sch30 Water - 70deg C)</v>
          </cell>
          <cell r="F1125">
            <v>2</v>
          </cell>
          <cell r="G1125" t="str">
            <v>Code A</v>
          </cell>
        </row>
        <row r="1126">
          <cell r="A1126" t="str">
            <v>KHF-00-104265-AA-3341-60018-0000-2</v>
          </cell>
          <cell r="B1126" t="str">
            <v>KHF_AIP_D_EXT_00826</v>
          </cell>
          <cell r="C1126">
            <v>43444</v>
          </cell>
          <cell r="D1126" t="str">
            <v>KHF-00-104265-AA-3341-60018-0000</v>
          </cell>
          <cell r="E1126" t="str">
            <v>CV of Mr. Kamraj Janakiraman - Lead Electrical Construction Engineer</v>
          </cell>
          <cell r="F1126">
            <v>2</v>
          </cell>
          <cell r="G1126" t="str">
            <v>Code A</v>
          </cell>
        </row>
        <row r="1127">
          <cell r="A1127" t="str">
            <v>KHF-00-104265-AA-3341-60123-0000-1</v>
          </cell>
          <cell r="B1127" t="str">
            <v>KHF_AIP_D_EXT_00827</v>
          </cell>
          <cell r="C1127">
            <v>43446</v>
          </cell>
          <cell r="D1127" t="str">
            <v>KHF-00-104265-AA-3341-60123-0000</v>
          </cell>
          <cell r="E1127" t="str">
            <v>CV OF MR. BALAKRISHNAN.M - QCI INSTRUMENTATION</v>
          </cell>
          <cell r="F1127">
            <v>1</v>
          </cell>
          <cell r="G1127" t="str">
            <v>Code D</v>
          </cell>
        </row>
        <row r="1128">
          <cell r="A1128" t="str">
            <v>KHF-00-104265-BA-6065-50001-0000-3</v>
          </cell>
          <cell r="B1128" t="str">
            <v>KHF_AIP_D_EXT_00828</v>
          </cell>
          <cell r="C1128">
            <v>43446</v>
          </cell>
          <cell r="D1128" t="str">
            <v>KHF-00-104265-BA-6065-50001-0000</v>
          </cell>
          <cell r="E1128" t="str">
            <v>WPS Register - Pipeline Fittings and Branch Connections</v>
          </cell>
          <cell r="F1128">
            <v>3</v>
          </cell>
          <cell r="G1128" t="str">
            <v>Code B</v>
          </cell>
        </row>
        <row r="1129">
          <cell r="A1129" t="str">
            <v>KHF-00-104265-BA-6065-50004-0000-3</v>
          </cell>
          <cell r="B1129" t="str">
            <v>KHF_AIP_D_EXT_00829</v>
          </cell>
          <cell r="C1129">
            <v>43446</v>
          </cell>
          <cell r="D1129" t="str">
            <v>KHF-00-104265-BA-6065-50004-0000</v>
          </cell>
          <cell r="E1129" t="str">
            <v>WPS - Pipe to Barred Tee / Flange - Pipeline PL-5 (AIP-WPS-PL-003) - Qualified Thickness range - 7.5mm to 15.0mm</v>
          </cell>
          <cell r="F1129">
            <v>3</v>
          </cell>
          <cell r="G1129" t="str">
            <v>Code B</v>
          </cell>
        </row>
        <row r="1130">
          <cell r="A1130" t="str">
            <v>KHF-00-104265-BA-6065-50008-0000-2</v>
          </cell>
          <cell r="B1130" t="str">
            <v>KHF_AIP_D_EXT_00829</v>
          </cell>
          <cell r="C1130">
            <v>43446</v>
          </cell>
          <cell r="D1130" t="str">
            <v>KHF-00-104265-BA-6065-50008-0000</v>
          </cell>
          <cell r="E1130" t="str">
            <v>WPS - Reduced tee to flange welding applicable for pipeline PL1, PL2, PL3 &amp; PL4</v>
          </cell>
          <cell r="F1130">
            <v>2</v>
          </cell>
          <cell r="G1130" t="str">
            <v>Code B</v>
          </cell>
        </row>
        <row r="1131">
          <cell r="A1131" t="str">
            <v>KHF-00-104265-BA-6065-50007-0000-2</v>
          </cell>
          <cell r="B1131" t="str">
            <v>KHF_AIP_D_EXT_00830</v>
          </cell>
          <cell r="C1131">
            <v>43446</v>
          </cell>
          <cell r="D1131" t="str">
            <v>KHF-00-104265-BA-6065-50007-0000</v>
          </cell>
          <cell r="E1131" t="str">
            <v>PWPS - Weldolet to flange welding applicable for butt welding for pipeline PL1, PL2, PL3, PL4, PL5, PL7, P8, PL9 &amp; P9A</v>
          </cell>
          <cell r="F1131">
            <v>2</v>
          </cell>
          <cell r="G1131" t="str">
            <v>Code B</v>
          </cell>
        </row>
        <row r="1132">
          <cell r="A1132" t="str">
            <v>KHF-00-104265-BA-6070-42010-0000-1</v>
          </cell>
          <cell r="B1132" t="str">
            <v>KHF_AIP_D_EXT_00831</v>
          </cell>
          <cell r="C1132">
            <v>43447</v>
          </cell>
          <cell r="D1132" t="str">
            <v>KHF-00-104265-BA-6070-42010-0000</v>
          </cell>
          <cell r="E1132" t="str">
            <v>METHOD STATEMENT FOR HYDROSTATIC TESTING OF PIPELINE VALVES</v>
          </cell>
          <cell r="F1132">
            <v>1</v>
          </cell>
          <cell r="G1132" t="str">
            <v>Code B</v>
          </cell>
        </row>
        <row r="1133">
          <cell r="A1133" t="str">
            <v>KHF-00-104265-BA-6065-00699-0000-3</v>
          </cell>
          <cell r="B1133" t="str">
            <v>KHF_AIP_D_EXT_00832</v>
          </cell>
          <cell r="C1133">
            <v>43447</v>
          </cell>
          <cell r="D1133" t="str">
            <v>KHF-00-104265-BA-6065-00699-0000</v>
          </cell>
          <cell r="E1133" t="str">
            <v>WPS Register</v>
          </cell>
          <cell r="F1133">
            <v>3</v>
          </cell>
          <cell r="G1133" t="str">
            <v>Code B</v>
          </cell>
        </row>
        <row r="1134">
          <cell r="A1134" t="str">
            <v>KHF-00-104265-QA-5733-01001-0000-1</v>
          </cell>
          <cell r="B1134" t="str">
            <v>KHF_AIP_D_EXT_00833</v>
          </cell>
          <cell r="C1134">
            <v>43447</v>
          </cell>
          <cell r="D1134" t="str">
            <v>KHF-00-104265-QA-5733-01001-0000</v>
          </cell>
          <cell r="E1134" t="str">
            <v>INSPECTION AND TEST PLAN FOR PE ROTOLINING OF CARBON STEEL SPOOLS</v>
          </cell>
          <cell r="F1134">
            <v>1</v>
          </cell>
          <cell r="G1134" t="str">
            <v>Code B</v>
          </cell>
        </row>
        <row r="1135">
          <cell r="A1135" t="str">
            <v>KHF-00-104265-QA-6050-32005-0000-4</v>
          </cell>
          <cell r="B1135" t="str">
            <v>KHF_AIP_D_EXT_00834</v>
          </cell>
          <cell r="C1135">
            <v>43447</v>
          </cell>
          <cell r="D1135" t="str">
            <v>KHF-00-104265-QA-6050-32005-0000</v>
          </cell>
          <cell r="E1135" t="str">
            <v>QUALITY CONTROL PROCEDURE FOR HANDLING OF WELDING CONSUMABLES</v>
          </cell>
          <cell r="F1135">
            <v>4</v>
          </cell>
          <cell r="G1135" t="str">
            <v>Code A</v>
          </cell>
        </row>
        <row r="1136">
          <cell r="A1136" t="str">
            <v>KHF-00-104265-RA-8241-51155-0000-1</v>
          </cell>
          <cell r="B1136" t="str">
            <v>KHF_AIP_D_EXT_00835</v>
          </cell>
          <cell r="C1136">
            <v>43447</v>
          </cell>
          <cell r="D1136" t="str">
            <v>KHF-00-104265-RA-8241-51155-0000</v>
          </cell>
          <cell r="E1136" t="str">
            <v>MATERIAL APPROVAL SHEET FOR WATER SOLUBLE PURGING PAPER</v>
          </cell>
          <cell r="F1136">
            <v>1</v>
          </cell>
          <cell r="G1136" t="str">
            <v>Code D</v>
          </cell>
        </row>
        <row r="1137">
          <cell r="A1137" t="str">
            <v>KHF-00-104265-QA-6050-00608-0000-2</v>
          </cell>
          <cell r="B1137" t="str">
            <v>KHF_AIP_D_EXT_00836</v>
          </cell>
          <cell r="C1137">
            <v>43447</v>
          </cell>
          <cell r="D1137" t="str">
            <v>KHF-00-104265-QA-6050-00608-0000</v>
          </cell>
          <cell r="E1137" t="str">
            <v>Weld Repair Procedure for CS / LTCS Piping Spools</v>
          </cell>
          <cell r="F1137">
            <v>2</v>
          </cell>
          <cell r="G1137" t="str">
            <v>Code A</v>
          </cell>
        </row>
        <row r="1138">
          <cell r="A1138" t="str">
            <v>KHF-00-104265-QA-6050-00609-0000-2</v>
          </cell>
          <cell r="B1138" t="str">
            <v>KHF_AIP_D_EXT_00836</v>
          </cell>
          <cell r="C1138">
            <v>43447</v>
          </cell>
          <cell r="D1138" t="str">
            <v>KHF-00-104265-QA-6050-00609-0000</v>
          </cell>
          <cell r="E1138" t="str">
            <v>Procedure for Carry Out and Maintenance of Preheat Temperature for CS / LTCS Piping Spools</v>
          </cell>
          <cell r="F1138">
            <v>2</v>
          </cell>
          <cell r="G1138" t="str">
            <v>Code A</v>
          </cell>
        </row>
        <row r="1139">
          <cell r="A1139" t="str">
            <v>KHF-00-104265-QA-6050-00610-0000-2</v>
          </cell>
          <cell r="B1139" t="str">
            <v>KHF_AIP_D_EXT_00836</v>
          </cell>
          <cell r="C1139">
            <v>43447</v>
          </cell>
          <cell r="D1139" t="str">
            <v>KHF-00-104265-QA-6050-00610-0000</v>
          </cell>
          <cell r="E1139" t="str">
            <v>Welding Consumables Storage &amp; handling Procedure for CS / LTCS Piping Spools</v>
          </cell>
          <cell r="F1139">
            <v>2</v>
          </cell>
          <cell r="G1139" t="str">
            <v>Code A</v>
          </cell>
        </row>
        <row r="1140">
          <cell r="A1140" t="str">
            <v>KHF-00-104265-AA-6944-20014-0000-1</v>
          </cell>
          <cell r="B1140" t="str">
            <v>KHF_AIP_D_EXT_00837</v>
          </cell>
          <cell r="C1140">
            <v>43447</v>
          </cell>
          <cell r="D1140" t="str">
            <v>KHF-00-104265-AA-6944-20014-0000</v>
          </cell>
          <cell r="E1140" t="str">
            <v>MONTHLY PROGRESS REPORT NO.014 (NOV 2018)</v>
          </cell>
          <cell r="F1140">
            <v>1</v>
          </cell>
          <cell r="G1140" t="str">
            <v>Code D</v>
          </cell>
        </row>
        <row r="1141">
          <cell r="A1141" t="str">
            <v>KHF-00-104265-BA-6065-00101-0000-4</v>
          </cell>
          <cell r="B1141" t="str">
            <v>KHF_AIP_D_EXT_00838</v>
          </cell>
          <cell r="C1141">
            <v>43447</v>
          </cell>
          <cell r="D1141" t="str">
            <v>KHF-00-104265-BA-6065-00101-0000</v>
          </cell>
          <cell r="E1141" t="str">
            <v>WELDING PROCEDURE SPECIFICATION REGISTER</v>
          </cell>
          <cell r="F1141">
            <v>4</v>
          </cell>
          <cell r="G1141" t="str">
            <v>Code C</v>
          </cell>
        </row>
        <row r="1142">
          <cell r="A1142" t="str">
            <v>KHF-00-104265-BA-6065-50065-0000-1</v>
          </cell>
          <cell r="B1142" t="str">
            <v>KHF_AIP_D_EXT_00839</v>
          </cell>
          <cell r="C1142">
            <v>43447</v>
          </cell>
          <cell r="D1142" t="str">
            <v>KHF-00-104265-BA-6065-50065-0000</v>
          </cell>
          <cell r="E1142" t="str">
            <v>Piping WPS -Note to File</v>
          </cell>
          <cell r="F1142">
            <v>1</v>
          </cell>
          <cell r="G1142" t="str">
            <v>Code C</v>
          </cell>
        </row>
        <row r="1143">
          <cell r="A1143" t="str">
            <v>KHF-00-104265-AA-3341-60130-0000-1</v>
          </cell>
          <cell r="B1143" t="str">
            <v>KHF_AIP_D_EXT_00840</v>
          </cell>
          <cell r="C1143">
            <v>43450</v>
          </cell>
          <cell r="D1143" t="str">
            <v>KHF-00-104265-AA-3341-60130-0000</v>
          </cell>
          <cell r="E1143" t="str">
            <v>CV OF MR. HARIHARA BALAN M. - PIPELINE / PIPING WELDING INSPECTOR</v>
          </cell>
          <cell r="F1143">
            <v>1</v>
          </cell>
          <cell r="G1143" t="str">
            <v>Code B</v>
          </cell>
        </row>
        <row r="1144">
          <cell r="A1144" t="str">
            <v>KHF-00-104265-BA-6065-50005-0000-2</v>
          </cell>
          <cell r="B1144" t="str">
            <v>KHF_AIP_D_EXT_00841</v>
          </cell>
          <cell r="C1144">
            <v>43450</v>
          </cell>
          <cell r="D1144" t="str">
            <v>KHF-00-104265-BA-6065-50005-0000</v>
          </cell>
          <cell r="E1144" t="str">
            <v>WPS - Pipe to Weldolet - Pipeline PL-7, PL-8, PL-9 &amp; PL-9A (AIP-WPS-PL-004)</v>
          </cell>
          <cell r="F1144">
            <v>2</v>
          </cell>
          <cell r="G1144" t="str">
            <v>Code B</v>
          </cell>
        </row>
        <row r="1145">
          <cell r="A1145" t="str">
            <v>KHF-00-104265-BA-6070-00115-0000-3</v>
          </cell>
          <cell r="B1145" t="str">
            <v>KHF_AIP_D_EXT_00842</v>
          </cell>
          <cell r="C1145">
            <v>43450</v>
          </cell>
          <cell r="D1145" t="str">
            <v>KHF-00-104265-BA-6070-00115-0000</v>
          </cell>
          <cell r="E1145" t="str">
            <v>Method Statement for Hydro testing of CS Pipelines</v>
          </cell>
          <cell r="F1145">
            <v>3</v>
          </cell>
          <cell r="G1145" t="str">
            <v>Code B</v>
          </cell>
        </row>
        <row r="1146">
          <cell r="A1146" t="str">
            <v>KHF-00-104265-BA-6070-42011-0000-1</v>
          </cell>
          <cell r="B1146" t="str">
            <v>KHF_AIP_D_EXT_00843</v>
          </cell>
          <cell r="C1146">
            <v>43450</v>
          </cell>
          <cell r="D1146" t="str">
            <v>KHF-00-104265-BA-6070-42011-0000</v>
          </cell>
          <cell r="E1146" t="str">
            <v>METHOD STATEMENT FOR ABOVE GROUND PIPELINE FABRICATION AND INSTALLAION</v>
          </cell>
          <cell r="F1146">
            <v>1</v>
          </cell>
          <cell r="G1146" t="str">
            <v>Code B</v>
          </cell>
        </row>
        <row r="1147">
          <cell r="A1147" t="str">
            <v>KHF-00-104265-RA-8241-51156-0000-1</v>
          </cell>
          <cell r="B1147" t="str">
            <v>KHF_AIP_D_EXT_00844</v>
          </cell>
          <cell r="C1147">
            <v>43451</v>
          </cell>
          <cell r="D1147" t="str">
            <v>KHF-00-104265-RA-8241-51156-0000</v>
          </cell>
          <cell r="E1147" t="str">
            <v>Material Approval Sheet for Indoor Lighting  &amp; Small Power DB</v>
          </cell>
          <cell r="F1147">
            <v>1</v>
          </cell>
          <cell r="G1147" t="str">
            <v>Code B</v>
          </cell>
        </row>
        <row r="1148">
          <cell r="A1148" t="str">
            <v>KHF-00-104265-AA-6944-10058-0000-1</v>
          </cell>
          <cell r="B1148" t="str">
            <v>KHF_AIP_D_EXT_00845</v>
          </cell>
          <cell r="C1148">
            <v>43452</v>
          </cell>
          <cell r="D1148" t="str">
            <v>KHF-00-104265-AA-6944-10058-0000</v>
          </cell>
          <cell r="E1148" t="str">
            <v>WEEKLY progress report no.058</v>
          </cell>
          <cell r="F1148">
            <v>1</v>
          </cell>
          <cell r="G1148" t="str">
            <v>Code D</v>
          </cell>
        </row>
        <row r="1149">
          <cell r="A1149" t="str">
            <v>KHF-00-104265-BA-6070-01001-0000-1</v>
          </cell>
          <cell r="B1149" t="str">
            <v>KHF_AIP_D_EXT_00846</v>
          </cell>
          <cell r="C1149">
            <v>43452</v>
          </cell>
          <cell r="D1149" t="str">
            <v>KHF-00-104265-BA-6070-01001-0000</v>
          </cell>
          <cell r="E1149" t="str">
            <v>METHOD STATEMENT FOR PE ROTOLINING OF CS SPOOLS</v>
          </cell>
          <cell r="F1149">
            <v>1</v>
          </cell>
          <cell r="G1149" t="str">
            <v>Code A</v>
          </cell>
        </row>
        <row r="1150">
          <cell r="A1150" t="str">
            <v>KHF-00-104265-BA-6070-42006-0000-1</v>
          </cell>
          <cell r="B1150" t="str">
            <v>KHF_AIP_D_EXT_00847</v>
          </cell>
          <cell r="C1150">
            <v>43452</v>
          </cell>
          <cell r="D1150" t="str">
            <v>KHF-00-104265-BA-6070-42006-0000</v>
          </cell>
          <cell r="E1150" t="str">
            <v>METHOD STATEMENT FOR FLANGE TIGHTENING</v>
          </cell>
          <cell r="F1150">
            <v>1</v>
          </cell>
          <cell r="G1150" t="str">
            <v>Code D</v>
          </cell>
        </row>
        <row r="1151">
          <cell r="A1151" t="str">
            <v>KHF-00-104265-QA-5733-01101-0000-1</v>
          </cell>
          <cell r="B1151" t="str">
            <v>KHF_AIP_D_EXT_00848</v>
          </cell>
          <cell r="C1151">
            <v>43452</v>
          </cell>
          <cell r="D1151" t="str">
            <v>KHF-00-104265-QA-5733-01101-0000</v>
          </cell>
          <cell r="E1151" t="str">
            <v>INSPECTION AND TEST PLAN FOR SHOP HDPE LINING OF SHORT LENGTH CARBON STEEL SPOOLS</v>
          </cell>
          <cell r="F1151">
            <v>1</v>
          </cell>
          <cell r="G1151" t="str">
            <v>Code A</v>
          </cell>
        </row>
        <row r="1152">
          <cell r="A1152" t="str">
            <v>KHF-00-104265-BA-6070-41011-0000-1</v>
          </cell>
          <cell r="B1152" t="str">
            <v>KHF_AIP_D_EXT_00849</v>
          </cell>
          <cell r="C1152">
            <v>43453</v>
          </cell>
          <cell r="D1152" t="str">
            <v>KHF-00-104265-BA-6070-41011-0000</v>
          </cell>
          <cell r="E1152" t="str">
            <v>METHOD STATEMENT FOR MASS CONCRETING WORK FOR TANK FOUNDATION OFF Plot-RMS</v>
          </cell>
          <cell r="F1152">
            <v>1</v>
          </cell>
          <cell r="G1152" t="str">
            <v>Code C</v>
          </cell>
        </row>
        <row r="1153">
          <cell r="A1153" t="str">
            <v>KHF-00-104265-BA-6070-41014-0000-1</v>
          </cell>
          <cell r="B1153" t="str">
            <v>KHF_AIP_D_EXT_00850</v>
          </cell>
          <cell r="C1153">
            <v>43453</v>
          </cell>
          <cell r="D1153" t="str">
            <v>KHF-00-104265-BA-6070-41014-0000</v>
          </cell>
          <cell r="E1153" t="str">
            <v>METHOD STATEMENT FOR THE GRANOLITIC FLOORING FOR BUILDING</v>
          </cell>
          <cell r="F1153">
            <v>1</v>
          </cell>
          <cell r="G1153" t="str">
            <v>Code B</v>
          </cell>
        </row>
        <row r="1154">
          <cell r="A1154" t="str">
            <v>KHF-00-104265-BA-6070-43013-0000-1</v>
          </cell>
          <cell r="B1154" t="str">
            <v>KHF_AIP_D_EXT_00851</v>
          </cell>
          <cell r="C1154">
            <v>43453</v>
          </cell>
          <cell r="D1154" t="str">
            <v>KHF-00-104265-BA-6070-43013-0000</v>
          </cell>
          <cell r="E1154" t="str">
            <v>METHOD STATEMENT FOR INSULATION &amp; INSTALLATION OF DUCTING</v>
          </cell>
          <cell r="F1154">
            <v>1</v>
          </cell>
          <cell r="G1154" t="str">
            <v>Code B</v>
          </cell>
        </row>
        <row r="1155">
          <cell r="A1155" t="str">
            <v>KHF-00-104265-RA-8241-51160-0000-1</v>
          </cell>
          <cell r="B1155" t="str">
            <v>KHF_AIP_D_EXT_00852</v>
          </cell>
          <cell r="C1155">
            <v>43453</v>
          </cell>
          <cell r="D1155" t="str">
            <v>KHF-00-104265-RA-8241-51160-0000</v>
          </cell>
          <cell r="E1155" t="str">
            <v>MATERIAL APPROVAL SHEET FOR HARDENED &amp; SEALED GRANOLTHIC FLOOR (F8 TYPE FLOOR FINISH)</v>
          </cell>
          <cell r="F1155">
            <v>1</v>
          </cell>
          <cell r="G1155" t="str">
            <v>Code C</v>
          </cell>
        </row>
        <row r="1156">
          <cell r="A1156" t="str">
            <v>KHF-00-104265-AA-3341-00139-0000-1</v>
          </cell>
          <cell r="B1156" t="str">
            <v>KHF_AIP_D_EXT_00853</v>
          </cell>
          <cell r="C1156">
            <v>43454</v>
          </cell>
          <cell r="D1156" t="str">
            <v>KHF-00-104265-AA-3341-00139-0000</v>
          </cell>
          <cell r="E1156" t="str">
            <v>CV OF MR.SOMASUNDARAM - GRE INSPECTOR</v>
          </cell>
          <cell r="F1156">
            <v>1</v>
          </cell>
          <cell r="G1156" t="str">
            <v>Code A</v>
          </cell>
        </row>
        <row r="1157">
          <cell r="A1157" t="str">
            <v>KHF-00-104265-BA-6070-00116-0000-3</v>
          </cell>
          <cell r="B1157" t="str">
            <v>KHF_AIP_D_EXT_00854</v>
          </cell>
          <cell r="C1157">
            <v>43454</v>
          </cell>
          <cell r="D1157" t="str">
            <v>KHF-00-104265-BA-6070-00116-0000</v>
          </cell>
          <cell r="E1157" t="str">
            <v>Method Statement for Adhesive Bonding and Installation of GRE pipelines</v>
          </cell>
          <cell r="F1157">
            <v>3</v>
          </cell>
          <cell r="G1157" t="str">
            <v>Code A</v>
          </cell>
        </row>
        <row r="1158">
          <cell r="A1158" t="str">
            <v>KHF-00-104265-BA-6070-00117-0000-4</v>
          </cell>
          <cell r="B1158" t="str">
            <v>KHF_AIP_D_EXT_00855</v>
          </cell>
          <cell r="C1158">
            <v>43454</v>
          </cell>
          <cell r="D1158" t="str">
            <v>KHF-00-104265-BA-6070-00117-0000</v>
          </cell>
          <cell r="E1158" t="str">
            <v>Method Statement for GRE material transportation, handling, storage and control</v>
          </cell>
          <cell r="F1158">
            <v>4</v>
          </cell>
          <cell r="G1158" t="str">
            <v>Code A</v>
          </cell>
        </row>
        <row r="1159">
          <cell r="A1159" t="str">
            <v>KHF-00-104265-LA-5009-00118-0000-3</v>
          </cell>
          <cell r="B1159" t="str">
            <v>KHF_AIP_D_EXT_00856</v>
          </cell>
          <cell r="C1159">
            <v>43454</v>
          </cell>
          <cell r="D1159" t="str">
            <v>KHF-00-104265-LA-5009-00118-0000</v>
          </cell>
          <cell r="E1159" t="str">
            <v>MATERIAL APPROVAL SHEET MAS 3 G.I. Pipe Class-L2 for Pipe line Marker Post - Off Plot</v>
          </cell>
          <cell r="F1159">
            <v>3</v>
          </cell>
          <cell r="G1159" t="str">
            <v>Code A</v>
          </cell>
        </row>
        <row r="1160">
          <cell r="A1160" t="str">
            <v>KHF-00-104265-MP-6180-00136-0000-2</v>
          </cell>
          <cell r="B1160" t="str">
            <v>KHF_AIP_D_EXT_00857</v>
          </cell>
          <cell r="C1160">
            <v>43454</v>
          </cell>
          <cell r="D1160" t="str">
            <v>KHF-00-104265-MP-6180-00136-0000</v>
          </cell>
          <cell r="E1160" t="str">
            <v>Method Statement for GRE Pipe Jointing (Threaded)</v>
          </cell>
          <cell r="F1160">
            <v>2</v>
          </cell>
          <cell r="G1160" t="str">
            <v>Code A</v>
          </cell>
        </row>
        <row r="1161">
          <cell r="A1161" t="str">
            <v>KHF-00-104265-MP-6180-00139-0000-2</v>
          </cell>
          <cell r="B1161" t="str">
            <v>KHF_AIP_D_EXT_00858</v>
          </cell>
          <cell r="C1161">
            <v>43454</v>
          </cell>
          <cell r="D1161" t="str">
            <v>KHF-00-104265-MP-6180-00139-0000</v>
          </cell>
          <cell r="E1161" t="str">
            <v>Method Statement for Flange Tightening for GRE Pipes/Fittings (Threaded)</v>
          </cell>
          <cell r="F1161">
            <v>2</v>
          </cell>
          <cell r="G1161" t="str">
            <v>Code A</v>
          </cell>
        </row>
        <row r="1162">
          <cell r="A1162" t="str">
            <v>KHF-00-104265-MP-6180-00141-0000-2</v>
          </cell>
          <cell r="B1162" t="str">
            <v>KHF_AIP_D_EXT_00859</v>
          </cell>
          <cell r="C1162">
            <v>43454</v>
          </cell>
          <cell r="D1162" t="str">
            <v>KHF-00-104265-MP-6180-00141-0000</v>
          </cell>
          <cell r="E1162" t="str">
            <v>Method Statement for Road &amp; Wadi Crossing of GRE Pipeline (Threaded)</v>
          </cell>
          <cell r="F1162">
            <v>2</v>
          </cell>
          <cell r="G1162" t="str">
            <v>Code B</v>
          </cell>
        </row>
        <row r="1163">
          <cell r="A1163" t="str">
            <v>KHF-00-104265-MP-6180-00142-0000-2</v>
          </cell>
          <cell r="B1163" t="str">
            <v>KHF_AIP_D_EXT_00859</v>
          </cell>
          <cell r="C1163">
            <v>43454</v>
          </cell>
          <cell r="D1163" t="str">
            <v>KHF-00-104265-MP-6180-00142-0000</v>
          </cell>
          <cell r="E1163" t="str">
            <v>Method Statement for Trenching, Post Padding &amp; Backfilling of GRE Pipeline (Threaded)</v>
          </cell>
          <cell r="F1163">
            <v>2</v>
          </cell>
          <cell r="G1163" t="str">
            <v>Code A</v>
          </cell>
        </row>
        <row r="1164">
          <cell r="A1164" t="str">
            <v>KHF-00-104265-QA-5733-23012-0000-1</v>
          </cell>
          <cell r="B1164" t="str">
            <v>KHF_AIP_D_EXT_00860</v>
          </cell>
          <cell r="C1164">
            <v>43454</v>
          </cell>
          <cell r="D1164" t="str">
            <v>KHF-00-104265-QA-5733-23012-0000</v>
          </cell>
          <cell r="E1164" t="str">
            <v>INSPECTION AND TEST PLAN FOR INSULATION &amp; INSTALLATION OF DUCTING</v>
          </cell>
          <cell r="F1164">
            <v>1</v>
          </cell>
          <cell r="G1164" t="str">
            <v>Code D</v>
          </cell>
        </row>
        <row r="1165">
          <cell r="A1165" t="str">
            <v>KHF-00-104133-PX-2365-00001-0001-5</v>
          </cell>
          <cell r="B1165" t="str">
            <v>KHF_AIP_D_EXT_00861</v>
          </cell>
          <cell r="C1165">
            <v>43457</v>
          </cell>
          <cell r="D1165" t="str">
            <v>KHF-00-104133-PX-2365-00001-0001</v>
          </cell>
          <cell r="E1165" t="str">
            <v>PEFS PEFS/PFS LEGEND INSTRUMENT SYMBOLS</v>
          </cell>
          <cell r="F1165">
            <v>5</v>
          </cell>
          <cell r="G1165" t="str">
            <v>IFI</v>
          </cell>
        </row>
        <row r="1166">
          <cell r="A1166" t="str">
            <v>KHF-00-104265-RA-6038-00915-0000-1</v>
          </cell>
          <cell r="B1166" t="str">
            <v>KHF_AIP_D_EXT_00862</v>
          </cell>
          <cell r="C1166">
            <v>43457</v>
          </cell>
          <cell r="D1166" t="str">
            <v>KHF-00-104265-RA-6038-00915-0000</v>
          </cell>
          <cell r="E1166" t="str">
            <v>Procedure for Magnetic Particle Testing for Structural Welds</v>
          </cell>
          <cell r="F1166">
            <v>1</v>
          </cell>
          <cell r="G1166" t="str">
            <v>Code A</v>
          </cell>
        </row>
        <row r="1167">
          <cell r="A1167" t="str">
            <v>KHF-00-104265-RA-6038-00109-0000-1</v>
          </cell>
          <cell r="B1167" t="str">
            <v>KHF_AIP_D_EXT_00863</v>
          </cell>
          <cell r="C1167">
            <v>43457</v>
          </cell>
          <cell r="D1167" t="str">
            <v>KHF-00-104265-RA-6038-00109-0000</v>
          </cell>
          <cell r="E1167" t="str">
            <v>PROCEDURE FOR LIQUID PENETRANT TESTING FOR PIPELINE</v>
          </cell>
          <cell r="F1167">
            <v>1</v>
          </cell>
          <cell r="G1167" t="str">
            <v>Code A</v>
          </cell>
        </row>
        <row r="1168">
          <cell r="A1168" t="str">
            <v>KHF-00-104265-RA-6038-00108-0000-2</v>
          </cell>
          <cell r="B1168" t="str">
            <v>KHF_AIP_D_EXT_00864</v>
          </cell>
          <cell r="C1168">
            <v>43457</v>
          </cell>
          <cell r="D1168" t="str">
            <v>KHF-00-104265-RA-6038-00108-0000</v>
          </cell>
          <cell r="E1168" t="str">
            <v>PROCEDURE FOR DIGITIZATION OF RADIOGRAPHS</v>
          </cell>
          <cell r="F1168">
            <v>2</v>
          </cell>
          <cell r="G1168" t="str">
            <v>Code A</v>
          </cell>
        </row>
        <row r="1169">
          <cell r="A1169" t="str">
            <v>KHF-00-104265-RA-6038-00105-0000-3</v>
          </cell>
          <cell r="B1169" t="str">
            <v>KHF_AIP_D_EXT_00865</v>
          </cell>
          <cell r="C1169">
            <v>43457</v>
          </cell>
          <cell r="D1169" t="str">
            <v>KHF-00-104265-RA-6038-00105-0000</v>
          </cell>
          <cell r="E1169" t="str">
            <v>PROCEDURE FOR ULTRASONIC TESTING FOR PIPELINE WELDS</v>
          </cell>
          <cell r="F1169">
            <v>3</v>
          </cell>
          <cell r="G1169" t="str">
            <v>Code B</v>
          </cell>
        </row>
        <row r="1170">
          <cell r="A1170" t="str">
            <v>KHF-00-104265-RA-6038-00910-0000-1</v>
          </cell>
          <cell r="B1170" t="str">
            <v>KHF_AIP_D_EXT_00866</v>
          </cell>
          <cell r="C1170">
            <v>43457</v>
          </cell>
          <cell r="D1170" t="str">
            <v>KHF-00-104265-RA-6038-00910-0000</v>
          </cell>
          <cell r="E1170" t="str">
            <v>Procedure for Internal X-Ray Radiographic Testing of Pipelines</v>
          </cell>
          <cell r="F1170">
            <v>1</v>
          </cell>
          <cell r="G1170" t="str">
            <v>Code B</v>
          </cell>
        </row>
        <row r="1171">
          <cell r="A1171" t="str">
            <v>KHF-00-104265-RA-6038-00911-0000-1</v>
          </cell>
          <cell r="B1171" t="str">
            <v>KHF_AIP_D_EXT_00866</v>
          </cell>
          <cell r="C1171">
            <v>43457</v>
          </cell>
          <cell r="D1171" t="str">
            <v>KHF-00-104265-RA-6038-00911-0000</v>
          </cell>
          <cell r="E1171" t="str">
            <v>Procedure for External X-Ray Radiographic Testing of Pipelines</v>
          </cell>
          <cell r="F1171">
            <v>1</v>
          </cell>
          <cell r="G1171" t="str">
            <v>Code A</v>
          </cell>
        </row>
        <row r="1172">
          <cell r="A1172" t="str">
            <v>KHF-00-104265-RA-6038-00912-0000-1</v>
          </cell>
          <cell r="B1172" t="str">
            <v>KHF_AIP_D_EXT_00866</v>
          </cell>
          <cell r="C1172">
            <v>43457</v>
          </cell>
          <cell r="D1172" t="str">
            <v>KHF-00-104265-RA-6038-00912-0000</v>
          </cell>
          <cell r="E1172" t="str">
            <v>Procedure for Magnetic Particle Testing for Pipelines</v>
          </cell>
          <cell r="F1172">
            <v>1</v>
          </cell>
          <cell r="G1172" t="str">
            <v>Code A</v>
          </cell>
        </row>
        <row r="1173">
          <cell r="A1173" t="str">
            <v>KHF-00-104265-RA-6038-00913-0000-1</v>
          </cell>
          <cell r="B1173" t="str">
            <v>KHF_AIP_D_EXT_00866</v>
          </cell>
          <cell r="C1173">
            <v>43457</v>
          </cell>
          <cell r="D1173" t="str">
            <v>KHF-00-104265-RA-6038-00913-0000</v>
          </cell>
          <cell r="E1173" t="str">
            <v>Procedure for Ultrasonic Testing for Lamination for Pipelines</v>
          </cell>
          <cell r="F1173">
            <v>1</v>
          </cell>
          <cell r="G1173" t="str">
            <v>Code A</v>
          </cell>
        </row>
        <row r="1174">
          <cell r="A1174" t="str">
            <v>KHF-00-104265-RA-6038-00914-0000-1</v>
          </cell>
          <cell r="B1174" t="str">
            <v>KHF_AIP_D_EXT_00866</v>
          </cell>
          <cell r="C1174">
            <v>43457</v>
          </cell>
          <cell r="D1174" t="str">
            <v>KHF-00-104265-RA-6038-00914-0000</v>
          </cell>
          <cell r="E1174" t="str">
            <v>Procedure for Ultrasonic Testing of Pipeline Welds</v>
          </cell>
          <cell r="F1174">
            <v>1</v>
          </cell>
          <cell r="G1174" t="str">
            <v>Code B</v>
          </cell>
        </row>
        <row r="1175">
          <cell r="A1175" t="str">
            <v>KHF-00-104265-RA-6038-00101-0000-3</v>
          </cell>
          <cell r="B1175" t="str">
            <v>KHF_AIP_D_EXT_00867</v>
          </cell>
          <cell r="C1175">
            <v>43457</v>
          </cell>
          <cell r="D1175" t="str">
            <v>KHF-00-104265-RA-6038-00101-0000</v>
          </cell>
          <cell r="E1175" t="str">
            <v>Procedure for X-Ray Radiographic Testing of Pipelines</v>
          </cell>
          <cell r="F1175">
            <v>3</v>
          </cell>
          <cell r="G1175" t="str">
            <v>Code B</v>
          </cell>
        </row>
        <row r="1176">
          <cell r="A1176" t="str">
            <v>KHF-00-104265-RA-6038-00102-0000-3</v>
          </cell>
          <cell r="B1176" t="str">
            <v>KHF_AIP_D_EXT_00867</v>
          </cell>
          <cell r="C1176">
            <v>43457</v>
          </cell>
          <cell r="D1176" t="str">
            <v>KHF-00-104265-RA-6038-00102-0000</v>
          </cell>
          <cell r="E1176" t="str">
            <v>Procedure for External X-Ray Radiographic Testing of Pipelines</v>
          </cell>
          <cell r="F1176">
            <v>3</v>
          </cell>
          <cell r="G1176" t="str">
            <v>Code A</v>
          </cell>
        </row>
        <row r="1177">
          <cell r="A1177" t="str">
            <v>KHF-00-104265-BA-6070-43009-0000-2</v>
          </cell>
          <cell r="B1177" t="str">
            <v>KHF_AIP_D_EXT_00868</v>
          </cell>
          <cell r="C1177">
            <v>43457</v>
          </cell>
          <cell r="D1177" t="str">
            <v>KHF-00-104265-BA-6070-43009-0000</v>
          </cell>
          <cell r="E1177" t="str">
            <v>METHOD STATEMENT SKIDDING &amp; JACKING OF 2 x 110 MVA TRANSFORMERS</v>
          </cell>
          <cell r="F1177">
            <v>2</v>
          </cell>
          <cell r="G1177" t="str">
            <v>Code A</v>
          </cell>
        </row>
        <row r="1178">
          <cell r="A1178" t="str">
            <v>KHF-00-104265-RA-6038-00608-0000-1</v>
          </cell>
          <cell r="B1178" t="str">
            <v>KHF_AIP_D_EXT_00869</v>
          </cell>
          <cell r="C1178">
            <v>43457</v>
          </cell>
          <cell r="D1178" t="str">
            <v>KHF-00-104265-RA-6038-00608-0000</v>
          </cell>
          <cell r="E1178" t="str">
            <v>Procedure for Radiographic Film Digitization for CS / LTCS Piping Spools</v>
          </cell>
          <cell r="F1178">
            <v>1</v>
          </cell>
          <cell r="G1178" t="str">
            <v>Code B</v>
          </cell>
        </row>
        <row r="1179">
          <cell r="A1179" t="str">
            <v>KHF-00-104265-AA-3341-60120-0000-2</v>
          </cell>
          <cell r="B1179" t="str">
            <v>KHF_AIP_D_EXT_00870</v>
          </cell>
          <cell r="C1179">
            <v>43457</v>
          </cell>
          <cell r="D1179" t="str">
            <v>KHF-00-104265-AA-3341-60120-0000</v>
          </cell>
          <cell r="E1179" t="str">
            <v>CV OF MR. ASHWINKUMAR, QC INSPECTOR - WELDING (PIPING &amp; PIPELINE)</v>
          </cell>
          <cell r="F1179">
            <v>2</v>
          </cell>
          <cell r="G1179" t="str">
            <v>Code B</v>
          </cell>
        </row>
        <row r="1180">
          <cell r="A1180" t="str">
            <v>KHF-00-104265-BA-6070-43003-0000-3</v>
          </cell>
          <cell r="B1180" t="str">
            <v>KHF_AIP_D_EXT_00871</v>
          </cell>
          <cell r="C1180">
            <v>43458</v>
          </cell>
          <cell r="D1180" t="str">
            <v>KHF-00-104265-BA-6070-43003-0000</v>
          </cell>
          <cell r="E1180" t="str">
            <v>METHOD STATEMENT FOR ERECTION OF TRANSFORMERS</v>
          </cell>
          <cell r="F1180">
            <v>3</v>
          </cell>
          <cell r="G1180" t="str">
            <v>Code D</v>
          </cell>
        </row>
        <row r="1181">
          <cell r="A1181" t="str">
            <v>KHF-00-104265-RA-8241-51152-0000-1</v>
          </cell>
          <cell r="B1181" t="str">
            <v>KHF_AIP_D_EXT_00872</v>
          </cell>
          <cell r="C1181">
            <v>43458</v>
          </cell>
          <cell r="D1181" t="str">
            <v>KHF-00-104265-RA-8241-51152-0000</v>
          </cell>
          <cell r="E1181" t="str">
            <v>Material Approval Sheet for HDG Unistruct Channel With Accessories</v>
          </cell>
          <cell r="F1181">
            <v>1</v>
          </cell>
          <cell r="G1181" t="str">
            <v>Code A</v>
          </cell>
        </row>
        <row r="1182">
          <cell r="A1182" t="str">
            <v>KHF-00-104265-BA-6070-44002-0000-1</v>
          </cell>
          <cell r="B1182" t="str">
            <v>KHF_AIP_D_EXT_00873</v>
          </cell>
          <cell r="C1182">
            <v>43459</v>
          </cell>
          <cell r="D1182" t="str">
            <v>KHF-00-104265-BA-6070-44002-0000</v>
          </cell>
          <cell r="E1182" t="str">
            <v>METHOD STATEMENT FOR INSTALLATION OF FIRE &amp; GAS DETECTION SYSTEM</v>
          </cell>
          <cell r="F1182">
            <v>1</v>
          </cell>
          <cell r="G1182" t="str">
            <v>Code A</v>
          </cell>
        </row>
        <row r="1183">
          <cell r="A1183" t="str">
            <v>KHF-00-104265-BA-6070-44003-0000-1</v>
          </cell>
          <cell r="B1183" t="str">
            <v>KHF_AIP_D_EXT_00873</v>
          </cell>
          <cell r="C1183">
            <v>43459</v>
          </cell>
          <cell r="D1183" t="str">
            <v>KHF-00-104265-BA-6070-44003-0000</v>
          </cell>
          <cell r="E1183" t="str">
            <v>METHOD STATEMENT FOR INSTALLATION, GLANDING AND TERMINATION OF INSTRUMENTATION CABLES</v>
          </cell>
          <cell r="F1183">
            <v>1</v>
          </cell>
          <cell r="G1183" t="str">
            <v>Code A</v>
          </cell>
        </row>
        <row r="1184">
          <cell r="A1184" t="str">
            <v>KHF-00-104265-BA-6070-44004-0000-1</v>
          </cell>
          <cell r="B1184" t="str">
            <v>KHF_AIP_D_EXT_00873</v>
          </cell>
          <cell r="C1184">
            <v>43459</v>
          </cell>
          <cell r="D1184" t="str">
            <v>KHF-00-104265-BA-6070-44004-0000</v>
          </cell>
          <cell r="E1184" t="str">
            <v>METHOD STATEMENT FOR INSTALLATION OF PROCESS INSTRUMENTS, JUNCTION BOXES AND PANELS</v>
          </cell>
          <cell r="F1184">
            <v>1</v>
          </cell>
          <cell r="G1184" t="str">
            <v>Code A</v>
          </cell>
        </row>
        <row r="1185">
          <cell r="A1185" t="str">
            <v>KHF-00-104265-BA-6070-44005-0000-1</v>
          </cell>
          <cell r="B1185" t="str">
            <v>KHF_AIP_D_EXT_00874</v>
          </cell>
          <cell r="C1185">
            <v>43459</v>
          </cell>
          <cell r="D1185" t="str">
            <v>KHF-00-104265-BA-6070-44005-0000</v>
          </cell>
          <cell r="E1185" t="str">
            <v>METHOD STATEMENT FOR CALIBRATION OF INSTRUMENTS</v>
          </cell>
          <cell r="F1185">
            <v>1</v>
          </cell>
          <cell r="G1185" t="str">
            <v>Code A</v>
          </cell>
        </row>
        <row r="1186">
          <cell r="A1186" t="str">
            <v>KHF-00-104265-RA-8241-51150-0000-1</v>
          </cell>
          <cell r="B1186" t="str">
            <v>KHF_AIP_D_EXT_00875</v>
          </cell>
          <cell r="C1186">
            <v>43459</v>
          </cell>
          <cell r="D1186" t="str">
            <v>KHF-00-104265-RA-8241-51150-0000</v>
          </cell>
          <cell r="E1186" t="str">
            <v>MATERIAL APPROVAL SHEET FOR FIRE RESISTANT HILTI CP-620 FOAM</v>
          </cell>
          <cell r="F1186">
            <v>1</v>
          </cell>
          <cell r="G1186" t="str">
            <v>Code A</v>
          </cell>
        </row>
        <row r="1187">
          <cell r="A1187" t="str">
            <v>KHF-00-104265-QA-5733-23012-0000-2</v>
          </cell>
          <cell r="B1187" t="str">
            <v>KHF_AIP_D_EXT_00876</v>
          </cell>
          <cell r="C1187">
            <v>43459</v>
          </cell>
          <cell r="D1187" t="str">
            <v>KHF-00-104265-QA-5733-23012-0000</v>
          </cell>
          <cell r="E1187" t="str">
            <v>INSPECTION AND TEST PLAN FOR INSTALLATION OF HVAC SYSTEM</v>
          </cell>
          <cell r="F1187">
            <v>2</v>
          </cell>
          <cell r="G1187" t="str">
            <v>Code B</v>
          </cell>
        </row>
        <row r="1188">
          <cell r="A1188" t="str">
            <v>KHF-00-104265-AA-6944-10059-0000-1</v>
          </cell>
          <cell r="B1188" t="str">
            <v>KHF_AIP_D_EXT_00877</v>
          </cell>
          <cell r="C1188">
            <v>43459</v>
          </cell>
          <cell r="D1188" t="str">
            <v>KHF-00-104265-AA-6944-10059-0000</v>
          </cell>
          <cell r="E1188" t="str">
            <v>WEEKLY PROGRESS REPORT NO.059</v>
          </cell>
          <cell r="F1188">
            <v>1</v>
          </cell>
          <cell r="G1188" t="str">
            <v>Code D</v>
          </cell>
        </row>
        <row r="1189">
          <cell r="A1189" t="str">
            <v>KHF-00-104265-RA-8241-51151-0000-1</v>
          </cell>
          <cell r="B1189" t="str">
            <v>KHF_AIP_D_EXT_00878</v>
          </cell>
          <cell r="C1189">
            <v>43460</v>
          </cell>
          <cell r="D1189" t="str">
            <v>KHF-00-104265-RA-8241-51151-0000</v>
          </cell>
          <cell r="E1189" t="str">
            <v>MATERIAL APPROVAL SHEET FOR FIRE RESISTANT TAPE SCOTCH 77</v>
          </cell>
          <cell r="F1189">
            <v>1</v>
          </cell>
          <cell r="G1189" t="str">
            <v>Code A</v>
          </cell>
        </row>
        <row r="1190">
          <cell r="A1190" t="str">
            <v>KHF-00-104265-RA-8241-51157-0000-1</v>
          </cell>
          <cell r="B1190" t="str">
            <v>KHF_AIP_D_EXT_00879</v>
          </cell>
          <cell r="C1190">
            <v>43460</v>
          </cell>
          <cell r="D1190" t="str">
            <v>KHF-00-104265-RA-8241-51157-0000</v>
          </cell>
          <cell r="E1190" t="str">
            <v>Material Approval Sheet for TREFOIL Clamps for Single Core Cable</v>
          </cell>
          <cell r="F1190">
            <v>1</v>
          </cell>
          <cell r="G1190" t="str">
            <v>Code A</v>
          </cell>
        </row>
        <row r="1191">
          <cell r="A1191" t="str">
            <v>KHF-00-104265-AA-3341-00140-0000-1</v>
          </cell>
          <cell r="B1191" t="str">
            <v>KHF_AIP_D_EXT_00880</v>
          </cell>
          <cell r="C1191">
            <v>43460</v>
          </cell>
          <cell r="D1191" t="str">
            <v>KHF-00-104265-AA-3341-00140-0000</v>
          </cell>
          <cell r="E1191" t="str">
            <v>CV FOR MR.ANILESH KUMAR SINGH_JOINTERS FOR FGS GRE - 100 BAR SYSTEM</v>
          </cell>
          <cell r="F1191">
            <v>1</v>
          </cell>
          <cell r="G1191" t="str">
            <v>Code B</v>
          </cell>
        </row>
        <row r="1192">
          <cell r="A1192" t="str">
            <v>KHF-00-104265-AA-3341-00141-0000-1</v>
          </cell>
          <cell r="B1192" t="str">
            <v>KHF_AIP_D_EXT_00880</v>
          </cell>
          <cell r="C1192">
            <v>43460</v>
          </cell>
          <cell r="D1192" t="str">
            <v>KHF-00-104265-AA-3341-00141-0000</v>
          </cell>
          <cell r="E1192" t="str">
            <v>CV FOR MR.RAMASHISH RAM - JOINTERS FOR FGS GRE -100 BAR SYSTEM</v>
          </cell>
          <cell r="F1192">
            <v>1</v>
          </cell>
          <cell r="G1192" t="str">
            <v>Code B</v>
          </cell>
        </row>
        <row r="1193">
          <cell r="A1193" t="str">
            <v>KHF-00-104265-AA-3341-00142-0000-1</v>
          </cell>
          <cell r="B1193" t="str">
            <v>KHF_AIP_D_EXT_00880</v>
          </cell>
          <cell r="C1193">
            <v>43460</v>
          </cell>
          <cell r="D1193" t="str">
            <v>KHF-00-104265-AA-3341-00142-0000</v>
          </cell>
          <cell r="E1193" t="str">
            <v>CV FOR MR.TOTAL MANDAL - JOINTERS FOR FGS GRE -100 BAR SYSTEM</v>
          </cell>
          <cell r="F1193">
            <v>1</v>
          </cell>
          <cell r="G1193" t="str">
            <v>Code B</v>
          </cell>
        </row>
        <row r="1194">
          <cell r="A1194" t="str">
            <v>KHF-00-104265-AA-3341-00143-0000-1</v>
          </cell>
          <cell r="B1194" t="str">
            <v>KHF_AIP_D_EXT_00880</v>
          </cell>
          <cell r="C1194">
            <v>43460</v>
          </cell>
          <cell r="D1194" t="str">
            <v>KHF-00-104265-AA-3341-00143-0000</v>
          </cell>
          <cell r="E1194" t="str">
            <v>CV FOR MR.JITENDRA YADAV - JOINTERS FOR FGS GRE -100 BAR SYSTEM</v>
          </cell>
          <cell r="F1194">
            <v>1</v>
          </cell>
          <cell r="G1194" t="str">
            <v>Code B</v>
          </cell>
        </row>
        <row r="1195">
          <cell r="A1195" t="str">
            <v>KHF-00-104265-AA-3341-00144-0000-1</v>
          </cell>
          <cell r="B1195" t="str">
            <v>KHF_AIP_D_EXT_00880</v>
          </cell>
          <cell r="C1195">
            <v>43460</v>
          </cell>
          <cell r="D1195" t="str">
            <v>KHF-00-104265-AA-3341-00144-0000</v>
          </cell>
          <cell r="E1195" t="str">
            <v>CV FOR MR.BHUPENDRA TIWARI - JOINTERS FOR FGS GRE - 100 BAR SYSTEM</v>
          </cell>
          <cell r="F1195">
            <v>1</v>
          </cell>
          <cell r="G1195" t="str">
            <v>Code B</v>
          </cell>
        </row>
        <row r="1196">
          <cell r="A1196" t="str">
            <v>KHF-00-104265-AA-3341-00145-0000-1</v>
          </cell>
          <cell r="B1196" t="str">
            <v>KHF_AIP_D_EXT_00880</v>
          </cell>
          <cell r="C1196">
            <v>43460</v>
          </cell>
          <cell r="D1196" t="str">
            <v>KHF-00-104265-AA-3341-00145-0000</v>
          </cell>
          <cell r="E1196" t="str">
            <v>CV FOR MR.DIPAK KUMAR GUPTA - JOINTERS FOR FGS GRE - 100 BAR SYSTEM</v>
          </cell>
          <cell r="F1196">
            <v>1</v>
          </cell>
          <cell r="G1196" t="str">
            <v>Code A</v>
          </cell>
        </row>
        <row r="1197">
          <cell r="A1197" t="str">
            <v>KHF-00-104265-AA-3341-00146-0000-1</v>
          </cell>
          <cell r="B1197" t="str">
            <v>KHF_AIP_D_EXT_00880</v>
          </cell>
          <cell r="C1197">
            <v>43460</v>
          </cell>
          <cell r="D1197" t="str">
            <v>KHF-00-104265-AA-3341-00146-0000</v>
          </cell>
          <cell r="E1197" t="str">
            <v>CV FOR MR.RADHE SHYAM - JOINTERS FOR FGS GRE - 100 BAR SYSTEM</v>
          </cell>
          <cell r="F1197">
            <v>1</v>
          </cell>
          <cell r="G1197" t="str">
            <v>Code B</v>
          </cell>
        </row>
        <row r="1198">
          <cell r="A1198" t="str">
            <v>KHF-00-104265-AA-3341-00901-0000-1</v>
          </cell>
          <cell r="B1198" t="str">
            <v>KHF_AIP_D_EXT_00881</v>
          </cell>
          <cell r="C1198">
            <v>43460</v>
          </cell>
          <cell r="D1198" t="str">
            <v>KHF-00-104265-AA-3341-00901-0000</v>
          </cell>
          <cell r="E1198" t="str">
            <v>CV FOR MR. PEDISETTI GANESH- NDT TECHNICIAN</v>
          </cell>
          <cell r="F1198">
            <v>1</v>
          </cell>
          <cell r="G1198" t="str">
            <v>Code B</v>
          </cell>
        </row>
        <row r="1199">
          <cell r="A1199" t="str">
            <v>KHF-00-104265-AA-3341-00147-0000-1</v>
          </cell>
          <cell r="B1199" t="str">
            <v>KHF_AIP_D_EXT_00882</v>
          </cell>
          <cell r="C1199">
            <v>43460</v>
          </cell>
          <cell r="D1199" t="str">
            <v>KHF-00-104265-AA-3341-00147-0000</v>
          </cell>
          <cell r="E1199" t="str">
            <v>CV FOR MR.SAKIR F VAHORA -GRE SUPERVISOR (FGS THREADED SYSTEM 80 AND 100 BAR)</v>
          </cell>
          <cell r="F1199">
            <v>1</v>
          </cell>
          <cell r="G1199" t="str">
            <v>Code B</v>
          </cell>
        </row>
        <row r="1200">
          <cell r="A1200" t="str">
            <v>KHF-00-104265-AA-3341-00148-0000-1</v>
          </cell>
          <cell r="B1200" t="str">
            <v>KHF_AIP_D_EXT_00882</v>
          </cell>
          <cell r="C1200">
            <v>43460</v>
          </cell>
          <cell r="D1200" t="str">
            <v>KHF-00-104265-AA-3341-00148-0000</v>
          </cell>
          <cell r="E1200" t="str">
            <v>CV FOR MR.VAHORA JAVED SALIM - GRE SUPERVISOR (FGS THREADED SYSTEM 80 AND 100 BAR)</v>
          </cell>
          <cell r="F1200">
            <v>1</v>
          </cell>
          <cell r="G1200" t="str">
            <v>Code B</v>
          </cell>
        </row>
        <row r="1201">
          <cell r="A1201" t="str">
            <v>KHF-00-104265-BA-6065-50002-0000-3</v>
          </cell>
          <cell r="B1201" t="str">
            <v>KHF_AIP_D_EXT_00883</v>
          </cell>
          <cell r="C1201">
            <v>43464</v>
          </cell>
          <cell r="D1201" t="str">
            <v>KHF-00-104265-BA-6065-50002-0000</v>
          </cell>
          <cell r="E1201" t="str">
            <v>WPS - Pipe to Barred Tee / Reduced Tee / Flange / Valve Pup Piece - Applicable for Pipeline PL, PL2, Pl3 and PL4 - Qualified Thickness range - 7.5mm to 15.0mm</v>
          </cell>
          <cell r="F1201">
            <v>3</v>
          </cell>
          <cell r="G1201" t="str">
            <v>Code B</v>
          </cell>
        </row>
        <row r="1202">
          <cell r="A1202" t="str">
            <v>KHF-00-104265-BA-6070-42016-0000-1</v>
          </cell>
          <cell r="B1202" t="str">
            <v>KHF_AIP_D_EXT_00884</v>
          </cell>
          <cell r="C1202">
            <v>43464</v>
          </cell>
          <cell r="D1202" t="str">
            <v>KHF-00-104265-BA-6070-42016-0000</v>
          </cell>
          <cell r="E1202" t="str">
            <v>METHOD STATEMENT FOR PICKLING AND PASSIVATION</v>
          </cell>
          <cell r="F1202">
            <v>1</v>
          </cell>
          <cell r="G1202" t="str">
            <v>Code B</v>
          </cell>
        </row>
        <row r="1203">
          <cell r="A1203" t="str">
            <v>KHF-00-104265-BA-6070-43010-0000-2</v>
          </cell>
          <cell r="B1203" t="str">
            <v>KHF_AIP_D_EXT_00885</v>
          </cell>
          <cell r="C1203">
            <v>43464</v>
          </cell>
          <cell r="D1203" t="str">
            <v>KHF-00-104265-BA-6070-43010-0000</v>
          </cell>
          <cell r="E1203" t="str">
            <v>METHOD STATEMENT SKIDDING &amp; JACKING / MECHANICAL PROTECTION OF 50/63 MVA, 11/134.5KV GTG STEP UP TRANSFORMERG-23001-TX</v>
          </cell>
          <cell r="F1203">
            <v>2</v>
          </cell>
          <cell r="G1203" t="str">
            <v>Code D</v>
          </cell>
        </row>
        <row r="1204">
          <cell r="A1204" t="str">
            <v>KHF-00-104265-QA-5733-01001-0000-2</v>
          </cell>
          <cell r="B1204" t="str">
            <v>KHF_AIP_D_EXT_00886</v>
          </cell>
          <cell r="C1204">
            <v>43464</v>
          </cell>
          <cell r="D1204" t="str">
            <v>KHF-00-104265-QA-5733-01001-0000</v>
          </cell>
          <cell r="E1204" t="str">
            <v>INSPECTION &amp; TEST PLAN FOR PE ROTOLINING OF CS SPOOLS</v>
          </cell>
          <cell r="F1204">
            <v>2</v>
          </cell>
          <cell r="G1204" t="str">
            <v>Code A</v>
          </cell>
        </row>
        <row r="1205">
          <cell r="A1205" t="str">
            <v>KHF-00-104265-QA-5733-22001-0000-2</v>
          </cell>
          <cell r="B1205" t="str">
            <v>KHF_AIP_D_EXT_00887</v>
          </cell>
          <cell r="C1205">
            <v>43464</v>
          </cell>
          <cell r="D1205" t="str">
            <v>KHF-00-104265-QA-5733-22001-0000</v>
          </cell>
          <cell r="E1205" t="str">
            <v>INSPECTION AND TEST PLAN FOR INSTALLATION AND TESTING OF EOT CRANE</v>
          </cell>
          <cell r="F1205">
            <v>2</v>
          </cell>
          <cell r="G1205" t="str">
            <v>Code A</v>
          </cell>
        </row>
        <row r="1206">
          <cell r="A1206" t="str">
            <v>KHF-00-104265-QA-5733-22005-0000-2</v>
          </cell>
          <cell r="B1206" t="str">
            <v>KHF_AIP_D_EXT_00888</v>
          </cell>
          <cell r="C1206">
            <v>43464</v>
          </cell>
          <cell r="D1206" t="str">
            <v>KHF-00-104265-QA-5733-22005-0000</v>
          </cell>
          <cell r="E1206" t="str">
            <v>INSPECTION AND TEST PLAN FOR INSTALLATION OF ABOVE GROUND CARBON STEEL PIPELINE WORKS</v>
          </cell>
          <cell r="F1206">
            <v>2</v>
          </cell>
          <cell r="G1206" t="str">
            <v>Code B</v>
          </cell>
        </row>
        <row r="1207">
          <cell r="A1207" t="str">
            <v>KHF-00-104265-QA-5733-22008-0000-2</v>
          </cell>
          <cell r="B1207" t="str">
            <v>KHF_AIP_D_EXT_00889</v>
          </cell>
          <cell r="C1207">
            <v>43464</v>
          </cell>
          <cell r="D1207" t="str">
            <v>KHF-00-104265-QA-5733-22008-0000</v>
          </cell>
          <cell r="E1207" t="str">
            <v>INSPECTION &amp; TEST PLAN FOR INSTALLATION OF FINFAN COOLER</v>
          </cell>
          <cell r="F1207">
            <v>2</v>
          </cell>
          <cell r="G1207" t="str">
            <v>Code D</v>
          </cell>
        </row>
        <row r="1208">
          <cell r="A1208" t="str">
            <v>KHF-00-104265-QA-5733-23012-0000-3</v>
          </cell>
          <cell r="B1208" t="str">
            <v>KHF_AIP_D_EXT_00890</v>
          </cell>
          <cell r="C1208">
            <v>43464</v>
          </cell>
          <cell r="D1208" t="str">
            <v>KHF-00-104265-QA-5733-23012-0000</v>
          </cell>
          <cell r="E1208" t="str">
            <v>INSPECTION AND TEST PLAN FOR INSTALLATION OF HVAC SYSTEM</v>
          </cell>
          <cell r="F1208">
            <v>3</v>
          </cell>
          <cell r="G1208" t="str">
            <v>Code A</v>
          </cell>
        </row>
        <row r="1209">
          <cell r="A1209" t="str">
            <v>KHF-00-104265-QA-6180-10018-0000-4</v>
          </cell>
          <cell r="B1209" t="str">
            <v>KHF_AIP_D_EXT_00891</v>
          </cell>
          <cell r="C1209">
            <v>43464</v>
          </cell>
          <cell r="D1209" t="str">
            <v>KHF-00-104265-QA-6180-10018-0000</v>
          </cell>
          <cell r="E1209" t="str">
            <v>Project Audit Procedure</v>
          </cell>
          <cell r="F1209">
            <v>4</v>
          </cell>
          <cell r="G1209" t="str">
            <v>Code A</v>
          </cell>
        </row>
        <row r="1210">
          <cell r="A1210" t="str">
            <v>KHF-00-104265-RA-8241-00802-0000-2</v>
          </cell>
          <cell r="B1210" t="str">
            <v>KHF_AIP_D_EXT_00892</v>
          </cell>
          <cell r="C1210">
            <v>43464</v>
          </cell>
          <cell r="D1210" t="str">
            <v>KHF-00-104265-RA-8241-00802-0000</v>
          </cell>
          <cell r="E1210" t="str">
            <v>MATERIAL APPROVAL SUBMITTAL FOR STRUCTURAL STEEL ABRASIVE (STEEL SHOT)</v>
          </cell>
          <cell r="F1210">
            <v>2</v>
          </cell>
          <cell r="G1210" t="str">
            <v>Code C</v>
          </cell>
        </row>
        <row r="1211">
          <cell r="A1211" t="str">
            <v>KHF-00-104265-AA-6944-10060-0000-1</v>
          </cell>
          <cell r="B1211" t="str">
            <v>KHF_AIP_D_EXT_00893</v>
          </cell>
          <cell r="C1211">
            <v>43465</v>
          </cell>
          <cell r="D1211" t="str">
            <v>KHF-00-104265-AA-6944-10060-0000</v>
          </cell>
          <cell r="E1211" t="str">
            <v>WEEKLY PROGRESS REPORT NO.060</v>
          </cell>
          <cell r="F1211">
            <v>1</v>
          </cell>
          <cell r="G1211" t="str">
            <v>Code D</v>
          </cell>
        </row>
        <row r="1212">
          <cell r="A1212" t="str">
            <v>KHF-25-104133-EA-4308-00038-0000-2</v>
          </cell>
          <cell r="B1212" t="str">
            <v>KHF_AIP_D_EXT_00894</v>
          </cell>
          <cell r="C1212">
            <v>43467</v>
          </cell>
          <cell r="D1212" t="str">
            <v>KHF-25-104133-EA-4308-00038-0000</v>
          </cell>
          <cell r="E1212" t="str">
            <v>PROTECTION RELAY SETTING SCHEDULE AND COORDINATION CURVES FOR GGP-IV 33KV GIS FEEDER-R5 AND PMR</v>
          </cell>
          <cell r="F1212">
            <v>2</v>
          </cell>
          <cell r="G1212" t="str">
            <v>IFI</v>
          </cell>
        </row>
        <row r="1213">
          <cell r="A1213" t="str">
            <v>KHF-00-104265-BA-6070-00151-0000-1</v>
          </cell>
          <cell r="B1213" t="str">
            <v>KHF_AIP_D_EXT_00895</v>
          </cell>
          <cell r="C1213">
            <v>43467</v>
          </cell>
          <cell r="D1213" t="str">
            <v>KHF-00-104265-BA-6070-00151-0000</v>
          </cell>
          <cell r="E1213" t="str">
            <v>METHOD STATEMENT FOR THREE LAYER POLYTHENE (3LPE) COATING APPLICATION ON CASING LINE PIPES</v>
          </cell>
          <cell r="F1213">
            <v>1</v>
          </cell>
          <cell r="G1213" t="str">
            <v>Code A</v>
          </cell>
        </row>
        <row r="1214">
          <cell r="A1214" t="str">
            <v>KHF-00-104265-LA-0580-00147-0000-1</v>
          </cell>
          <cell r="B1214" t="str">
            <v>KHF_AIP_D_EXT_00896</v>
          </cell>
          <cell r="C1214">
            <v>43467</v>
          </cell>
          <cell r="D1214" t="str">
            <v>KHF-00-104265-LA-0580-00147-0000</v>
          </cell>
          <cell r="E1214" t="str">
            <v>RO WATER FROM FAHUD RO PLANT - ANALYSIS REPORT (WATER REQUIRED FOR PIPELINE HYDRO TESTING)</v>
          </cell>
          <cell r="F1214">
            <v>1</v>
          </cell>
          <cell r="G1214" t="str">
            <v>Code B</v>
          </cell>
        </row>
        <row r="1215">
          <cell r="A1215" t="str">
            <v>KHF-00-104265-QA-5733-23008-0000-4</v>
          </cell>
          <cell r="B1215" t="str">
            <v>KHF_AIP_D_EXT_00897</v>
          </cell>
          <cell r="C1215">
            <v>43467</v>
          </cell>
          <cell r="D1215" t="str">
            <v>KHF-00-104265-QA-5733-23008-0000</v>
          </cell>
          <cell r="E1215" t="str">
            <v>INSPECTION AND TEST PLAN FOR LIGHTING &amp; SMALL POWER WORKS</v>
          </cell>
          <cell r="F1215">
            <v>4</v>
          </cell>
          <cell r="G1215" t="str">
            <v>Code A</v>
          </cell>
        </row>
        <row r="1216">
          <cell r="A1216" t="str">
            <v>KHF-00-104265-QA-5733-24004-0000-4</v>
          </cell>
          <cell r="B1216" t="str">
            <v>KHF_AIP_D_EXT_00898</v>
          </cell>
          <cell r="C1216">
            <v>43467</v>
          </cell>
          <cell r="D1216" t="str">
            <v>KHF-00-104265-QA-5733-24004-0000</v>
          </cell>
          <cell r="E1216" t="str">
            <v>INSPECTION AND TEST PLAN FOR INSTALLATION AND TESTING OF IMPLUSE AND AIRLINE TUBING</v>
          </cell>
          <cell r="F1216">
            <v>4</v>
          </cell>
          <cell r="G1216" t="str">
            <v>Code A</v>
          </cell>
        </row>
        <row r="1217">
          <cell r="A1217" t="str">
            <v>KHF-00-104265-QA-6050-00117-0000-1</v>
          </cell>
          <cell r="B1217" t="str">
            <v>KHF_AIP_D_EXT_00899</v>
          </cell>
          <cell r="C1217">
            <v>43467</v>
          </cell>
          <cell r="D1217" t="str">
            <v>KHF-00-104265-QA-6050-00117-0000</v>
          </cell>
          <cell r="E1217" t="str">
            <v>QUALITY CONTROL PLAN FOR 3LPE COATING</v>
          </cell>
          <cell r="F1217">
            <v>1</v>
          </cell>
          <cell r="G1217" t="str">
            <v>Code A</v>
          </cell>
        </row>
        <row r="1218">
          <cell r="A1218" t="str">
            <v>KHF-00-104265-RA-8241-01001-0000-1</v>
          </cell>
          <cell r="B1218" t="str">
            <v>KHF_AIP_D_EXT_00900</v>
          </cell>
          <cell r="C1218">
            <v>43467</v>
          </cell>
          <cell r="D1218" t="str">
            <v>KHF-00-104265-RA-8241-01001-0000</v>
          </cell>
          <cell r="E1218" t="str">
            <v>MATERIAL APPROVAL SHEET (ROTOLINING)</v>
          </cell>
          <cell r="F1218">
            <v>1</v>
          </cell>
          <cell r="G1218" t="str">
            <v>Code B</v>
          </cell>
        </row>
        <row r="1219">
          <cell r="A1219" t="str">
            <v>KHF-00-104265-AA-3341-60043-0000-3</v>
          </cell>
          <cell r="B1219" t="str">
            <v>KHF_AIP_D_EXT_00901</v>
          </cell>
          <cell r="C1219">
            <v>43468</v>
          </cell>
          <cell r="D1219" t="str">
            <v>KHF-00-104265-AA-3341-60043-0000</v>
          </cell>
          <cell r="E1219" t="str">
            <v>CV OF MR. SUDHAKAR KAJIPURAM -WELDING ENGINEER</v>
          </cell>
          <cell r="F1219">
            <v>3</v>
          </cell>
          <cell r="G1219" t="str">
            <v>Code B</v>
          </cell>
        </row>
        <row r="1220">
          <cell r="A1220" t="str">
            <v>KHF-00-104265-BA-6070-41012-0000-1</v>
          </cell>
          <cell r="B1220" t="str">
            <v>KHF_AIP_D_EXT_00902</v>
          </cell>
          <cell r="C1220">
            <v>43468</v>
          </cell>
          <cell r="D1220" t="str">
            <v>KHF-00-104265-BA-6070-41012-0000</v>
          </cell>
          <cell r="E1220" t="str">
            <v>METHOD STATEMENT FOR EXTENDED HOUR WORKING - CIVIL WORKS OF GIS, GTG BUILDING AND GTG EQUIPMENT AREA</v>
          </cell>
          <cell r="F1220">
            <v>1</v>
          </cell>
          <cell r="G1220" t="str">
            <v>Code A</v>
          </cell>
        </row>
        <row r="1221">
          <cell r="A1221" t="str">
            <v>KHF-00-104265-BA-6070-42013-0000-1</v>
          </cell>
          <cell r="B1221" t="str">
            <v>KHF_AIP_D_EXT_00903</v>
          </cell>
          <cell r="C1221">
            <v>43468</v>
          </cell>
          <cell r="D1221" t="str">
            <v>KHF-00-104265-BA-6070-42013-0000</v>
          </cell>
          <cell r="E1221" t="str">
            <v>METHOD STATEMENT FOR INSTALLATION OF MISCELLANEOUS STRUCTURE, SUPPORT, PLATFORM ACCESS LADDER, HANDRAILING AND GRATINGS AT POWER PLANT</v>
          </cell>
          <cell r="F1221">
            <v>1</v>
          </cell>
          <cell r="G1221" t="str">
            <v>Code B</v>
          </cell>
        </row>
        <row r="1222">
          <cell r="A1222" t="str">
            <v>KHF-00-104265-QA-6050-32007-0000-1</v>
          </cell>
          <cell r="B1222" t="str">
            <v>KHF_AIP_D_EXT_00904</v>
          </cell>
          <cell r="C1222">
            <v>43468</v>
          </cell>
          <cell r="D1222" t="str">
            <v>KHF-00-104265-QA-6050-32007-0000</v>
          </cell>
          <cell r="E1222" t="str">
            <v>QUALITY CONTROL PROCEDURE FOR VISUAL EXAMINATION OF PIPING</v>
          </cell>
          <cell r="F1222">
            <v>1</v>
          </cell>
          <cell r="G1222" t="str">
            <v>Code A</v>
          </cell>
        </row>
        <row r="1223">
          <cell r="A1223" t="str">
            <v>KHF-00-104265-RA-8241-51165-0000-1</v>
          </cell>
          <cell r="B1223" t="str">
            <v>KHF_AIP_D_EXT_00905</v>
          </cell>
          <cell r="C1223">
            <v>43468</v>
          </cell>
          <cell r="D1223" t="str">
            <v>KHF-00-104265-RA-8241-51165-0000</v>
          </cell>
          <cell r="E1223" t="str">
            <v>MATERIAL APPROVAL SHEET FOR ACID RESISTANT PAINT FOR BATTERY ROOMS</v>
          </cell>
          <cell r="F1223">
            <v>1</v>
          </cell>
          <cell r="G1223" t="str">
            <v>Code A</v>
          </cell>
        </row>
        <row r="1224">
          <cell r="A1224" t="str">
            <v>KHF-00-104133-TA-3328-00008-0001-4</v>
          </cell>
          <cell r="B1224" t="str">
            <v>KHF_AIP_D_EXT_00906</v>
          </cell>
          <cell r="C1224">
            <v>43468</v>
          </cell>
          <cell r="D1224" t="str">
            <v>KHF-00-104133-TA-3328-00008-0001</v>
          </cell>
          <cell r="E1224" t="str">
            <v>IT INFRASTRUCTURE INSTALLATION DRAWING - TELECOMMUNICATION CABLE TRENCH</v>
          </cell>
          <cell r="F1224">
            <v>4</v>
          </cell>
          <cell r="G1224" t="str">
            <v>AFC Drawing</v>
          </cell>
        </row>
        <row r="1225">
          <cell r="A1225" t="str">
            <v>KHF-00-104133-CX-4018-00037-0001-1</v>
          </cell>
          <cell r="B1225" t="str">
            <v>KHF_AIP_D_EXT_00907</v>
          </cell>
          <cell r="C1225">
            <v>43471</v>
          </cell>
          <cell r="D1225" t="str">
            <v>KHF-00-104133-CX-4018-00037-0001</v>
          </cell>
          <cell r="E1225" t="str">
            <v>SITE GRADING KEY PLAN</v>
          </cell>
          <cell r="F1225">
            <v>1</v>
          </cell>
          <cell r="G1225" t="str">
            <v>IFI</v>
          </cell>
        </row>
        <row r="1226">
          <cell r="A1226" t="str">
            <v>KHF-00-104265-BA-6070-41013-0000-1</v>
          </cell>
          <cell r="B1226" t="str">
            <v>KHF_AIP_D_EXT_00908</v>
          </cell>
          <cell r="C1226">
            <v>43471</v>
          </cell>
          <cell r="D1226" t="str">
            <v>KHF-00-104265-BA-6070-41013-0000</v>
          </cell>
          <cell r="E1226" t="str">
            <v>METHOD STATEMENT FOR UNDERTAKING NIGHT WORKING FOR CIVIL WORKS OF RMS -A200</v>
          </cell>
          <cell r="F1226">
            <v>1</v>
          </cell>
          <cell r="G1226" t="str">
            <v>Code D</v>
          </cell>
        </row>
        <row r="1227">
          <cell r="A1227" t="str">
            <v>KHF-00-104265-RA-8241-51167-0000-1</v>
          </cell>
          <cell r="B1227" t="str">
            <v>KHF_AIP_D_EXT_00909</v>
          </cell>
          <cell r="C1227">
            <v>43471</v>
          </cell>
          <cell r="D1227" t="str">
            <v>KHF-00-104265-RA-8241-51167-0000</v>
          </cell>
          <cell r="E1227" t="str">
            <v>Material Approval Sheet for Granolithic Flooring for Substation Buildings</v>
          </cell>
          <cell r="F1227">
            <v>1</v>
          </cell>
          <cell r="G1227" t="str">
            <v>Code C</v>
          </cell>
        </row>
        <row r="1228">
          <cell r="A1228" t="str">
            <v>---</v>
          </cell>
          <cell r="B1228" t="str">
            <v>KHF_AIP_D_EXT_00910</v>
          </cell>
          <cell r="C1228">
            <v>43473</v>
          </cell>
          <cell r="D1228" t="str">
            <v>-</v>
          </cell>
          <cell r="E1228" t="str">
            <v>AFC Drawings</v>
          </cell>
          <cell r="F1228" t="str">
            <v>-</v>
          </cell>
          <cell r="G1228" t="str">
            <v>Total 05 drawings</v>
          </cell>
        </row>
        <row r="1229">
          <cell r="A1229" t="str">
            <v>---</v>
          </cell>
          <cell r="B1229" t="str">
            <v>KHF_AIP_D_EXT_00911</v>
          </cell>
          <cell r="C1229">
            <v>43474</v>
          </cell>
          <cell r="D1229" t="str">
            <v>-</v>
          </cell>
          <cell r="E1229" t="str">
            <v>AFC Drawings</v>
          </cell>
          <cell r="F1229" t="str">
            <v>-</v>
          </cell>
          <cell r="G1229" t="str">
            <v>Total 04 drawings</v>
          </cell>
        </row>
        <row r="1230">
          <cell r="A1230" t="str">
            <v>KHF-00-104265-BA-6070-43011-0000-2</v>
          </cell>
          <cell r="B1230" t="str">
            <v>KHF_AIP_D_EXT_00912</v>
          </cell>
          <cell r="C1230">
            <v>43474</v>
          </cell>
          <cell r="D1230" t="str">
            <v>KHF-00-104265-BA-6070-43011-0000</v>
          </cell>
          <cell r="E1230" t="str">
            <v>METHOD STATEMENT FOR MODIFICATION WORK IN G94100-GIS TAMCO SWITCHBOARD TYPE GV3 AT GGP-IV SUBSTATION</v>
          </cell>
          <cell r="F1230">
            <v>2</v>
          </cell>
          <cell r="G1230" t="str">
            <v>Code B</v>
          </cell>
        </row>
        <row r="1231">
          <cell r="A1231" t="str">
            <v>KHF-00-104265-RA-8241-51166-0000-1</v>
          </cell>
          <cell r="B1231" t="str">
            <v>KHF_AIP_D_EXT_00913</v>
          </cell>
          <cell r="C1231">
            <v>43474</v>
          </cell>
          <cell r="D1231" t="str">
            <v>KHF-00-104265-RA-8241-51166-0000</v>
          </cell>
          <cell r="E1231" t="str">
            <v>MATERIAL APPROVAL SHEET FOR HDG STEEL PIPE USED AT DEEP WELL EARTH PIT WORKS</v>
          </cell>
          <cell r="F1231">
            <v>1</v>
          </cell>
          <cell r="G1231" t="str">
            <v>Code B</v>
          </cell>
        </row>
        <row r="1232">
          <cell r="A1232" t="str">
            <v>KHF-00-104265-QA-6050-32004-0000-1</v>
          </cell>
          <cell r="B1232" t="str">
            <v>KHF_AIP_D_EXT_00914</v>
          </cell>
          <cell r="C1232">
            <v>43474</v>
          </cell>
          <cell r="D1232" t="str">
            <v>KHF-00-104265-QA-6050-32004-0000</v>
          </cell>
          <cell r="E1232" t="str">
            <v>QUALITY CONTROL PROCEDURE FOR CONTROL MEASURES OF M/s GIEMINOX PIPE SPOOL 100% RADIOGRAPHY AT YKP SITE</v>
          </cell>
          <cell r="F1232">
            <v>1</v>
          </cell>
          <cell r="G1232" t="str">
            <v>Code A</v>
          </cell>
        </row>
        <row r="1233">
          <cell r="A1233" t="str">
            <v>KHF-00-104265-AA-3341-60131-0000-1</v>
          </cell>
          <cell r="B1233" t="str">
            <v>KHF_AIP_D_EXT_00915</v>
          </cell>
          <cell r="C1233">
            <v>43474</v>
          </cell>
          <cell r="D1233" t="str">
            <v>KHF-00-104265-AA-3341-60131-0000</v>
          </cell>
          <cell r="E1233" t="str">
            <v>CV OF MR. SHAIKH TANVEER - QC Inspector - HVAC</v>
          </cell>
          <cell r="F1233">
            <v>1</v>
          </cell>
          <cell r="G1233" t="str">
            <v>Code B</v>
          </cell>
        </row>
        <row r="1234">
          <cell r="A1234" t="str">
            <v>KHF-00-104265-AA-3341-60126-0000-1</v>
          </cell>
          <cell r="B1234" t="str">
            <v>KHF_AIP_D_EXT_00916</v>
          </cell>
          <cell r="C1234">
            <v>43475</v>
          </cell>
          <cell r="D1234" t="str">
            <v>KHF-00-104265-AA-3341-60126-0000</v>
          </cell>
          <cell r="E1234" t="str">
            <v>CV OF MR. VIJAY KUMAR - HSE ADVISOR</v>
          </cell>
          <cell r="F1234">
            <v>1</v>
          </cell>
          <cell r="G1234" t="str">
            <v>Code D</v>
          </cell>
        </row>
        <row r="1235">
          <cell r="A1235" t="str">
            <v>KHF-00-104265-AA-3341-60003-0000-2</v>
          </cell>
          <cell r="B1235" t="str">
            <v>KHF_AIP_D_EXT_00917</v>
          </cell>
          <cell r="C1235">
            <v>43475</v>
          </cell>
          <cell r="D1235" t="str">
            <v>KHF-00-104265-AA-3341-60003-0000</v>
          </cell>
          <cell r="E1235" t="str">
            <v>CV OF MR. SHARON JAIN BABU - AIP SITE BASED HSE ADVISOR</v>
          </cell>
          <cell r="F1235">
            <v>2</v>
          </cell>
          <cell r="G1235" t="str">
            <v>Code A</v>
          </cell>
        </row>
        <row r="1236">
          <cell r="A1236" t="str">
            <v>KHF-00-104265-AA-3341-60129-0000-1</v>
          </cell>
          <cell r="B1236" t="str">
            <v>KHF_AIP_D_EXT_00918</v>
          </cell>
          <cell r="C1236">
            <v>43475</v>
          </cell>
          <cell r="D1236" t="str">
            <v>KHF-00-104265-AA-3341-60129-0000</v>
          </cell>
          <cell r="E1236" t="str">
            <v>CV OF MR. MANOJ VIJAY SAWANT - AIP SITE BASED HSE ADVISOR</v>
          </cell>
          <cell r="F1236">
            <v>1</v>
          </cell>
          <cell r="G1236" t="str">
            <v>Code A</v>
          </cell>
        </row>
        <row r="1237">
          <cell r="A1237" t="str">
            <v>KHF-00-104265-BA-6070-00120-0000-2</v>
          </cell>
          <cell r="B1237" t="str">
            <v>KHF_AIP_D_EXT_00919</v>
          </cell>
          <cell r="C1237">
            <v>43475</v>
          </cell>
          <cell r="D1237" t="str">
            <v>KHF-00-104265-BA-6070-00120-0000</v>
          </cell>
          <cell r="E1237" t="str">
            <v>Method Statement for Hydrotesting of GRE Pipeline</v>
          </cell>
          <cell r="F1237">
            <v>2</v>
          </cell>
          <cell r="G1237" t="str">
            <v>Code A</v>
          </cell>
        </row>
        <row r="1238">
          <cell r="A1238" t="str">
            <v>KHF-00-104265-BA-6070-42016-0000-2</v>
          </cell>
          <cell r="B1238" t="str">
            <v>KHF_AIP_D_EXT_00920</v>
          </cell>
          <cell r="C1238">
            <v>43475</v>
          </cell>
          <cell r="D1238" t="str">
            <v>KHF-00-104265-BA-6070-42016-0000</v>
          </cell>
          <cell r="E1238" t="str">
            <v>Method Statement for Pickling and Passivation</v>
          </cell>
          <cell r="F1238">
            <v>2</v>
          </cell>
          <cell r="G1238" t="str">
            <v>Code A</v>
          </cell>
        </row>
        <row r="1239">
          <cell r="A1239" t="str">
            <v>KHF-00-104265-AA-6944-20015-0000-1</v>
          </cell>
          <cell r="B1239" t="str">
            <v>KHF_AIP_D_EXT_00921</v>
          </cell>
          <cell r="C1239">
            <v>43475</v>
          </cell>
          <cell r="D1239" t="str">
            <v>KHF-00-104265-AA-6944-20015-0000</v>
          </cell>
          <cell r="E1239" t="str">
            <v>MONTHLY PROGRESS REPORT NO.015 (DEC 2018)</v>
          </cell>
          <cell r="F1239">
            <v>1</v>
          </cell>
          <cell r="G1239" t="str">
            <v>Code D</v>
          </cell>
        </row>
        <row r="1240">
          <cell r="A1240" t="str">
            <v>KHF-00-104265-AA-6944-10061-0000-1</v>
          </cell>
          <cell r="B1240" t="str">
            <v>KHF_AIP_D_EXT_00922</v>
          </cell>
          <cell r="C1240">
            <v>43475</v>
          </cell>
          <cell r="D1240" t="str">
            <v>KHF-00-104265-AA-6944-10061-0000</v>
          </cell>
          <cell r="E1240" t="str">
            <v>WEEKLY PROGRESS REPORT NO.061</v>
          </cell>
          <cell r="F1240">
            <v>1</v>
          </cell>
          <cell r="G1240" t="str">
            <v>Code D</v>
          </cell>
        </row>
        <row r="1241">
          <cell r="A1241" t="str">
            <v>---</v>
          </cell>
          <cell r="B1241" t="str">
            <v>KHF_AIP_D_EXT_00923</v>
          </cell>
          <cell r="C1241">
            <v>43480</v>
          </cell>
          <cell r="D1241" t="str">
            <v>-</v>
          </cell>
          <cell r="E1241" t="str">
            <v>AFC Drawings</v>
          </cell>
          <cell r="F1241" t="str">
            <v>-</v>
          </cell>
          <cell r="G1241" t="str">
            <v>Total 08 drawings</v>
          </cell>
        </row>
        <row r="1242">
          <cell r="A1242" t="str">
            <v>KHF-00-104265-AA-6944-10062-0000-1</v>
          </cell>
          <cell r="B1242" t="str">
            <v>KHF_AIP_D_EXT_00924</v>
          </cell>
          <cell r="C1242">
            <v>43480</v>
          </cell>
          <cell r="D1242" t="str">
            <v>KHF-00-104265-AA-6944-10062-0000</v>
          </cell>
          <cell r="E1242" t="str">
            <v>WEEKLY PROGRESS REPORT NO.062</v>
          </cell>
          <cell r="F1242">
            <v>1</v>
          </cell>
          <cell r="G1242" t="str">
            <v>Code D</v>
          </cell>
        </row>
        <row r="1243">
          <cell r="A1243" t="str">
            <v>KHF-00-104265-RA-8241-51127-0000-2</v>
          </cell>
          <cell r="B1243" t="str">
            <v>KHF_AIP_D_EXT_00925</v>
          </cell>
          <cell r="C1243">
            <v>43480</v>
          </cell>
          <cell r="D1243" t="str">
            <v>KHF-00-104265-RA-8241-51127-0000</v>
          </cell>
          <cell r="E1243" t="str">
            <v>MATERIAL APPROVAL SHEET FOR ELECTRICAL CABLE GLAND</v>
          </cell>
          <cell r="F1243">
            <v>2</v>
          </cell>
          <cell r="G1243" t="str">
            <v>Code B</v>
          </cell>
        </row>
        <row r="1244">
          <cell r="A1244" t="str">
            <v>KHF-00-104265-RA-8241-51156-0000-2</v>
          </cell>
          <cell r="B1244" t="str">
            <v>KHF_AIP_D_EXT_00926</v>
          </cell>
          <cell r="C1244">
            <v>43480</v>
          </cell>
          <cell r="D1244" t="str">
            <v>KHF-00-104265-RA-8241-51156-0000</v>
          </cell>
          <cell r="E1244" t="str">
            <v>MATERIAL APPROVAL SHEET FOR INDOOR LIGHTING &amp; SMALL POWER DB</v>
          </cell>
          <cell r="F1244">
            <v>2</v>
          </cell>
          <cell r="G1244" t="str">
            <v>Code B</v>
          </cell>
        </row>
        <row r="1245">
          <cell r="A1245" t="str">
            <v>KHF-00-104265-RA-6038-00609-0000-1</v>
          </cell>
          <cell r="B1245" t="str">
            <v>KHF_AIP_D_EXT_00927</v>
          </cell>
          <cell r="C1245">
            <v>43481</v>
          </cell>
          <cell r="D1245" t="str">
            <v>KHF-00-104265-RA-6038-00609-0000</v>
          </cell>
          <cell r="E1245" t="str">
            <v>VISUAL EXAMINATION PROCEDURE FOR CS / LTCS / SS &amp; ALLOY PIPING SPOOLS</v>
          </cell>
          <cell r="F1245">
            <v>1</v>
          </cell>
          <cell r="G1245" t="str">
            <v>Code B</v>
          </cell>
        </row>
        <row r="1246">
          <cell r="A1246" t="str">
            <v>KHF-00-104265-HX-6180-00901-0000-2</v>
          </cell>
          <cell r="B1246" t="str">
            <v>KHF_AIP_D_EXT_00928</v>
          </cell>
          <cell r="C1246">
            <v>43486</v>
          </cell>
          <cell r="D1246" t="str">
            <v>KHF-00-104265-HX-6180-00901-0000</v>
          </cell>
          <cell r="E1246" t="str">
            <v>PROCEDURE FOR RADIATION SAFETY</v>
          </cell>
          <cell r="F1246">
            <v>2</v>
          </cell>
          <cell r="G1246" t="str">
            <v>Code B</v>
          </cell>
        </row>
        <row r="1247">
          <cell r="A1247" t="str">
            <v>KHF-00-104265-HX-6180-00902-0000-2</v>
          </cell>
          <cell r="B1247" t="str">
            <v>KHF_AIP_D_EXT_00928</v>
          </cell>
          <cell r="C1247">
            <v>43486</v>
          </cell>
          <cell r="D1247" t="str">
            <v>KHF-00-104265-HX-6180-00902-0000</v>
          </cell>
          <cell r="E1247" t="str">
            <v>STANDARD HANDLING PROCEDURES FOR THE TRANSPORT OF RADIOISOTOPES</v>
          </cell>
          <cell r="F1247">
            <v>2</v>
          </cell>
          <cell r="G1247" t="str">
            <v>Code B</v>
          </cell>
        </row>
        <row r="1248">
          <cell r="A1248" t="str">
            <v>KHF-00-104265-HX-6180-00903-0000-2</v>
          </cell>
          <cell r="B1248" t="str">
            <v>KHF_AIP_D_EXT_00928</v>
          </cell>
          <cell r="C1248">
            <v>43486</v>
          </cell>
          <cell r="D1248" t="str">
            <v>KHF-00-104265-HX-6180-00903-0000</v>
          </cell>
          <cell r="E1248" t="str">
            <v>PROCEDURE FOR SOURCE EXCHANGE</v>
          </cell>
          <cell r="F1248">
            <v>2</v>
          </cell>
          <cell r="G1248" t="str">
            <v>Code A</v>
          </cell>
        </row>
        <row r="1249">
          <cell r="A1249" t="str">
            <v>KHF-00-104265-HX-6180-00904-0000-2</v>
          </cell>
          <cell r="B1249" t="str">
            <v>KHF_AIP_D_EXT_00928</v>
          </cell>
          <cell r="C1249">
            <v>43486</v>
          </cell>
          <cell r="D1249" t="str">
            <v>KHF-00-104265-HX-6180-00904-0000</v>
          </cell>
          <cell r="E1249" t="str">
            <v>PROCEDURE FOR EMERGENCY PREPAREDNESS AND INCIDENT /ACCIDENT REPORTING AND INVESTIGATIONS</v>
          </cell>
          <cell r="F1249">
            <v>2</v>
          </cell>
          <cell r="G1249" t="str">
            <v>Code A</v>
          </cell>
        </row>
        <row r="1250">
          <cell r="A1250" t="str">
            <v>KHF-00-104265-HX-6180-00905-0000-2</v>
          </cell>
          <cell r="B1250" t="str">
            <v>KHF_AIP_D_EXT_00928</v>
          </cell>
          <cell r="C1250">
            <v>43486</v>
          </cell>
          <cell r="D1250" t="str">
            <v>KHF-00-104265-HX-6180-00905-0000</v>
          </cell>
          <cell r="E1250" t="str">
            <v>PROCEDURE FOR WASTE DISPOSAL</v>
          </cell>
          <cell r="F1250">
            <v>2</v>
          </cell>
          <cell r="G1250" t="str">
            <v>Code A</v>
          </cell>
        </row>
        <row r="1251">
          <cell r="A1251" t="str">
            <v>KHF-00-104265-AA-3341-00149-0000-1</v>
          </cell>
          <cell r="B1251" t="str">
            <v>KHF_AIP_D_EXT_00929</v>
          </cell>
          <cell r="C1251">
            <v>43486</v>
          </cell>
          <cell r="D1251" t="str">
            <v>KHF-00-104265-AA-3341-00149-0000</v>
          </cell>
          <cell r="E1251" t="str">
            <v>CV OF MR.GANESH CHINTALA - SR.HSE ADVISOR</v>
          </cell>
          <cell r="F1251">
            <v>1</v>
          </cell>
          <cell r="G1251" t="str">
            <v>Code A</v>
          </cell>
        </row>
        <row r="1252">
          <cell r="A1252" t="str">
            <v>KHF-00-104265-HX-6613-10049-0000-2</v>
          </cell>
          <cell r="B1252" t="str">
            <v>KHF_AIP_D_EXT_00930</v>
          </cell>
          <cell r="C1252">
            <v>43486</v>
          </cell>
          <cell r="D1252" t="str">
            <v>KHF-00-104265-HX-6613-10049-0000</v>
          </cell>
          <cell r="E1252" t="str">
            <v>WORK HEMP REGISTER CATERING SERVICE CONTRACT AIP/YKP</v>
          </cell>
          <cell r="F1252">
            <v>2</v>
          </cell>
          <cell r="G1252" t="str">
            <v>Code D</v>
          </cell>
        </row>
        <row r="1253">
          <cell r="A1253" t="str">
            <v>KHF-00-104265-AA-3341-60132-0000-1</v>
          </cell>
          <cell r="B1253" t="str">
            <v>KHF_AIP_D_EXT_00931</v>
          </cell>
          <cell r="C1253">
            <v>43486</v>
          </cell>
          <cell r="D1253" t="str">
            <v>KHF-00-104265-AA-3341-60132-0000</v>
          </cell>
          <cell r="E1253" t="str">
            <v>CV of  MR. Waeel Mohammad Alabdullah- Medical Officer</v>
          </cell>
          <cell r="F1253">
            <v>1</v>
          </cell>
          <cell r="G1253" t="str">
            <v>Code A</v>
          </cell>
        </row>
        <row r="1254">
          <cell r="A1254" t="str">
            <v>KHF-00-104265-AA-3341-60133-0000-1</v>
          </cell>
          <cell r="B1254" t="str">
            <v>KHF_AIP_D_EXT_00932</v>
          </cell>
          <cell r="C1254">
            <v>43486</v>
          </cell>
          <cell r="D1254" t="str">
            <v>KHF-00-104265-AA-3341-60133-0000</v>
          </cell>
          <cell r="E1254" t="str">
            <v>CV of Mr-Sharun Kassim-Male Nurse</v>
          </cell>
          <cell r="F1254">
            <v>1</v>
          </cell>
          <cell r="G1254" t="str">
            <v>Code A</v>
          </cell>
        </row>
        <row r="1255">
          <cell r="A1255" t="str">
            <v>KHF-00-104265-HX-5880-10014-0000-4</v>
          </cell>
          <cell r="B1255" t="str">
            <v>KHF_AIP_D_EXT_00933</v>
          </cell>
          <cell r="C1255">
            <v>43487</v>
          </cell>
          <cell r="D1255" t="str">
            <v>KHF-00-104265-HX-5880-10014-0000</v>
          </cell>
          <cell r="E1255" t="str">
            <v>HSE Monitoring Plan</v>
          </cell>
          <cell r="F1255">
            <v>4</v>
          </cell>
          <cell r="G1255" t="str">
            <v>Code B</v>
          </cell>
        </row>
        <row r="1256">
          <cell r="A1256" t="str">
            <v>KHF-25-104133-EA-7771-00018-0000-4</v>
          </cell>
          <cell r="B1256" t="str">
            <v>KHF_AIP_D_EXT_00934</v>
          </cell>
          <cell r="C1256">
            <v>43489</v>
          </cell>
          <cell r="D1256" t="str">
            <v>KHF-25-104133-EA-7771-00018-0000</v>
          </cell>
          <cell r="E1256" t="str">
            <v>SPECIFICATION FOR LIGHTING FIXTURES - SAFE &amp; HAZARDOUS AREA (ON PLOT &amp; OFF PLOT)</v>
          </cell>
          <cell r="F1256">
            <v>4</v>
          </cell>
          <cell r="G1256" t="str">
            <v>IFI</v>
          </cell>
        </row>
        <row r="1257">
          <cell r="A1257" t="str">
            <v>---</v>
          </cell>
          <cell r="B1257" t="str">
            <v>KHF_AIP_D_EXT_00935</v>
          </cell>
          <cell r="C1257" t="str">
            <v>-</v>
          </cell>
          <cell r="D1257" t="str">
            <v>-</v>
          </cell>
          <cell r="E1257" t="str">
            <v>-</v>
          </cell>
          <cell r="F1257" t="str">
            <v>-</v>
          </cell>
          <cell r="G1257" t="str">
            <v>not issued</v>
          </cell>
        </row>
        <row r="1258">
          <cell r="A1258" t="str">
            <v>---</v>
          </cell>
          <cell r="B1258" t="str">
            <v>KHF_AIP_D_EXT_00936</v>
          </cell>
          <cell r="C1258">
            <v>43489</v>
          </cell>
          <cell r="D1258" t="str">
            <v>-</v>
          </cell>
          <cell r="E1258" t="str">
            <v>AFC Drawings</v>
          </cell>
          <cell r="F1258" t="str">
            <v>-</v>
          </cell>
          <cell r="G1258" t="str">
            <v>Total 05 drawings</v>
          </cell>
        </row>
        <row r="1259">
          <cell r="A1259" t="str">
            <v>KHF-00-104265-RA-8241-01001-0000-2</v>
          </cell>
          <cell r="B1259" t="str">
            <v>KHF_AIP_D_EXT_00937</v>
          </cell>
          <cell r="C1259">
            <v>43489</v>
          </cell>
          <cell r="D1259" t="str">
            <v>KHF-00-104265-RA-8241-01001-0000</v>
          </cell>
          <cell r="E1259" t="str">
            <v>Material Approval Sheet for (ROTOLINING)</v>
          </cell>
          <cell r="F1259">
            <v>2</v>
          </cell>
          <cell r="G1259" t="str">
            <v>Code A</v>
          </cell>
        </row>
        <row r="1260">
          <cell r="A1260" t="str">
            <v>KHF-00-104265-QA-5733-01201-0000-1</v>
          </cell>
          <cell r="B1260" t="str">
            <v>KHF_AIP_D_EXT_00938</v>
          </cell>
          <cell r="C1260">
            <v>43489</v>
          </cell>
          <cell r="D1260" t="str">
            <v>KHF-00-104265-QA-5733-01201-0000</v>
          </cell>
          <cell r="E1260" t="str">
            <v>Inspection Test Plan for Precast Concrete Elements</v>
          </cell>
          <cell r="F1260">
            <v>1</v>
          </cell>
          <cell r="G1260" t="str">
            <v>Code B</v>
          </cell>
        </row>
        <row r="1261">
          <cell r="A1261" t="str">
            <v>KHF-00-104265-BA-6070-01201-0000-1</v>
          </cell>
          <cell r="B1261" t="str">
            <v>KHF_AIP_D_EXT_00939</v>
          </cell>
          <cell r="C1261">
            <v>43489</v>
          </cell>
          <cell r="D1261" t="str">
            <v>KHF-00-104265-BA-6070-01201-0000</v>
          </cell>
          <cell r="E1261" t="str">
            <v>Method Statement for Precast Concrete Works</v>
          </cell>
          <cell r="F1261">
            <v>1</v>
          </cell>
          <cell r="G1261" t="str">
            <v>Code B</v>
          </cell>
        </row>
        <row r="1262">
          <cell r="A1262" t="str">
            <v>KHF-00-104265-QA-6050-32008-0000-1</v>
          </cell>
          <cell r="B1262" t="str">
            <v>KHF_AIP_D_EXT_00940</v>
          </cell>
          <cell r="C1262">
            <v>43489</v>
          </cell>
          <cell r="D1262" t="str">
            <v>KHF-00-104265-QA-6050-32008-0000</v>
          </cell>
          <cell r="E1262" t="str">
            <v>Procedure For 4 Golden Joint (Tie-in) Welding</v>
          </cell>
          <cell r="F1262">
            <v>1</v>
          </cell>
          <cell r="G1262" t="str">
            <v>Code B</v>
          </cell>
        </row>
        <row r="1263">
          <cell r="A1263" t="str">
            <v>KHF-00-104265-AA-3341-60134-0000-1</v>
          </cell>
          <cell r="B1263" t="str">
            <v>KHF_AIP_D_EXT_00941</v>
          </cell>
          <cell r="C1263">
            <v>43489</v>
          </cell>
          <cell r="D1263" t="str">
            <v>KHF-00-104265-AA-3341-60134-0000</v>
          </cell>
          <cell r="E1263" t="str">
            <v>CV of Mr. D. Thamizharasan - Lead QA/QC Engineer</v>
          </cell>
          <cell r="F1263">
            <v>1</v>
          </cell>
          <cell r="G1263" t="str">
            <v>Code A</v>
          </cell>
        </row>
        <row r="1264">
          <cell r="A1264" t="str">
            <v>KHF-00-104265-BA-6070-42012-0000-1</v>
          </cell>
          <cell r="B1264" t="str">
            <v>KHF_AIP_D_EXT_00942</v>
          </cell>
          <cell r="C1264">
            <v>43492</v>
          </cell>
          <cell r="D1264" t="str">
            <v>KHF-00-104265-BA-6070-42012-0000</v>
          </cell>
          <cell r="E1264" t="str">
            <v>METHOD STATEMENT FOR PIPING INSTALLATION</v>
          </cell>
          <cell r="F1264">
            <v>1</v>
          </cell>
          <cell r="G1264" t="str">
            <v>Code B</v>
          </cell>
        </row>
        <row r="1265">
          <cell r="A1265" t="str">
            <v>KHF-00-104265-LA-5009-00120-0000-1</v>
          </cell>
          <cell r="B1265" t="str">
            <v>KHF_AIP_D_EXT_00943</v>
          </cell>
          <cell r="C1265">
            <v>43492</v>
          </cell>
          <cell r="D1265" t="str">
            <v>KHF-00-104265-LA-5009-00120-0000</v>
          </cell>
          <cell r="E1265" t="str">
            <v>Material Approval Sheet for Primer Top Coat-Yellow &amp; Black for Road Crush Barrier Painting</v>
          </cell>
          <cell r="F1265">
            <v>1</v>
          </cell>
          <cell r="G1265" t="str">
            <v>Code A</v>
          </cell>
        </row>
        <row r="1266">
          <cell r="A1266" t="str">
            <v>KHF-00-104265-BA-6070-42006-0000-2</v>
          </cell>
          <cell r="B1266" t="str">
            <v>KHF_AIP_D_EXT_00944</v>
          </cell>
          <cell r="C1266">
            <v>43492</v>
          </cell>
          <cell r="D1266" t="str">
            <v>KHF-00-104265-BA-6070-42006-0000</v>
          </cell>
          <cell r="E1266" t="str">
            <v>METHOD STATEMENT FOR FLANGE TIGHTENING</v>
          </cell>
          <cell r="F1266">
            <v>2</v>
          </cell>
          <cell r="G1266" t="str">
            <v>Code B</v>
          </cell>
        </row>
        <row r="1267">
          <cell r="A1267" t="str">
            <v>KHF-00-104265-QA-5733-24009-0000-1</v>
          </cell>
          <cell r="B1267" t="str">
            <v>KHF_AIP_D_EXT_00945</v>
          </cell>
          <cell r="C1267">
            <v>43492</v>
          </cell>
          <cell r="D1267" t="str">
            <v>KHF-00-104265-QA-5733-24009-0000</v>
          </cell>
          <cell r="E1267" t="str">
            <v>Inspection Test Plan for Instrument Loop Checking</v>
          </cell>
          <cell r="F1267">
            <v>1</v>
          </cell>
          <cell r="G1267" t="str">
            <v>Code A</v>
          </cell>
        </row>
        <row r="1268">
          <cell r="A1268" t="str">
            <v>KHF-00-104265-QA-5733-22005-0000-3</v>
          </cell>
          <cell r="B1268" t="str">
            <v>KHF_AIP_D_EXT_00946</v>
          </cell>
          <cell r="C1268">
            <v>43492</v>
          </cell>
          <cell r="D1268" t="str">
            <v>KHF-00-104265-QA-5733-22005-0000</v>
          </cell>
          <cell r="E1268" t="str">
            <v>Inspection Test Plan for Installation of above Ground Carbon Steel Pipeline Works</v>
          </cell>
          <cell r="F1268">
            <v>3</v>
          </cell>
          <cell r="G1268" t="str">
            <v>Code A</v>
          </cell>
        </row>
        <row r="1269">
          <cell r="A1269" t="str">
            <v>KHF-00-104265-RA-8241-51170-0000-1</v>
          </cell>
          <cell r="B1269" t="str">
            <v>KHF_AIP_D_EXT_00947</v>
          </cell>
          <cell r="C1269">
            <v>43492</v>
          </cell>
          <cell r="D1269" t="str">
            <v>KHF-00-104265-RA-8241-51170-0000</v>
          </cell>
          <cell r="E1269" t="str">
            <v>Material Approval Sheet for Insulation Materials at GTG Drain Pocket</v>
          </cell>
          <cell r="F1269">
            <v>1</v>
          </cell>
          <cell r="G1269" t="str">
            <v>Code A</v>
          </cell>
        </row>
        <row r="1270">
          <cell r="A1270" t="str">
            <v>KHF-00-104265-QA-5733-22013-0000-1</v>
          </cell>
          <cell r="B1270" t="str">
            <v>KHF_AIP_D_EXT_00948</v>
          </cell>
          <cell r="C1270">
            <v>43492</v>
          </cell>
          <cell r="D1270" t="str">
            <v>KHF-00-104265-QA-5733-22013-0000</v>
          </cell>
          <cell r="E1270" t="str">
            <v>ITP for GRE Piping Installation, Bonding, Lamination and Hydro Testing</v>
          </cell>
          <cell r="F1270">
            <v>1</v>
          </cell>
          <cell r="G1270" t="str">
            <v>Code B</v>
          </cell>
        </row>
        <row r="1271">
          <cell r="A1271" t="str">
            <v>KHF-00-104265-QA-5733-22014-0000-1</v>
          </cell>
          <cell r="B1271" t="str">
            <v>KHF_AIP_D_EXT_00949</v>
          </cell>
          <cell r="C1271">
            <v>43492</v>
          </cell>
          <cell r="D1271" t="str">
            <v>KHF-00-104265-QA-5733-22014-0000</v>
          </cell>
          <cell r="E1271" t="str">
            <v>Inspection Test Plan for Pipeline Valve Hydro Testing</v>
          </cell>
          <cell r="F1271">
            <v>1</v>
          </cell>
          <cell r="G1271" t="str">
            <v>Code D</v>
          </cell>
        </row>
        <row r="1272">
          <cell r="A1272" t="str">
            <v>---</v>
          </cell>
          <cell r="B1272" t="str">
            <v>KHF_AIP_D_EXT_00950</v>
          </cell>
          <cell r="C1272">
            <v>43492</v>
          </cell>
          <cell r="D1272" t="str">
            <v>-</v>
          </cell>
          <cell r="E1272" t="str">
            <v>AFC Drawings</v>
          </cell>
          <cell r="F1272" t="str">
            <v>-</v>
          </cell>
          <cell r="G1272" t="str">
            <v>Total 04 drawings</v>
          </cell>
        </row>
        <row r="1273">
          <cell r="A1273" t="str">
            <v>KHF-00-104265-RA-6038-00606-0000-2</v>
          </cell>
          <cell r="B1273" t="str">
            <v>KHF_AIP_D_EXT_00951</v>
          </cell>
          <cell r="C1273">
            <v>43493</v>
          </cell>
          <cell r="D1273" t="str">
            <v>KHF-00-104265-RA-6038-00606-0000</v>
          </cell>
          <cell r="E1273" t="str">
            <v>PROCEDURE FOR POST WELD HEAT TREATMENT FOR PIPING (HI-TECH)</v>
          </cell>
          <cell r="F1273">
            <v>2</v>
          </cell>
          <cell r="G1273" t="str">
            <v>Code A</v>
          </cell>
        </row>
        <row r="1274">
          <cell r="A1274" t="str">
            <v>KHF-00-104265-LA-5009-00122-0000-1</v>
          </cell>
          <cell r="B1274" t="str">
            <v>KHF_AIP_D_EXT_00952</v>
          </cell>
          <cell r="C1274">
            <v>43493</v>
          </cell>
          <cell r="D1274" t="str">
            <v>KHF-00-104265-LA-5009-00122-0000</v>
          </cell>
          <cell r="E1274" t="str">
            <v>MATERIAL APPROVAL SHEET (MAS) TYPE-B MATERIAL FOR ROW ACCESS ROAD</v>
          </cell>
          <cell r="F1274">
            <v>1</v>
          </cell>
          <cell r="G1274" t="str">
            <v>Code D</v>
          </cell>
        </row>
        <row r="1275">
          <cell r="A1275" t="str">
            <v>KHF-00-104265-BA-6065-00700-0000-1</v>
          </cell>
          <cell r="B1275" t="str">
            <v>KHF_AIP_D_EXT_00953</v>
          </cell>
          <cell r="C1275">
            <v>43493</v>
          </cell>
          <cell r="D1275" t="str">
            <v>KHF-00-104265-BA-6065-00700-0000</v>
          </cell>
          <cell r="E1275" t="str">
            <v>Welding Procedure Register WPSR - Structural</v>
          </cell>
          <cell r="F1275">
            <v>1</v>
          </cell>
          <cell r="G1275" t="str">
            <v>Code C</v>
          </cell>
        </row>
        <row r="1276">
          <cell r="A1276" t="str">
            <v>KHF-00-104265-BA-6065-00651-0000-2</v>
          </cell>
          <cell r="B1276" t="str">
            <v>KHF_AIP_D_EXT_00954</v>
          </cell>
          <cell r="C1276">
            <v>43493</v>
          </cell>
          <cell r="D1276" t="str">
            <v>KHF-00-104265-BA-6065-00651-0000</v>
          </cell>
          <cell r="E1276" t="str">
            <v>Welding Procedure Specification (WPS) PQR- 051 (AI-WPS-M-720)</v>
          </cell>
          <cell r="F1276">
            <v>2</v>
          </cell>
          <cell r="G1276" t="str">
            <v>Code A</v>
          </cell>
        </row>
        <row r="1277">
          <cell r="A1277" t="str">
            <v>KHF-00-104265-BA-6065-00801-0000-2</v>
          </cell>
          <cell r="B1277" t="str">
            <v>KHF_AIP_D_EXT_00955</v>
          </cell>
          <cell r="C1277">
            <v>43493</v>
          </cell>
          <cell r="D1277" t="str">
            <v>KHF-00-104265-BA-6065-00801-0000</v>
          </cell>
          <cell r="E1277" t="str">
            <v>WELDING PROCEDURE SPECIFICATION &amp; PROCEDURE QUALIFICATION RECORD (WPS &amp; PQR NO- 01)</v>
          </cell>
          <cell r="F1277">
            <v>2</v>
          </cell>
          <cell r="G1277" t="str">
            <v>Code A</v>
          </cell>
        </row>
        <row r="1278">
          <cell r="A1278" t="str">
            <v>KHF-00-104265-BA-6065-00805-0000-2</v>
          </cell>
          <cell r="B1278" t="str">
            <v>KHF_AIP_D_EXT_00955</v>
          </cell>
          <cell r="C1278">
            <v>43493</v>
          </cell>
          <cell r="D1278" t="str">
            <v>KHF-00-104265-BA-6065-00805-0000</v>
          </cell>
          <cell r="E1278" t="str">
            <v>WELDING PROCEDURE SPECIFICATION &amp; PROCEDURE QUALIFICATION RECORD (WPS &amp; PQR NO-08)</v>
          </cell>
          <cell r="F1278">
            <v>2</v>
          </cell>
          <cell r="G1278" t="str">
            <v>Code A</v>
          </cell>
        </row>
        <row r="1279">
          <cell r="A1279" t="str">
            <v>KHF-00-104265-BA-6065-00809-0000-2</v>
          </cell>
          <cell r="B1279" t="str">
            <v>KHF_AIP_D_EXT_00955</v>
          </cell>
          <cell r="C1279">
            <v>43493</v>
          </cell>
          <cell r="D1279" t="str">
            <v>KHF-00-104265-BA-6065-00809-0000</v>
          </cell>
          <cell r="E1279" t="str">
            <v>WELDING PROCEDURE SPECIFICATION &amp; PROCEDURE QUALIFICATION RECORD (WPS &amp; PQR NO-02)</v>
          </cell>
          <cell r="F1279">
            <v>2</v>
          </cell>
          <cell r="G1279" t="str">
            <v>Code A</v>
          </cell>
        </row>
        <row r="1280">
          <cell r="A1280" t="str">
            <v>KHF-00-104265-BA-6065-00806-0000-2</v>
          </cell>
          <cell r="B1280" t="str">
            <v>KHF_AIP_D_EXT_00956</v>
          </cell>
          <cell r="C1280">
            <v>43493</v>
          </cell>
          <cell r="D1280" t="str">
            <v>KHF-00-104265-BA-6065-00806-0000</v>
          </cell>
          <cell r="E1280" t="str">
            <v>WELDING PROCEDURE SPECIFICATION &amp; PROCEDURE QUALIFICATION RECORD (WPS &amp; PQR NO-09)</v>
          </cell>
          <cell r="F1280">
            <v>2</v>
          </cell>
          <cell r="G1280" t="str">
            <v>Code A</v>
          </cell>
        </row>
        <row r="1281">
          <cell r="A1281" t="str">
            <v>KHF-00-104265-QA-5733-01302-0000-1</v>
          </cell>
          <cell r="B1281" t="str">
            <v>KHF_AIP_D_EXT_00957</v>
          </cell>
          <cell r="C1281">
            <v>43493</v>
          </cell>
          <cell r="D1281" t="str">
            <v>KHF-00-104265-QA-5733-01302-0000</v>
          </cell>
          <cell r="E1281" t="str">
            <v>Inspection &amp; Test Plan for GTG Package and its Auxiliaries</v>
          </cell>
          <cell r="F1281">
            <v>1</v>
          </cell>
          <cell r="G1281" t="str">
            <v>Code D</v>
          </cell>
        </row>
        <row r="1282">
          <cell r="A1282" t="str">
            <v>KHF-00-104265-AA-6944-10063-0000-1</v>
          </cell>
          <cell r="B1282" t="str">
            <v>KHF_AIP_D_EXT_00958</v>
          </cell>
          <cell r="C1282">
            <v>43493</v>
          </cell>
          <cell r="D1282" t="str">
            <v>KHF-00-104265-AA-6944-10063-0000</v>
          </cell>
          <cell r="E1282" t="str">
            <v>WEEKLY PROGRESS REPORT NO.063</v>
          </cell>
          <cell r="F1282">
            <v>1</v>
          </cell>
          <cell r="G1282" t="str">
            <v>Code D</v>
          </cell>
        </row>
        <row r="1283">
          <cell r="A1283" t="str">
            <v>KHF-00-104265-AA-6944-10064-0000-1</v>
          </cell>
          <cell r="B1283" t="str">
            <v>KHF_AIP_D_EXT_00959</v>
          </cell>
          <cell r="C1283">
            <v>43493</v>
          </cell>
          <cell r="D1283" t="str">
            <v>KHF-00-104265-AA-6944-10064-0000</v>
          </cell>
          <cell r="E1283" t="str">
            <v>WEEKLY PROGRESS REPORT NO.064</v>
          </cell>
          <cell r="F1283">
            <v>1</v>
          </cell>
          <cell r="G1283" t="str">
            <v>Code D</v>
          </cell>
        </row>
        <row r="1284">
          <cell r="A1284" t="str">
            <v>KHF-15-104133-CB-2307-00001-0001-2</v>
          </cell>
          <cell r="B1284" t="str">
            <v>KHF_AIP_D_EXT_00960</v>
          </cell>
          <cell r="C1284">
            <v>43493</v>
          </cell>
          <cell r="D1284" t="str">
            <v>KHF-15-104133-CB-2307-00001-0001</v>
          </cell>
          <cell r="E1284" t="str">
            <v>GROUND FLOOR PLAN - LAB BUILDING</v>
          </cell>
          <cell r="F1284">
            <v>2</v>
          </cell>
          <cell r="G1284" t="str">
            <v>IFI</v>
          </cell>
        </row>
        <row r="1285">
          <cell r="A1285" t="str">
            <v>KHF-15-104133-CB-2307-00002-0001-2</v>
          </cell>
          <cell r="B1285" t="str">
            <v>KHF_AIP_D_EXT_00960</v>
          </cell>
          <cell r="C1285">
            <v>43493</v>
          </cell>
          <cell r="D1285" t="str">
            <v>KHF-15-104133-CB-2307-00002-0001</v>
          </cell>
          <cell r="E1285" t="str">
            <v>ROOF PLAN - LAB BUILDING</v>
          </cell>
          <cell r="F1285">
            <v>2</v>
          </cell>
          <cell r="G1285" t="str">
            <v>IFI</v>
          </cell>
        </row>
        <row r="1286">
          <cell r="A1286" t="str">
            <v>KHF-15-104133-CB-2307-00003-0001-2</v>
          </cell>
          <cell r="B1286" t="str">
            <v>KHF_AIP_D_EXT_00960</v>
          </cell>
          <cell r="C1286">
            <v>43493</v>
          </cell>
          <cell r="D1286" t="str">
            <v>KHF-15-104133-CB-2307-00003-0001</v>
          </cell>
          <cell r="E1286" t="str">
            <v>ELEVATIONS -LAB BUILDING</v>
          </cell>
          <cell r="F1286">
            <v>2</v>
          </cell>
          <cell r="G1286" t="str">
            <v>IFI</v>
          </cell>
        </row>
        <row r="1287">
          <cell r="A1287" t="str">
            <v>KHF-15-104133-CB-2307-00003-0002-2</v>
          </cell>
          <cell r="B1287" t="str">
            <v>KHF_AIP_D_EXT_00960</v>
          </cell>
          <cell r="C1287">
            <v>43493</v>
          </cell>
          <cell r="D1287" t="str">
            <v>KHF-15-104133-CB-2307-00003-0002</v>
          </cell>
          <cell r="E1287" t="str">
            <v>ELEVATIONS -LAB BUILDING</v>
          </cell>
          <cell r="F1287">
            <v>2</v>
          </cell>
          <cell r="G1287" t="str">
            <v>IFI</v>
          </cell>
        </row>
        <row r="1288">
          <cell r="A1288" t="str">
            <v>KHF-15-104133-CB-2307-00004-0001-2</v>
          </cell>
          <cell r="B1288" t="str">
            <v>KHF_AIP_D_EXT_00960</v>
          </cell>
          <cell r="C1288">
            <v>43493</v>
          </cell>
          <cell r="D1288" t="str">
            <v>KHF-15-104133-CB-2307-00004-0001</v>
          </cell>
          <cell r="E1288" t="str">
            <v>SECTIONS &amp; DETAILS -LAB BUILDING</v>
          </cell>
          <cell r="F1288">
            <v>2</v>
          </cell>
          <cell r="G1288" t="str">
            <v>IFI</v>
          </cell>
        </row>
        <row r="1289">
          <cell r="A1289" t="str">
            <v>KHF-15-104133-CB-2307-00005-0001-2</v>
          </cell>
          <cell r="B1289" t="str">
            <v>KHF_AIP_D_EXT_00960</v>
          </cell>
          <cell r="C1289">
            <v>43493</v>
          </cell>
          <cell r="D1289" t="str">
            <v>KHF-15-104133-CB-2307-00005-0001</v>
          </cell>
          <cell r="E1289" t="str">
            <v>DOORS &amp; WINDOWS SCHEDULE -LAB BUILDING</v>
          </cell>
          <cell r="F1289">
            <v>2</v>
          </cell>
          <cell r="G1289" t="str">
            <v>IFI</v>
          </cell>
        </row>
        <row r="1290">
          <cell r="A1290" t="str">
            <v>KHF-15-104133-CB-2307-00006-0001-2</v>
          </cell>
          <cell r="B1290" t="str">
            <v>KHF_AIP_D_EXT_00960</v>
          </cell>
          <cell r="C1290">
            <v>43493</v>
          </cell>
          <cell r="D1290" t="str">
            <v>KHF-15-104133-CB-2307-00006-0001</v>
          </cell>
          <cell r="E1290" t="str">
            <v>FINISHING SCHEDULE -LAB BUILDING</v>
          </cell>
          <cell r="F1290">
            <v>2</v>
          </cell>
          <cell r="G1290" t="str">
            <v>IFI</v>
          </cell>
        </row>
        <row r="1291">
          <cell r="A1291" t="str">
            <v>KHF-15-104133-CB-2307-00007-0001-2</v>
          </cell>
          <cell r="B1291" t="str">
            <v>KHF_AIP_D_EXT_00960</v>
          </cell>
          <cell r="C1291">
            <v>43493</v>
          </cell>
          <cell r="D1291" t="str">
            <v>KHF-15-104133-CB-2307-00007-0001</v>
          </cell>
          <cell r="E1291" t="str">
            <v>REFLECTED CEILING PLAN -LAB BUILDING</v>
          </cell>
          <cell r="F1291">
            <v>2</v>
          </cell>
          <cell r="G1291" t="str">
            <v>IFI</v>
          </cell>
        </row>
        <row r="1292">
          <cell r="A1292" t="str">
            <v>KHF-15-104133-CB-2307-00008-0001-1</v>
          </cell>
          <cell r="B1292" t="str">
            <v>KHF_AIP_D_EXT_00960</v>
          </cell>
          <cell r="C1292">
            <v>43493</v>
          </cell>
          <cell r="D1292" t="str">
            <v>KHF-15-104133-CB-2307-00008-0001</v>
          </cell>
          <cell r="E1292" t="str">
            <v>CO-ORDINATED REFLECTED CEILING PLAN -LAB BUILDING</v>
          </cell>
          <cell r="F1292">
            <v>1</v>
          </cell>
          <cell r="G1292" t="str">
            <v>IFI</v>
          </cell>
        </row>
        <row r="1293">
          <cell r="A1293" t="str">
            <v>KHF-15-104133-CB-2307-00009-0001-2</v>
          </cell>
          <cell r="B1293" t="str">
            <v>KHF_AIP_D_EXT_00960</v>
          </cell>
          <cell r="C1293">
            <v>43493</v>
          </cell>
          <cell r="D1293" t="str">
            <v>KHF-15-104133-CB-2307-00009-0001</v>
          </cell>
          <cell r="E1293" t="str">
            <v>FLOOR TILING LAYOUT -LAB BUILDING</v>
          </cell>
          <cell r="F1293">
            <v>2</v>
          </cell>
          <cell r="G1293" t="str">
            <v>IFI</v>
          </cell>
        </row>
        <row r="1294">
          <cell r="A1294" t="str">
            <v>KHF-15-104133-CB-2307-00011-0001-2</v>
          </cell>
          <cell r="B1294" t="str">
            <v>KHF_AIP_D_EXT_00960</v>
          </cell>
          <cell r="C1294">
            <v>43493</v>
          </cell>
          <cell r="D1294" t="str">
            <v>KHF-15-104133-CB-2307-00011-0001</v>
          </cell>
          <cell r="E1294" t="str">
            <v>WALL OPENING DETAILS -LAB BUILDING</v>
          </cell>
          <cell r="F1294">
            <v>2</v>
          </cell>
          <cell r="G1294" t="str">
            <v>IFI</v>
          </cell>
        </row>
        <row r="1295">
          <cell r="A1295" t="str">
            <v>KHF-15-104133-CB-2307-00011-0002-2</v>
          </cell>
          <cell r="B1295" t="str">
            <v>KHF_AIP_D_EXT_00960</v>
          </cell>
          <cell r="C1295">
            <v>43493</v>
          </cell>
          <cell r="D1295" t="str">
            <v>KHF-15-104133-CB-2307-00011-0002</v>
          </cell>
          <cell r="E1295" t="str">
            <v>WALL OPENING DETAILS -LAB BUILDING</v>
          </cell>
          <cell r="F1295">
            <v>2</v>
          </cell>
          <cell r="G1295" t="str">
            <v>IFI</v>
          </cell>
        </row>
        <row r="1296">
          <cell r="A1296" t="str">
            <v>KHF-15-104133-CB-2307-00012-0001-2</v>
          </cell>
          <cell r="B1296" t="str">
            <v>KHF_AIP_D_EXT_00960</v>
          </cell>
          <cell r="C1296">
            <v>43493</v>
          </cell>
          <cell r="D1296" t="str">
            <v>KHF-15-104133-CB-2307-00012-0001</v>
          </cell>
          <cell r="E1296" t="str">
            <v>LAB BUILDING - WATER SUPPLY ROUTING LAYOUT</v>
          </cell>
          <cell r="F1296">
            <v>2</v>
          </cell>
          <cell r="G1296" t="str">
            <v>IFI</v>
          </cell>
        </row>
        <row r="1297">
          <cell r="A1297" t="str">
            <v>KHF-15-104133-CB-2307-00012-0002-2</v>
          </cell>
          <cell r="B1297" t="str">
            <v>KHF_AIP_D_EXT_00960</v>
          </cell>
          <cell r="C1297">
            <v>43493</v>
          </cell>
          <cell r="D1297" t="str">
            <v>KHF-15-104133-CB-2307-00012-0002</v>
          </cell>
          <cell r="E1297" t="str">
            <v>LAB BUILDING - ISOMETRIC LAYOUT FOR WATER SUPPLY SYSTEM</v>
          </cell>
          <cell r="F1297">
            <v>2</v>
          </cell>
          <cell r="G1297" t="str">
            <v>IFI</v>
          </cell>
        </row>
        <row r="1298">
          <cell r="A1298" t="str">
            <v>KHF-15-104133-CB-2307-00012-0003-2</v>
          </cell>
          <cell r="B1298" t="str">
            <v>KHF_AIP_D_EXT_00960</v>
          </cell>
          <cell r="C1298">
            <v>43493</v>
          </cell>
          <cell r="D1298" t="str">
            <v>KHF-15-104133-CB-2307-00012-0003</v>
          </cell>
          <cell r="E1298" t="str">
            <v>LAB BUILDING - DRAINAGE LAYOUT &amp; DETAILS</v>
          </cell>
          <cell r="F1298">
            <v>2</v>
          </cell>
          <cell r="G1298" t="str">
            <v>IFI</v>
          </cell>
        </row>
        <row r="1299">
          <cell r="A1299" t="str">
            <v>KHF-15-104133-CB-2307-00012-0004-2</v>
          </cell>
          <cell r="B1299" t="str">
            <v>KHF_AIP_D_EXT_00960</v>
          </cell>
          <cell r="C1299">
            <v>43493</v>
          </cell>
          <cell r="D1299" t="str">
            <v>KHF-15-104133-CB-2307-00012-0004</v>
          </cell>
          <cell r="E1299" t="str">
            <v>LAB BUILDING - DRAINAGE LAYOUT &amp; DETAILS</v>
          </cell>
          <cell r="F1299">
            <v>2</v>
          </cell>
          <cell r="G1299" t="str">
            <v>IFI</v>
          </cell>
        </row>
        <row r="1300">
          <cell r="A1300" t="str">
            <v>KHF-15-104133-CB-2307-00013-0001-2</v>
          </cell>
          <cell r="B1300" t="str">
            <v>KHF_AIP_D_EXT_00960</v>
          </cell>
          <cell r="C1300">
            <v>43493</v>
          </cell>
          <cell r="D1300" t="str">
            <v>KHF-15-104133-CB-2307-00013-0001</v>
          </cell>
          <cell r="E1300" t="str">
            <v>LAB BUILDING - FINISHING SCHEDULE</v>
          </cell>
          <cell r="F1300">
            <v>2</v>
          </cell>
          <cell r="G1300" t="str">
            <v>IFI</v>
          </cell>
        </row>
        <row r="1301">
          <cell r="A1301" t="str">
            <v>KHF-15-104133-CB-2307-00014-0001-2</v>
          </cell>
          <cell r="B1301" t="str">
            <v>KHF_AIP_D_EXT_00960</v>
          </cell>
          <cell r="C1301">
            <v>43493</v>
          </cell>
          <cell r="D1301" t="str">
            <v>KHF-15-104133-CB-2307-00014-0001</v>
          </cell>
          <cell r="E1301" t="str">
            <v>FENCE LAYOUT PLAN AND DETAILS</v>
          </cell>
          <cell r="F1301">
            <v>2</v>
          </cell>
          <cell r="G1301" t="str">
            <v>IFI</v>
          </cell>
        </row>
        <row r="1302">
          <cell r="A1302" t="str">
            <v>KHF-15-104133-CB-7880-00001-0001-1</v>
          </cell>
          <cell r="B1302" t="str">
            <v>KHF_AIP_D_EXT_00960</v>
          </cell>
          <cell r="C1302">
            <v>43493</v>
          </cell>
          <cell r="D1302" t="str">
            <v>KHF-15-104133-CB-7880-00001-0001</v>
          </cell>
          <cell r="E1302" t="str">
            <v>SPECIFICATION OF FURNITURE FOR LABORATORY BUILDING</v>
          </cell>
          <cell r="F1302">
            <v>1</v>
          </cell>
          <cell r="G1302" t="str">
            <v>IFI</v>
          </cell>
        </row>
        <row r="1303">
          <cell r="A1303" t="str">
            <v>KHF-15-104133-CG-2331-00001-0001-2</v>
          </cell>
          <cell r="B1303" t="str">
            <v>KHF_AIP_D_EXT_00960</v>
          </cell>
          <cell r="C1303">
            <v>43493</v>
          </cell>
          <cell r="D1303" t="str">
            <v>KHF-15-104133-CG-2331-00001-0001</v>
          </cell>
          <cell r="E1303" t="str">
            <v>FOUNDATION PLAN; SECTIONS AND DETAILS - LAB BUILDING</v>
          </cell>
          <cell r="F1303">
            <v>2</v>
          </cell>
          <cell r="G1303" t="str">
            <v>IFI</v>
          </cell>
        </row>
        <row r="1304">
          <cell r="A1304" t="str">
            <v>KHF-15-104133-CG-2331-00001-0002-2</v>
          </cell>
          <cell r="B1304" t="str">
            <v>KHF_AIP_D_EXT_00960</v>
          </cell>
          <cell r="C1304">
            <v>43493</v>
          </cell>
          <cell r="D1304" t="str">
            <v>KHF-15-104133-CG-2331-00001-0002</v>
          </cell>
          <cell r="E1304" t="str">
            <v>FOUNDATION PLAN; SECTIONS AND DETAILS - LAB BUILDING</v>
          </cell>
          <cell r="F1304">
            <v>2</v>
          </cell>
          <cell r="G1304" t="str">
            <v>IFI</v>
          </cell>
        </row>
        <row r="1305">
          <cell r="A1305" t="str">
            <v>KHF-15-104133-CG-2331-00001-0003-2</v>
          </cell>
          <cell r="B1305" t="str">
            <v>KHF_AIP_D_EXT_00960</v>
          </cell>
          <cell r="C1305">
            <v>43493</v>
          </cell>
          <cell r="D1305" t="str">
            <v>KHF-15-104133-CG-2331-00001-0003</v>
          </cell>
          <cell r="E1305" t="str">
            <v>FOUNDATION PLAN; SECTIONS AND DETAILS - LAB BUILDING</v>
          </cell>
          <cell r="F1305">
            <v>2</v>
          </cell>
          <cell r="G1305" t="str">
            <v>IFI</v>
          </cell>
        </row>
        <row r="1306">
          <cell r="A1306" t="str">
            <v>KHF-15-104133-CG-2331-00002-0001-2</v>
          </cell>
          <cell r="B1306" t="str">
            <v>KHF_AIP_D_EXT_00960</v>
          </cell>
          <cell r="C1306">
            <v>43493</v>
          </cell>
          <cell r="D1306" t="str">
            <v>KHF-15-104133-CG-2331-00002-0001</v>
          </cell>
          <cell r="E1306" t="str">
            <v>GRADE BEAM LAYOUT - LAB BUILDING</v>
          </cell>
          <cell r="F1306">
            <v>2</v>
          </cell>
          <cell r="G1306" t="str">
            <v>IFI</v>
          </cell>
        </row>
        <row r="1307">
          <cell r="A1307" t="str">
            <v>KHF-15-104133-CG-2331-00002-0002-2</v>
          </cell>
          <cell r="B1307" t="str">
            <v>KHF_AIP_D_EXT_00960</v>
          </cell>
          <cell r="C1307">
            <v>43493</v>
          </cell>
          <cell r="D1307" t="str">
            <v>KHF-15-104133-CG-2331-00002-0002</v>
          </cell>
          <cell r="E1307" t="str">
            <v>GRADE BEAM REINFORCEMENT DETAILS - LAB BUILDING</v>
          </cell>
          <cell r="F1307">
            <v>2</v>
          </cell>
          <cell r="G1307" t="str">
            <v>IFI</v>
          </cell>
        </row>
        <row r="1308">
          <cell r="A1308" t="str">
            <v>KHF-15-104133-CG-2331-00005-0001-2</v>
          </cell>
          <cell r="B1308" t="str">
            <v>KHF_AIP_D_EXT_00960</v>
          </cell>
          <cell r="C1308">
            <v>43493</v>
          </cell>
          <cell r="D1308" t="str">
            <v>KHF-15-104133-CG-2331-00005-0001</v>
          </cell>
          <cell r="E1308" t="str">
            <v>LAB BUILDING - GA &amp;  DETAILS FOR CHEMICAL PIT</v>
          </cell>
          <cell r="F1308">
            <v>2</v>
          </cell>
          <cell r="G1308" t="str">
            <v>IFI</v>
          </cell>
        </row>
        <row r="1309">
          <cell r="A1309" t="str">
            <v>KHF-15-104133-CG-2331-00005-0002-2</v>
          </cell>
          <cell r="B1309" t="str">
            <v>KHF_AIP_D_EXT_00960</v>
          </cell>
          <cell r="C1309">
            <v>43493</v>
          </cell>
          <cell r="D1309" t="str">
            <v>KHF-15-104133-CG-2331-00005-0002</v>
          </cell>
          <cell r="E1309" t="str">
            <v>LAB BUILDING - GA &amp;  DETAILS FOR CHEMICAL PIT</v>
          </cell>
          <cell r="F1309">
            <v>2</v>
          </cell>
          <cell r="G1309" t="str">
            <v>IFI</v>
          </cell>
        </row>
        <row r="1310">
          <cell r="A1310" t="str">
            <v>KHF-15-104133-CG-2331-00007-0001-2</v>
          </cell>
          <cell r="B1310" t="str">
            <v>KHF_AIP_D_EXT_00960</v>
          </cell>
          <cell r="C1310">
            <v>43493</v>
          </cell>
          <cell r="D1310" t="str">
            <v>KHF-15-104133-CG-2331-00007-0001</v>
          </cell>
          <cell r="E1310" t="str">
            <v>LAB BUILDING - HVAC  FOUNATION LAYOUT &amp; DETAILS</v>
          </cell>
          <cell r="F1310">
            <v>2</v>
          </cell>
          <cell r="G1310" t="str">
            <v>IFI</v>
          </cell>
        </row>
        <row r="1311">
          <cell r="A1311" t="str">
            <v>KHF-15-104133-CG-2331-00007-0002-2</v>
          </cell>
          <cell r="B1311" t="str">
            <v>KHF_AIP_D_EXT_00960</v>
          </cell>
          <cell r="C1311">
            <v>43493</v>
          </cell>
          <cell r="D1311" t="str">
            <v>KHF-15-104133-CG-2331-00007-0002</v>
          </cell>
          <cell r="E1311" t="str">
            <v>LAB BUILDING - HVAC  FOUNATION LAYOUT &amp; DETAILS</v>
          </cell>
          <cell r="F1311">
            <v>2</v>
          </cell>
          <cell r="G1311" t="str">
            <v>IFI</v>
          </cell>
        </row>
        <row r="1312">
          <cell r="A1312" t="str">
            <v>KHF-15-104133-CG-2331-00007-0003-2</v>
          </cell>
          <cell r="B1312" t="str">
            <v>KHF_AIP_D_EXT_00960</v>
          </cell>
          <cell r="C1312">
            <v>43493</v>
          </cell>
          <cell r="D1312" t="str">
            <v>KHF-15-104133-CG-2331-00007-0003</v>
          </cell>
          <cell r="E1312" t="str">
            <v>LAB BUILDING - HVAC  FOUNATION LAYOUT &amp; DETAILS</v>
          </cell>
          <cell r="F1312">
            <v>2</v>
          </cell>
          <cell r="G1312" t="str">
            <v>IFI</v>
          </cell>
        </row>
        <row r="1313">
          <cell r="A1313" t="str">
            <v>KHF-15-104133-CG-2331-00007-0004-2</v>
          </cell>
          <cell r="B1313" t="str">
            <v>KHF_AIP_D_EXT_00960</v>
          </cell>
          <cell r="C1313">
            <v>43493</v>
          </cell>
          <cell r="D1313" t="str">
            <v>KHF-15-104133-CG-2331-00007-0004</v>
          </cell>
          <cell r="E1313" t="str">
            <v>LAB BUILDING - HVAC  FOUNATION LAYOUT &amp; DETAILS</v>
          </cell>
          <cell r="F1313">
            <v>2</v>
          </cell>
          <cell r="G1313" t="str">
            <v>IFI</v>
          </cell>
        </row>
        <row r="1314">
          <cell r="A1314" t="str">
            <v>KHF-15-104133-CG-2331-00007-0005-2</v>
          </cell>
          <cell r="B1314" t="str">
            <v>KHF_AIP_D_EXT_00960</v>
          </cell>
          <cell r="C1314">
            <v>43493</v>
          </cell>
          <cell r="D1314" t="str">
            <v>KHF-15-104133-CG-2331-00007-0005</v>
          </cell>
          <cell r="E1314" t="str">
            <v>LAB BUILDING - HVAC  FOUNATION LAYOUT &amp; DETAILS</v>
          </cell>
          <cell r="F1314">
            <v>2</v>
          </cell>
          <cell r="G1314" t="str">
            <v>IFI</v>
          </cell>
        </row>
        <row r="1315">
          <cell r="A1315" t="str">
            <v>KHF-15-104133-CS-2386-00003-0001-2</v>
          </cell>
          <cell r="B1315" t="str">
            <v>KHF_AIP_D_EXT_00960</v>
          </cell>
          <cell r="C1315">
            <v>43493</v>
          </cell>
          <cell r="D1315" t="str">
            <v>KHF-15-104133-CS-2386-00003-0001</v>
          </cell>
          <cell r="E1315" t="str">
            <v>LAB BLDG -STRUCTURAL STEEL -BASE PLATE LAYOUT &amp; DETAILS</v>
          </cell>
          <cell r="F1315">
            <v>2</v>
          </cell>
          <cell r="G1315" t="str">
            <v>IFI</v>
          </cell>
        </row>
        <row r="1316">
          <cell r="A1316" t="str">
            <v>KHF-15-104133-CS-2386-00003-0002-2</v>
          </cell>
          <cell r="B1316" t="str">
            <v>KHF_AIP_D_EXT_00960</v>
          </cell>
          <cell r="C1316">
            <v>43493</v>
          </cell>
          <cell r="D1316" t="str">
            <v>KHF-15-104133-CS-2386-00003-0002</v>
          </cell>
          <cell r="E1316" t="str">
            <v>LAB BLDG -STEEL FRAME -  TRANSVERSE ELEVATION</v>
          </cell>
          <cell r="F1316">
            <v>2</v>
          </cell>
          <cell r="G1316" t="str">
            <v>IFI</v>
          </cell>
        </row>
        <row r="1317">
          <cell r="A1317" t="str">
            <v>KHF-15-104133-CS-2386-00003-0003-2</v>
          </cell>
          <cell r="B1317" t="str">
            <v>KHF_AIP_D_EXT_00960</v>
          </cell>
          <cell r="C1317">
            <v>43493</v>
          </cell>
          <cell r="D1317" t="str">
            <v>KHF-15-104133-CS-2386-00003-0003</v>
          </cell>
          <cell r="E1317" t="str">
            <v>LAB BLDG -STEEL FRAME -  TRANSVERSE ELEVATION</v>
          </cell>
          <cell r="F1317">
            <v>2</v>
          </cell>
          <cell r="G1317" t="str">
            <v>IFI</v>
          </cell>
        </row>
        <row r="1318">
          <cell r="A1318" t="str">
            <v>KHF-15-104133-CS-2386-00003-0004-2</v>
          </cell>
          <cell r="B1318" t="str">
            <v>KHF_AIP_D_EXT_00960</v>
          </cell>
          <cell r="C1318">
            <v>43493</v>
          </cell>
          <cell r="D1318" t="str">
            <v>KHF-15-104133-CS-2386-00003-0004</v>
          </cell>
          <cell r="E1318" t="str">
            <v>LAB BLDG -STEEL FRAME -  LONGITUDINAL ELEVATION</v>
          </cell>
          <cell r="F1318">
            <v>2</v>
          </cell>
          <cell r="G1318" t="str">
            <v>IFI</v>
          </cell>
        </row>
        <row r="1319">
          <cell r="A1319" t="str">
            <v>KHF-15-104133-CS-2386-00003-0005-2</v>
          </cell>
          <cell r="B1319" t="str">
            <v>KHF_AIP_D_EXT_00960</v>
          </cell>
          <cell r="C1319">
            <v>43493</v>
          </cell>
          <cell r="D1319" t="str">
            <v>KHF-15-104133-CS-2386-00003-0005</v>
          </cell>
          <cell r="E1319" t="str">
            <v>LAB BLDG -STEEL FRAME -  LONGITUDINAL ELEVATION</v>
          </cell>
          <cell r="F1319">
            <v>2</v>
          </cell>
          <cell r="G1319" t="str">
            <v>IFI</v>
          </cell>
        </row>
        <row r="1320">
          <cell r="A1320" t="str">
            <v>KHF-15-104133-CS-2386-00003-0006-2</v>
          </cell>
          <cell r="B1320" t="str">
            <v>KHF_AIP_D_EXT_00960</v>
          </cell>
          <cell r="C1320">
            <v>43493</v>
          </cell>
          <cell r="D1320" t="str">
            <v>KHF-15-104133-CS-2386-00003-0006</v>
          </cell>
          <cell r="E1320" t="str">
            <v>LAB BLDG -STEEL STRUCTURE- BEAM LAYOUT AND DETAILS</v>
          </cell>
          <cell r="F1320">
            <v>2</v>
          </cell>
          <cell r="G1320" t="str">
            <v>IFI</v>
          </cell>
        </row>
        <row r="1321">
          <cell r="A1321" t="str">
            <v>KHF-15-104133-CS-2386-00003-0007-2</v>
          </cell>
          <cell r="B1321" t="str">
            <v>KHF_AIP_D_EXT_00960</v>
          </cell>
          <cell r="C1321">
            <v>43493</v>
          </cell>
          <cell r="D1321" t="str">
            <v>KHF-15-104133-CS-2386-00003-0007</v>
          </cell>
          <cell r="E1321" t="str">
            <v>LAB BLDG -STEEL STRUCTURE- BEAM LAYOUT AND DETAILS</v>
          </cell>
          <cell r="F1321">
            <v>2</v>
          </cell>
          <cell r="G1321" t="str">
            <v>IFI</v>
          </cell>
        </row>
        <row r="1322">
          <cell r="A1322" t="str">
            <v>KHF-15-104133-CS-2386-00003-0008-2</v>
          </cell>
          <cell r="B1322" t="str">
            <v>KHF_AIP_D_EXT_00960</v>
          </cell>
          <cell r="C1322">
            <v>43493</v>
          </cell>
          <cell r="D1322" t="str">
            <v>KHF-15-104133-CS-2386-00003-0008</v>
          </cell>
          <cell r="E1322" t="str">
            <v>LAB BLDG -STEEL STRUCTURE- BEAM LAYOUT AND DETAILS</v>
          </cell>
          <cell r="F1322">
            <v>2</v>
          </cell>
          <cell r="G1322" t="str">
            <v>IFI</v>
          </cell>
        </row>
        <row r="1323">
          <cell r="A1323" t="str">
            <v>KHF-15-104133-CS-2386-00004-0001-2</v>
          </cell>
          <cell r="B1323" t="str">
            <v>KHF_AIP_D_EXT_00960</v>
          </cell>
          <cell r="C1323">
            <v>43493</v>
          </cell>
          <cell r="D1323" t="str">
            <v>KHF-15-104133-CS-2386-00004-0001</v>
          </cell>
          <cell r="E1323" t="str">
            <v>LAB BUILDING - DECK SLAB-LAYOUT &amp; DETAILS</v>
          </cell>
          <cell r="F1323">
            <v>2</v>
          </cell>
          <cell r="G1323" t="str">
            <v>IFI</v>
          </cell>
        </row>
        <row r="1324">
          <cell r="A1324" t="str">
            <v>KHF-15-104133-CS-2386-00004-0002-2</v>
          </cell>
          <cell r="B1324" t="str">
            <v>KHF_AIP_D_EXT_00960</v>
          </cell>
          <cell r="C1324">
            <v>43493</v>
          </cell>
          <cell r="D1324" t="str">
            <v>KHF-15-104133-CS-2386-00004-0002</v>
          </cell>
          <cell r="E1324" t="str">
            <v>LAB BUILDING - DECK SLAB-LAYOUT &amp; DETAILS</v>
          </cell>
          <cell r="F1324">
            <v>2</v>
          </cell>
          <cell r="G1324" t="str">
            <v>IFI</v>
          </cell>
        </row>
        <row r="1325">
          <cell r="A1325" t="str">
            <v>KHF-15-104133-CS-2386-00005-0001-2</v>
          </cell>
          <cell r="B1325" t="str">
            <v>KHF_AIP_D_EXT_00960</v>
          </cell>
          <cell r="C1325">
            <v>43493</v>
          </cell>
          <cell r="D1325" t="str">
            <v>KHF-15-104133-CS-2386-00005-0001</v>
          </cell>
          <cell r="E1325" t="str">
            <v>LAB BUILDING - WATER TANK SHELTER LAYOUT &amp; DETAILS</v>
          </cell>
          <cell r="F1325">
            <v>2</v>
          </cell>
          <cell r="G1325" t="str">
            <v>IFI</v>
          </cell>
        </row>
        <row r="1326">
          <cell r="A1326" t="str">
            <v>KHF-15-104133-CS-2386-00007-0001-2</v>
          </cell>
          <cell r="B1326" t="str">
            <v>KHF_AIP_D_EXT_00960</v>
          </cell>
          <cell r="C1326">
            <v>43493</v>
          </cell>
          <cell r="D1326" t="str">
            <v>KHF-15-104133-CS-2386-00007-0001</v>
          </cell>
          <cell r="E1326" t="str">
            <v>HVAC REFRIGERATION PIPE SUPPORT- DETAILS</v>
          </cell>
          <cell r="F1326">
            <v>2</v>
          </cell>
          <cell r="G1326" t="str">
            <v>IFI</v>
          </cell>
        </row>
        <row r="1327">
          <cell r="A1327" t="str">
            <v>KHF-15-104133-CS-2386-00007-0002-2</v>
          </cell>
          <cell r="B1327" t="str">
            <v>KHF_AIP_D_EXT_00960</v>
          </cell>
          <cell r="C1327">
            <v>43493</v>
          </cell>
          <cell r="D1327" t="str">
            <v>KHF-15-104133-CS-2386-00007-0002</v>
          </cell>
          <cell r="E1327" t="str">
            <v>LAB BUILDIG - HVAC  STEEL SUPPORT LAYOUT &amp; DETAILS</v>
          </cell>
          <cell r="F1327">
            <v>2</v>
          </cell>
          <cell r="G1327" t="str">
            <v>IFI</v>
          </cell>
        </row>
        <row r="1328">
          <cell r="A1328" t="str">
            <v>KHF-15-104133-CS-2386-00007-0003-2</v>
          </cell>
          <cell r="B1328" t="str">
            <v>KHF_AIP_D_EXT_00960</v>
          </cell>
          <cell r="C1328">
            <v>43493</v>
          </cell>
          <cell r="D1328" t="str">
            <v>KHF-15-104133-CS-2386-00007-0003</v>
          </cell>
          <cell r="E1328" t="str">
            <v>LAB BUILDIG - HVAC  STEEL SUPPORT LAYOUT &amp; DETAILS</v>
          </cell>
          <cell r="F1328">
            <v>2</v>
          </cell>
          <cell r="G1328" t="str">
            <v>IFI</v>
          </cell>
        </row>
        <row r="1329">
          <cell r="A1329" t="str">
            <v>KHF-15-104133-CS-2386-00007-0004-2</v>
          </cell>
          <cell r="B1329" t="str">
            <v>KHF_AIP_D_EXT_00960</v>
          </cell>
          <cell r="C1329">
            <v>43493</v>
          </cell>
          <cell r="D1329" t="str">
            <v>KHF-15-104133-CS-2386-00007-0004</v>
          </cell>
          <cell r="E1329" t="str">
            <v>LAB BUILDIG - HVAC  STEEL SUPPORT LAYOUT &amp; DETAILS</v>
          </cell>
          <cell r="F1329">
            <v>2</v>
          </cell>
          <cell r="G1329" t="str">
            <v>IFI</v>
          </cell>
        </row>
        <row r="1330">
          <cell r="A1330" t="str">
            <v>KHF-15-104133-CS-2386-00007-0005-2</v>
          </cell>
          <cell r="B1330" t="str">
            <v>KHF_AIP_D_EXT_00960</v>
          </cell>
          <cell r="C1330">
            <v>43493</v>
          </cell>
          <cell r="D1330" t="str">
            <v>KHF-15-104133-CS-2386-00007-0005</v>
          </cell>
          <cell r="E1330" t="str">
            <v>LAB BUILDING - HVAC  STEEL SUPPORT LAYOUT &amp; DETAILS</v>
          </cell>
          <cell r="F1330">
            <v>2</v>
          </cell>
          <cell r="G1330" t="str">
            <v>IFI</v>
          </cell>
        </row>
        <row r="1331">
          <cell r="A1331" t="str">
            <v>KHF-15-104133-CS-2386-00008-0001-2</v>
          </cell>
          <cell r="B1331" t="str">
            <v>KHF_AIP_D_EXT_00960</v>
          </cell>
          <cell r="C1331">
            <v>43493</v>
          </cell>
          <cell r="D1331" t="str">
            <v>KHF-15-104133-CS-2386-00008-0001</v>
          </cell>
          <cell r="E1331" t="str">
            <v>LAB BUILDING - GRADE PLATFORM DETAILS FOR CHEMICAL FILTER</v>
          </cell>
          <cell r="F1331">
            <v>2</v>
          </cell>
          <cell r="G1331" t="str">
            <v>IFI</v>
          </cell>
        </row>
        <row r="1332">
          <cell r="A1332" t="str">
            <v>KHF-15-104133-CS-2386-00008-0002-2</v>
          </cell>
          <cell r="B1332" t="str">
            <v>KHF_AIP_D_EXT_00960</v>
          </cell>
          <cell r="C1332">
            <v>43493</v>
          </cell>
          <cell r="D1332" t="str">
            <v>KHF-15-104133-CS-2386-00008-0002</v>
          </cell>
          <cell r="E1332" t="str">
            <v>LAB BUILDING - GRADE PLATFORM DETAILS FOR CHEMICAL FILTER</v>
          </cell>
          <cell r="F1332">
            <v>2</v>
          </cell>
          <cell r="G1332" t="str">
            <v>IFI</v>
          </cell>
        </row>
        <row r="1333">
          <cell r="A1333" t="str">
            <v>KHF-15-104133-CS-2386-00009-0001-2</v>
          </cell>
          <cell r="B1333" t="str">
            <v>KHF_AIP_D_EXT_00960</v>
          </cell>
          <cell r="C1333">
            <v>43493</v>
          </cell>
          <cell r="D1333" t="str">
            <v>KHF-15-104133-CS-2386-00009-0001</v>
          </cell>
          <cell r="E1333" t="str">
            <v>LAB BUILDING - PANEL SUPPORT LAYOUT &amp; DETAILS</v>
          </cell>
          <cell r="F1333">
            <v>2</v>
          </cell>
          <cell r="G1333" t="str">
            <v>IFI</v>
          </cell>
        </row>
        <row r="1334">
          <cell r="A1334" t="str">
            <v>KHF-15-104133-CS-2386-00009-0002-2</v>
          </cell>
          <cell r="B1334" t="str">
            <v>KHF_AIP_D_EXT_00960</v>
          </cell>
          <cell r="C1334">
            <v>43493</v>
          </cell>
          <cell r="D1334" t="str">
            <v>KHF-15-104133-CS-2386-00009-0002</v>
          </cell>
          <cell r="E1334" t="str">
            <v>LAB BUILDING - PANEL SUPPORT LAYOUT &amp; DETAILS</v>
          </cell>
          <cell r="F1334">
            <v>2</v>
          </cell>
          <cell r="G1334" t="str">
            <v>IFI</v>
          </cell>
        </row>
        <row r="1335">
          <cell r="A1335" t="str">
            <v>KHF-15-104133-CS-4018-00001-0001-1</v>
          </cell>
          <cell r="B1335" t="str">
            <v>KHF_AIP_D_EXT_00960</v>
          </cell>
          <cell r="C1335">
            <v>43493</v>
          </cell>
          <cell r="D1335" t="str">
            <v>KHF-15-104133-CS-4018-00001-0001</v>
          </cell>
          <cell r="E1335" t="str">
            <v>LAB BUILDING - STANDARD DRAWINGS</v>
          </cell>
          <cell r="F1335">
            <v>1</v>
          </cell>
          <cell r="G1335" t="str">
            <v>IFI</v>
          </cell>
        </row>
        <row r="1336">
          <cell r="A1336" t="str">
            <v>KHF-15-104133-CS-4180-00005-0001-2</v>
          </cell>
          <cell r="B1336" t="str">
            <v>KHF_AIP_D_EXT_00960</v>
          </cell>
          <cell r="C1336">
            <v>43493</v>
          </cell>
          <cell r="D1336" t="str">
            <v>KHF-15-104133-CS-4180-00005-0001</v>
          </cell>
          <cell r="E1336" t="str">
            <v>LAB BUILDING -ROOF SLAB LAYOUT &amp; DEATAILS</v>
          </cell>
          <cell r="F1336">
            <v>2</v>
          </cell>
          <cell r="G1336" t="str">
            <v>IFI</v>
          </cell>
        </row>
        <row r="1337">
          <cell r="A1337" t="str">
            <v>KHF-15-104133-CS-4180-00005-0002-2</v>
          </cell>
          <cell r="B1337" t="str">
            <v>KHF_AIP_D_EXT_00960</v>
          </cell>
          <cell r="C1337">
            <v>43493</v>
          </cell>
          <cell r="D1337" t="str">
            <v>KHF-15-104133-CS-4180-00005-0002</v>
          </cell>
          <cell r="E1337" t="str">
            <v>LAB BUILDING -ROOF SLAB LAYOUT &amp; DEATAILS</v>
          </cell>
          <cell r="F1337">
            <v>2</v>
          </cell>
          <cell r="G1337" t="str">
            <v>IFI</v>
          </cell>
        </row>
        <row r="1338">
          <cell r="A1338" t="str">
            <v>KHF-15-104133-CS-4180-00005-0003-3</v>
          </cell>
          <cell r="B1338" t="str">
            <v>KHF_AIP_D_EXT_00960</v>
          </cell>
          <cell r="C1338">
            <v>43493</v>
          </cell>
          <cell r="D1338" t="str">
            <v>KHF-15-104133-CS-4180-00005-0003</v>
          </cell>
          <cell r="E1338" t="str">
            <v>LAB BUILDING -ROOF SLAB LAYOUT &amp; DEATAILS</v>
          </cell>
          <cell r="F1338">
            <v>3</v>
          </cell>
          <cell r="G1338" t="str">
            <v>IFI</v>
          </cell>
        </row>
        <row r="1339">
          <cell r="A1339" t="str">
            <v>KHF-15-104133-CX-3309-00001-0000-1</v>
          </cell>
          <cell r="B1339" t="str">
            <v>KHF_AIP_D_EXT_00960</v>
          </cell>
          <cell r="C1339">
            <v>43493</v>
          </cell>
          <cell r="D1339" t="str">
            <v>KHF-15-104133-CX-3309-00001-0000</v>
          </cell>
          <cell r="E1339" t="str">
            <v>CONSTRUCTION BILL OF QUANTITIES FOR CIVIL &amp; STRUCTURAL - LAB BUILDING</v>
          </cell>
          <cell r="F1339">
            <v>1</v>
          </cell>
          <cell r="G1339" t="str">
            <v>IFI</v>
          </cell>
        </row>
        <row r="1340">
          <cell r="A1340" t="str">
            <v>KHF-15-104133-CX-4024-00001-0001-2</v>
          </cell>
          <cell r="B1340" t="str">
            <v>KHF_AIP_D_EXT_00960</v>
          </cell>
          <cell r="C1340">
            <v>43493</v>
          </cell>
          <cell r="D1340" t="str">
            <v>KHF-15-104133-CX-4024-00001-0001</v>
          </cell>
          <cell r="E1340" t="str">
            <v>ROAD- MODIFICATION  LAYOUT AND DETAILS</v>
          </cell>
          <cell r="F1340">
            <v>2</v>
          </cell>
          <cell r="G1340" t="str">
            <v>IFI</v>
          </cell>
        </row>
        <row r="1341">
          <cell r="A1341" t="str">
            <v>KHF-15-104133-CX-4038-00001-0001-2</v>
          </cell>
          <cell r="B1341" t="str">
            <v>KHF_AIP_D_EXT_00960</v>
          </cell>
          <cell r="C1341">
            <v>43493</v>
          </cell>
          <cell r="D1341" t="str">
            <v>KHF-15-104133-CX-4038-00001-0001</v>
          </cell>
          <cell r="E1341" t="str">
            <v>SLIT TRENCH LAYOUT - PROPOSED LAB AREA</v>
          </cell>
          <cell r="F1341">
            <v>2</v>
          </cell>
          <cell r="G1341" t="str">
            <v>IFI</v>
          </cell>
        </row>
        <row r="1342">
          <cell r="A1342" t="str">
            <v>KHF-15-104133-CX-4038-00002-0001-2</v>
          </cell>
          <cell r="B1342" t="str">
            <v>KHF_AIP_D_EXT_00960</v>
          </cell>
          <cell r="C1342">
            <v>43493</v>
          </cell>
          <cell r="D1342" t="str">
            <v>KHF-15-104133-CX-4038-00002-0001</v>
          </cell>
          <cell r="E1342" t="str">
            <v>UG COMPOSITE LAYOUT</v>
          </cell>
          <cell r="F1342">
            <v>2</v>
          </cell>
          <cell r="G1342" t="str">
            <v>IFI</v>
          </cell>
        </row>
        <row r="1343">
          <cell r="A1343" t="str">
            <v>KHF-15-104133-CX-4180-00002-0001-2</v>
          </cell>
          <cell r="B1343" t="str">
            <v>KHF_AIP_D_EXT_00960</v>
          </cell>
          <cell r="C1343">
            <v>43493</v>
          </cell>
          <cell r="D1343" t="str">
            <v>KHF-15-104133-CX-4180-00002-0001</v>
          </cell>
          <cell r="E1343" t="str">
            <v>LAB BUILDING - GRADE SLAB LAYOUT</v>
          </cell>
          <cell r="F1343">
            <v>2</v>
          </cell>
          <cell r="G1343" t="str">
            <v>IFI</v>
          </cell>
        </row>
        <row r="1344">
          <cell r="A1344" t="str">
            <v>KHF-15-104133-CX-4180-00002-0002-2</v>
          </cell>
          <cell r="B1344" t="str">
            <v>KHF_AIP_D_EXT_00960</v>
          </cell>
          <cell r="C1344">
            <v>43493</v>
          </cell>
          <cell r="D1344" t="str">
            <v>KHF-15-104133-CX-4180-00002-0002</v>
          </cell>
          <cell r="E1344" t="str">
            <v>LAB BUILDING - GRADE SLAB LAYOUT</v>
          </cell>
          <cell r="F1344">
            <v>2</v>
          </cell>
          <cell r="G1344" t="str">
            <v>IFI</v>
          </cell>
        </row>
        <row r="1345">
          <cell r="A1345" t="str">
            <v>KHF-15-104133-CX-8380-00001-0001-2</v>
          </cell>
          <cell r="B1345" t="str">
            <v>KHF_AIP_D_EXT_00960</v>
          </cell>
          <cell r="C1345">
            <v>43493</v>
          </cell>
          <cell r="D1345" t="str">
            <v>KHF-15-104133-CX-8380-00001-0001</v>
          </cell>
          <cell r="E1345" t="str">
            <v>DEMOLITION PLAN AND DETAILS</v>
          </cell>
          <cell r="F1345">
            <v>2</v>
          </cell>
          <cell r="G1345" t="str">
            <v>IFI</v>
          </cell>
        </row>
        <row r="1346">
          <cell r="A1346" t="str">
            <v>KHF-15-104133-EA-1380-00001-0000-2</v>
          </cell>
          <cell r="B1346" t="str">
            <v>KHF_AIP_D_EXT_00960</v>
          </cell>
          <cell r="C1346">
            <v>43493</v>
          </cell>
          <cell r="D1346" t="str">
            <v>KHF-15-104133-EA-1380-00001-0000</v>
          </cell>
          <cell r="E1346" t="str">
            <v>ILLUMINATION LEVEL CALCULATIONS - LAB BUILDING</v>
          </cell>
          <cell r="F1346">
            <v>2</v>
          </cell>
          <cell r="G1346" t="str">
            <v>IFI</v>
          </cell>
        </row>
        <row r="1347">
          <cell r="A1347" t="str">
            <v>KHF-15-104133-EA-2305-00001-0001-2</v>
          </cell>
          <cell r="B1347" t="str">
            <v>KHF_AIP_D_EXT_00960</v>
          </cell>
          <cell r="C1347">
            <v>43493</v>
          </cell>
          <cell r="D1347" t="str">
            <v>KHF-15-104133-EA-2305-00001-0001</v>
          </cell>
          <cell r="E1347" t="str">
            <v>LAB BUILDING - STANDARD INSTALLATION DRAWING</v>
          </cell>
          <cell r="F1347">
            <v>2</v>
          </cell>
          <cell r="G1347" t="str">
            <v>IFI</v>
          </cell>
        </row>
        <row r="1348">
          <cell r="A1348" t="str">
            <v>KHF-15-104133-EA-2384-00001-0001-2</v>
          </cell>
          <cell r="B1348" t="str">
            <v>KHF_AIP_D_EXT_00960</v>
          </cell>
          <cell r="C1348">
            <v>43493</v>
          </cell>
          <cell r="D1348" t="str">
            <v>KHF-15-104133-EA-2384-00001-0001</v>
          </cell>
          <cell r="E1348" t="str">
            <v>OVERALL SINGLE LINE DIAGRAM - LAB BUILDING</v>
          </cell>
          <cell r="F1348">
            <v>2</v>
          </cell>
          <cell r="G1348" t="str">
            <v>IFI</v>
          </cell>
        </row>
        <row r="1349">
          <cell r="A1349" t="str">
            <v>KHF-15-104133-EA-2384-00002-0001-2</v>
          </cell>
          <cell r="B1349" t="str">
            <v>KHF_AIP_D_EXT_00960</v>
          </cell>
          <cell r="C1349">
            <v>43493</v>
          </cell>
          <cell r="D1349" t="str">
            <v>KHF-15-104133-EA-2384-00002-0001</v>
          </cell>
          <cell r="E1349" t="str">
            <v>SINGLE LINE DIAGRAM OF LIGHTING AND SMALL POWER DB - LAB BUILDING</v>
          </cell>
          <cell r="F1349">
            <v>2</v>
          </cell>
          <cell r="G1349" t="str">
            <v>IFI</v>
          </cell>
        </row>
        <row r="1350">
          <cell r="A1350" t="str">
            <v>KHF-15-104133-EA-2384-00002-0002-2</v>
          </cell>
          <cell r="B1350" t="str">
            <v>KHF_AIP_D_EXT_00960</v>
          </cell>
          <cell r="C1350">
            <v>43493</v>
          </cell>
          <cell r="D1350" t="str">
            <v>KHF-15-104133-EA-2384-00002-0002</v>
          </cell>
          <cell r="E1350" t="str">
            <v>SINGLE LINE DIAGRAM OF LIGHTING AND SMALL POWER DB - LAB BUILDING</v>
          </cell>
          <cell r="F1350">
            <v>2</v>
          </cell>
          <cell r="G1350" t="str">
            <v>IFI</v>
          </cell>
        </row>
        <row r="1351">
          <cell r="A1351" t="str">
            <v>KHF-15-104133-EA-2384-00003-0001-2</v>
          </cell>
          <cell r="B1351" t="str">
            <v>KHF_AIP_D_EXT_00960</v>
          </cell>
          <cell r="C1351">
            <v>43493</v>
          </cell>
          <cell r="D1351" t="str">
            <v>KHF-15-104133-EA-2384-00003-0001</v>
          </cell>
          <cell r="E1351" t="str">
            <v>SINGLE LINE DIAGRAM -  WORKSHOP &amp; CHEMICAL LAB</v>
          </cell>
          <cell r="F1351">
            <v>2</v>
          </cell>
          <cell r="G1351" t="str">
            <v>IFI</v>
          </cell>
        </row>
        <row r="1352">
          <cell r="A1352" t="str">
            <v>KHF-15-104133-EA-2384-00004-0001-2</v>
          </cell>
          <cell r="B1352" t="str">
            <v>KHF_AIP_D_EXT_00960</v>
          </cell>
          <cell r="C1352">
            <v>43493</v>
          </cell>
          <cell r="D1352" t="str">
            <v>KHF-15-104133-EA-2384-00004-0001</v>
          </cell>
          <cell r="E1352" t="str">
            <v>SINGLE LINE DIAGRAM OF  HVAC DB - LAB BUILDING</v>
          </cell>
          <cell r="F1352">
            <v>2</v>
          </cell>
          <cell r="G1352" t="str">
            <v>IFI</v>
          </cell>
        </row>
        <row r="1353">
          <cell r="A1353" t="str">
            <v>KHF-15-104133-EA-4006-00001-0001-3</v>
          </cell>
          <cell r="B1353" t="str">
            <v>KHF_AIP_D_EXT_00960</v>
          </cell>
          <cell r="C1353">
            <v>43493</v>
          </cell>
          <cell r="D1353" t="str">
            <v>KHF-15-104133-EA-4006-00001-0001</v>
          </cell>
          <cell r="E1353" t="str">
            <v>CABLE ROUTING LAYOUT-LAB BUILDING</v>
          </cell>
          <cell r="F1353">
            <v>3</v>
          </cell>
          <cell r="G1353" t="str">
            <v>IFI</v>
          </cell>
        </row>
        <row r="1354">
          <cell r="A1354" t="str">
            <v>KHF-15-104133-EA-4006-00001-0002-3</v>
          </cell>
          <cell r="B1354" t="str">
            <v>KHF_AIP_D_EXT_00960</v>
          </cell>
          <cell r="C1354">
            <v>43493</v>
          </cell>
          <cell r="D1354" t="str">
            <v>KHF-15-104133-EA-4006-00001-0002</v>
          </cell>
          <cell r="E1354" t="str">
            <v>CABLE ROUTING LAYOUT-LAB BUILDING</v>
          </cell>
          <cell r="F1354">
            <v>3</v>
          </cell>
          <cell r="G1354" t="str">
            <v>IFI</v>
          </cell>
        </row>
        <row r="1355">
          <cell r="A1355" t="str">
            <v>KHF-15-104133-EA-4006-00001-0003-3</v>
          </cell>
          <cell r="B1355" t="str">
            <v>KHF_AIP_D_EXT_00960</v>
          </cell>
          <cell r="C1355">
            <v>43493</v>
          </cell>
          <cell r="D1355" t="str">
            <v>KHF-15-104133-EA-4006-00001-0003</v>
          </cell>
          <cell r="E1355" t="str">
            <v>CABLE ROUTING LAYOUT-LAB BUILDING</v>
          </cell>
          <cell r="F1355">
            <v>3</v>
          </cell>
          <cell r="G1355" t="str">
            <v>IFI</v>
          </cell>
        </row>
        <row r="1356">
          <cell r="A1356" t="str">
            <v>KHF-15-104133-EA-4006-00001-0004-3</v>
          </cell>
          <cell r="B1356" t="str">
            <v>KHF_AIP_D_EXT_00960</v>
          </cell>
          <cell r="C1356">
            <v>43493</v>
          </cell>
          <cell r="D1356" t="str">
            <v>KHF-15-104133-EA-4006-00001-0004</v>
          </cell>
          <cell r="E1356" t="str">
            <v>CABLE ROUTING LAYOUT-LAB BUILDING</v>
          </cell>
          <cell r="F1356">
            <v>3</v>
          </cell>
          <cell r="G1356" t="str">
            <v>IFI</v>
          </cell>
        </row>
        <row r="1357">
          <cell r="A1357" t="str">
            <v>KHF-15-104133-EA-4006-00002-0001-3</v>
          </cell>
          <cell r="B1357" t="str">
            <v>KHF_AIP_D_EXT_00960</v>
          </cell>
          <cell r="C1357">
            <v>43493</v>
          </cell>
          <cell r="D1357" t="str">
            <v>KHF-15-104133-EA-4006-00002-0001</v>
          </cell>
          <cell r="E1357" t="str">
            <v>CONDUIT LAYOUT - LAB BUILDING</v>
          </cell>
          <cell r="F1357">
            <v>3</v>
          </cell>
          <cell r="G1357" t="str">
            <v>IFI</v>
          </cell>
        </row>
        <row r="1358">
          <cell r="A1358" t="str">
            <v>KHF-15-104133-EA-4006-00002-0002-3</v>
          </cell>
          <cell r="B1358" t="str">
            <v>KHF_AIP_D_EXT_00960</v>
          </cell>
          <cell r="C1358">
            <v>43493</v>
          </cell>
          <cell r="D1358" t="str">
            <v>KHF-15-104133-EA-4006-00002-0002</v>
          </cell>
          <cell r="E1358" t="str">
            <v>CONDUIT LAYOUT - LAB BUILDING</v>
          </cell>
          <cell r="F1358">
            <v>3</v>
          </cell>
          <cell r="G1358" t="str">
            <v>IFI</v>
          </cell>
        </row>
        <row r="1359">
          <cell r="A1359" t="str">
            <v>KHF-15-104133-EA-4006-00002-0003-3</v>
          </cell>
          <cell r="B1359" t="str">
            <v>KHF_AIP_D_EXT_00960</v>
          </cell>
          <cell r="C1359">
            <v>43493</v>
          </cell>
          <cell r="D1359" t="str">
            <v>KHF-15-104133-EA-4006-00002-0003</v>
          </cell>
          <cell r="E1359" t="str">
            <v>CONDUIT LAYOUT - LAB BUILDING</v>
          </cell>
          <cell r="F1359">
            <v>3</v>
          </cell>
          <cell r="G1359" t="str">
            <v>IFI</v>
          </cell>
        </row>
        <row r="1360">
          <cell r="A1360" t="str">
            <v>KHF-15-104133-EA-4006-00002-0004-3</v>
          </cell>
          <cell r="B1360" t="str">
            <v>KHF_AIP_D_EXT_00960</v>
          </cell>
          <cell r="C1360">
            <v>43493</v>
          </cell>
          <cell r="D1360" t="str">
            <v>KHF-15-104133-EA-4006-00002-0004</v>
          </cell>
          <cell r="E1360" t="str">
            <v>CONDUIT LAYOUT - LAB BUILDING</v>
          </cell>
          <cell r="F1360">
            <v>3</v>
          </cell>
          <cell r="G1360" t="str">
            <v>IFI</v>
          </cell>
        </row>
        <row r="1361">
          <cell r="A1361" t="str">
            <v>KHF-15-104133-EA-4006-00002-0005-3</v>
          </cell>
          <cell r="B1361" t="str">
            <v>KHF_AIP_D_EXT_00960</v>
          </cell>
          <cell r="C1361">
            <v>43493</v>
          </cell>
          <cell r="D1361" t="str">
            <v>KHF-15-104133-EA-4006-00002-0005</v>
          </cell>
          <cell r="E1361" t="str">
            <v>CONDUIT LAYOUT - LAB BUILDING</v>
          </cell>
          <cell r="F1361">
            <v>3</v>
          </cell>
          <cell r="G1361" t="str">
            <v>IFI</v>
          </cell>
        </row>
        <row r="1362">
          <cell r="A1362" t="str">
            <v>KHF-15-104133-EA-4006-00002-0006-3</v>
          </cell>
          <cell r="B1362" t="str">
            <v>KHF_AIP_D_EXT_00960</v>
          </cell>
          <cell r="C1362">
            <v>43493</v>
          </cell>
          <cell r="D1362" t="str">
            <v>KHF-15-104133-EA-4006-00002-0006</v>
          </cell>
          <cell r="E1362" t="str">
            <v>CONDUIT LAYOUT - LAB BUILDING</v>
          </cell>
          <cell r="F1362">
            <v>3</v>
          </cell>
          <cell r="G1362" t="str">
            <v>IFI</v>
          </cell>
        </row>
        <row r="1363">
          <cell r="A1363" t="str">
            <v>KHF-15-104133-EA-4025-00001-0001-3</v>
          </cell>
          <cell r="B1363" t="str">
            <v>KHF_AIP_D_EXT_00960</v>
          </cell>
          <cell r="C1363">
            <v>43493</v>
          </cell>
          <cell r="D1363" t="str">
            <v>KHF-15-104133-EA-4025-00001-0001</v>
          </cell>
          <cell r="E1363" t="str">
            <v>LIGHTING &amp; SMALL POWER LAYOUT - LAB BUILDING</v>
          </cell>
          <cell r="F1363">
            <v>3</v>
          </cell>
          <cell r="G1363" t="str">
            <v>IFI</v>
          </cell>
        </row>
        <row r="1364">
          <cell r="A1364" t="str">
            <v>KHF-15-104133-EA-4025-00001-0002-3</v>
          </cell>
          <cell r="B1364" t="str">
            <v>KHF_AIP_D_EXT_00960</v>
          </cell>
          <cell r="C1364">
            <v>43493</v>
          </cell>
          <cell r="D1364" t="str">
            <v>KHF-15-104133-EA-4025-00001-0002</v>
          </cell>
          <cell r="E1364" t="str">
            <v>LIGHTING &amp; SMALL POWER LAYOUT - LAB BUILDING</v>
          </cell>
          <cell r="F1364">
            <v>3</v>
          </cell>
          <cell r="G1364" t="str">
            <v>IFI</v>
          </cell>
        </row>
        <row r="1365">
          <cell r="A1365" t="str">
            <v>KHF-15-104133-EA-4025-00001-0003-3</v>
          </cell>
          <cell r="B1365" t="str">
            <v>KHF_AIP_D_EXT_00960</v>
          </cell>
          <cell r="C1365">
            <v>43493</v>
          </cell>
          <cell r="D1365" t="str">
            <v>KHF-15-104133-EA-4025-00001-0003</v>
          </cell>
          <cell r="E1365" t="str">
            <v>LIGHTING &amp; SMALL POWER LAYOUT - LAB BUILDING</v>
          </cell>
          <cell r="F1365">
            <v>3</v>
          </cell>
          <cell r="G1365" t="str">
            <v>IFI</v>
          </cell>
        </row>
        <row r="1366">
          <cell r="A1366" t="str">
            <v>KHF-15-104133-EA-4025-00001-0004-3</v>
          </cell>
          <cell r="B1366" t="str">
            <v>KHF_AIP_D_EXT_00960</v>
          </cell>
          <cell r="C1366">
            <v>43493</v>
          </cell>
          <cell r="D1366" t="str">
            <v>KHF-15-104133-EA-4025-00001-0004</v>
          </cell>
          <cell r="E1366" t="str">
            <v>LIGHTING &amp; SMALL POWER LAYOUT - LAB BUILDING</v>
          </cell>
          <cell r="F1366">
            <v>3</v>
          </cell>
          <cell r="G1366" t="str">
            <v>IFI</v>
          </cell>
        </row>
        <row r="1367">
          <cell r="A1367" t="str">
            <v>KHF-15-104133-EA-4025-00001-0005-3</v>
          </cell>
          <cell r="B1367" t="str">
            <v>KHF_AIP_D_EXT_00960</v>
          </cell>
          <cell r="C1367">
            <v>43493</v>
          </cell>
          <cell r="D1367" t="str">
            <v>KHF-15-104133-EA-4025-00001-0005</v>
          </cell>
          <cell r="E1367" t="str">
            <v>LIGHTING &amp; SMALL POWER LAYOUT - LAB BUILDING</v>
          </cell>
          <cell r="F1367">
            <v>3</v>
          </cell>
          <cell r="G1367" t="str">
            <v>IFI</v>
          </cell>
        </row>
        <row r="1368">
          <cell r="A1368" t="str">
            <v>KHF-15-104133-EA-4306-00001-0000-2</v>
          </cell>
          <cell r="B1368" t="str">
            <v>KHF_AIP_D_EXT_00960</v>
          </cell>
          <cell r="C1368">
            <v>43493</v>
          </cell>
          <cell r="D1368" t="str">
            <v>KHF-15-104133-EA-4306-00001-0000</v>
          </cell>
          <cell r="E1368" t="str">
            <v>MTO - LAB BUILDING</v>
          </cell>
          <cell r="F1368">
            <v>2</v>
          </cell>
          <cell r="G1368" t="str">
            <v>IFI</v>
          </cell>
        </row>
        <row r="1369">
          <cell r="A1369" t="str">
            <v>KHF-15-104133-EA-4306-00002-0000-1</v>
          </cell>
          <cell r="B1369" t="str">
            <v>KHF_AIP_D_EXT_00960</v>
          </cell>
          <cell r="C1369">
            <v>43493</v>
          </cell>
          <cell r="D1369" t="str">
            <v>KHF-15-104133-EA-4306-00002-0000</v>
          </cell>
          <cell r="E1369" t="str">
            <v>CONSTRUCTION BILL OF QUANTITIES FOR ELECTRICAL - LAB BUILDING</v>
          </cell>
          <cell r="F1369">
            <v>1</v>
          </cell>
          <cell r="G1369" t="str">
            <v>IFI</v>
          </cell>
        </row>
        <row r="1370">
          <cell r="A1370" t="str">
            <v>KHF-15-104133-EA-4308-00001-0000-2</v>
          </cell>
          <cell r="B1370" t="str">
            <v>KHF_AIP_D_EXT_00960</v>
          </cell>
          <cell r="C1370">
            <v>43493</v>
          </cell>
          <cell r="D1370" t="str">
            <v>KHF-15-104133-EA-4308-00001-0000</v>
          </cell>
          <cell r="E1370" t="str">
            <v>POWER &amp; CONTROL CABLE SCHEDULE FOR LAB BUILDING</v>
          </cell>
          <cell r="F1370">
            <v>2</v>
          </cell>
          <cell r="G1370" t="str">
            <v>IFI</v>
          </cell>
        </row>
        <row r="1371">
          <cell r="A1371" t="str">
            <v>KHF-15-104133-EA-4329-00001-0000-2</v>
          </cell>
          <cell r="B1371" t="str">
            <v>KHF_AIP_D_EXT_00960</v>
          </cell>
          <cell r="C1371">
            <v>43493</v>
          </cell>
          <cell r="D1371" t="str">
            <v>KHF-15-104133-EA-4329-00001-0000</v>
          </cell>
          <cell r="E1371" t="str">
            <v>ELECTRICAL LOAD LIST - LAB BUILDING</v>
          </cell>
          <cell r="F1371">
            <v>2</v>
          </cell>
          <cell r="G1371" t="str">
            <v>IFI</v>
          </cell>
        </row>
        <row r="1372">
          <cell r="A1372" t="str">
            <v>KHF-15-104133-EA-5507-00001-0000-2</v>
          </cell>
          <cell r="B1372" t="str">
            <v>KHF_AIP_D_EXT_00960</v>
          </cell>
          <cell r="C1372">
            <v>43493</v>
          </cell>
          <cell r="D1372" t="str">
            <v>KHF-15-104133-EA-5507-00001-0000</v>
          </cell>
          <cell r="E1372" t="str">
            <v>ELECTRICAL DESIGN BASIS - LAB BUILDING SCOPE</v>
          </cell>
          <cell r="F1372">
            <v>2</v>
          </cell>
          <cell r="G1372" t="str">
            <v>IFI</v>
          </cell>
        </row>
        <row r="1373">
          <cell r="A1373" t="str">
            <v>KHF-15-104133-EA-8809-00001-0001-3</v>
          </cell>
          <cell r="B1373" t="str">
            <v>KHF_AIP_D_EXT_00960</v>
          </cell>
          <cell r="C1373">
            <v>43493</v>
          </cell>
          <cell r="D1373" t="str">
            <v>KHF-15-104133-EA-8809-00001-0001</v>
          </cell>
          <cell r="E1373" t="str">
            <v>EARTHING&amp;LIGHTNING PROTECTION LAYOUT-LAB BUILDING</v>
          </cell>
          <cell r="F1373">
            <v>3</v>
          </cell>
          <cell r="G1373" t="str">
            <v>IFI</v>
          </cell>
        </row>
        <row r="1374">
          <cell r="A1374" t="str">
            <v>KHF-15-104133-EA-8809-00001-0002-3</v>
          </cell>
          <cell r="B1374" t="str">
            <v>KHF_AIP_D_EXT_00960</v>
          </cell>
          <cell r="C1374">
            <v>43493</v>
          </cell>
          <cell r="D1374" t="str">
            <v>KHF-15-104133-EA-8809-00001-0002</v>
          </cell>
          <cell r="E1374" t="str">
            <v>EARTHING&amp;LIGHTNING PROTECTION LAYOUT-LAB BUILDING</v>
          </cell>
          <cell r="F1374">
            <v>3</v>
          </cell>
          <cell r="G1374" t="str">
            <v>IFI</v>
          </cell>
        </row>
        <row r="1375">
          <cell r="A1375" t="str">
            <v>KHF-15-104133-EA-8809-00001-0003-3</v>
          </cell>
          <cell r="B1375" t="str">
            <v>KHF_AIP_D_EXT_00960</v>
          </cell>
          <cell r="C1375">
            <v>43493</v>
          </cell>
          <cell r="D1375" t="str">
            <v>KHF-15-104133-EA-8809-00001-0003</v>
          </cell>
          <cell r="E1375" t="str">
            <v>EARTHING&amp;LIGHTNING PROTECTION LAYOUT-LAB BUILDING</v>
          </cell>
          <cell r="F1375">
            <v>3</v>
          </cell>
          <cell r="G1375" t="str">
            <v>IFI</v>
          </cell>
        </row>
        <row r="1376">
          <cell r="A1376" t="str">
            <v>KHF-15-104133-EA-8809-00001-0004-3</v>
          </cell>
          <cell r="B1376" t="str">
            <v>KHF_AIP_D_EXT_00960</v>
          </cell>
          <cell r="C1376">
            <v>43493</v>
          </cell>
          <cell r="D1376" t="str">
            <v>KHF-15-104133-EA-8809-00001-0004</v>
          </cell>
          <cell r="E1376" t="str">
            <v>EARTHING&amp;LIGHTNING PROTECTION LAYOUT-LAB BUILDING</v>
          </cell>
          <cell r="F1376">
            <v>3</v>
          </cell>
          <cell r="G1376" t="str">
            <v>IFI</v>
          </cell>
        </row>
        <row r="1377">
          <cell r="A1377" t="str">
            <v>KHF-15-104133-HX-4016-00001-0001-2</v>
          </cell>
          <cell r="B1377" t="str">
            <v>KHF_AIP_D_EXT_00960</v>
          </cell>
          <cell r="C1377">
            <v>43493</v>
          </cell>
          <cell r="D1377" t="str">
            <v>KHF-15-104133-HX-4016-00001-0001</v>
          </cell>
          <cell r="E1377" t="str">
            <v>ESCAPE ROUTE; SAFETY AND FIRE FIGHTING EQUIPMENT LAYOUT - LAB BUILDING</v>
          </cell>
          <cell r="F1377">
            <v>2</v>
          </cell>
          <cell r="G1377" t="str">
            <v>IFI</v>
          </cell>
        </row>
        <row r="1378">
          <cell r="A1378" t="str">
            <v>KHF-15-104133-HX-4180-00001-0001-2</v>
          </cell>
          <cell r="B1378" t="str">
            <v>KHF_AIP_D_EXT_00960</v>
          </cell>
          <cell r="C1378">
            <v>43493</v>
          </cell>
          <cell r="D1378" t="str">
            <v>KHF-15-104133-HX-4180-00001-0001</v>
          </cell>
          <cell r="E1378" t="str">
            <v>SAFETY SIGN LAYOUT - LAB BUILDING</v>
          </cell>
          <cell r="F1378">
            <v>2</v>
          </cell>
          <cell r="G1378" t="str">
            <v>IFI</v>
          </cell>
        </row>
        <row r="1379">
          <cell r="A1379" t="str">
            <v>KHF-15-104133-HX-4380-00001-0000-1</v>
          </cell>
          <cell r="B1379" t="str">
            <v>KHF_AIP_D_EXT_00960</v>
          </cell>
          <cell r="C1379">
            <v>43493</v>
          </cell>
          <cell r="D1379" t="str">
            <v>KHF-15-104133-HX-4380-00001-0000</v>
          </cell>
          <cell r="E1379" t="str">
            <v>CONSTRUCTION BILL OF QUANTITIES FOR HSE-LAB BUILDING</v>
          </cell>
          <cell r="F1379">
            <v>1</v>
          </cell>
          <cell r="G1379" t="str">
            <v>IFI</v>
          </cell>
        </row>
        <row r="1380">
          <cell r="A1380" t="str">
            <v>KHF-15-104133-IN-2335-00004-0001-2</v>
          </cell>
          <cell r="B1380" t="str">
            <v>KHF_AIP_D_EXT_00960</v>
          </cell>
          <cell r="C1380">
            <v>43493</v>
          </cell>
          <cell r="D1380" t="str">
            <v>KHF-15-104133-IN-2335-00004-0001</v>
          </cell>
          <cell r="E1380" t="str">
            <v>INSTRUMENT MOUNTING DETAILS</v>
          </cell>
          <cell r="F1380">
            <v>2</v>
          </cell>
          <cell r="G1380" t="str">
            <v>IFI</v>
          </cell>
        </row>
        <row r="1381">
          <cell r="A1381" t="str">
            <v>KHF-15-104133-IN-2373-00001-0001-2</v>
          </cell>
          <cell r="B1381" t="str">
            <v>KHF_AIP_D_EXT_00960</v>
          </cell>
          <cell r="C1381">
            <v>43493</v>
          </cell>
          <cell r="D1381" t="str">
            <v>KHF-15-104133-IN-2373-00001-0001</v>
          </cell>
          <cell r="E1381" t="str">
            <v>INSTRUMENT CABLE ROUTING LAYOUT (LAB BUILDING)</v>
          </cell>
          <cell r="F1381">
            <v>2</v>
          </cell>
          <cell r="G1381" t="str">
            <v>IFI</v>
          </cell>
        </row>
        <row r="1382">
          <cell r="A1382" t="str">
            <v>KHF-15-104133-IN-2373-00001-0002-2</v>
          </cell>
          <cell r="B1382" t="str">
            <v>KHF_AIP_D_EXT_00960</v>
          </cell>
          <cell r="C1382">
            <v>43493</v>
          </cell>
          <cell r="D1382" t="str">
            <v>KHF-15-104133-IN-2373-00001-0002</v>
          </cell>
          <cell r="E1382" t="str">
            <v>INSTRUMENT CABLE ROUTING LAYOUT- LAB BUILDING</v>
          </cell>
          <cell r="F1382">
            <v>2</v>
          </cell>
          <cell r="G1382" t="str">
            <v>IFI</v>
          </cell>
        </row>
        <row r="1383">
          <cell r="A1383" t="str">
            <v>KHF-15-104133-IN-4019-00102-0001-3</v>
          </cell>
          <cell r="B1383" t="str">
            <v>KHF_AIP_D_EXT_00960</v>
          </cell>
          <cell r="C1383">
            <v>43493</v>
          </cell>
          <cell r="D1383" t="str">
            <v>KHF-15-104133-IN-4019-00102-0001</v>
          </cell>
          <cell r="E1383" t="str">
            <v>FIRE AND GAS INSTRUMENT LAYOUT (LAB BUILDING)</v>
          </cell>
          <cell r="F1383">
            <v>3</v>
          </cell>
          <cell r="G1383" t="str">
            <v>IFI</v>
          </cell>
        </row>
        <row r="1384">
          <cell r="A1384" t="str">
            <v>KHF-15-104133-IN-4019-00102-0002-2</v>
          </cell>
          <cell r="B1384" t="str">
            <v>KHF_AIP_D_EXT_00960</v>
          </cell>
          <cell r="C1384">
            <v>43493</v>
          </cell>
          <cell r="D1384" t="str">
            <v>KHF-15-104133-IN-4019-00102-0002</v>
          </cell>
          <cell r="E1384" t="str">
            <v>FIRE AND GAS INSTRUMENT LAYOUT (LAB BUILDING)</v>
          </cell>
          <cell r="F1384">
            <v>2</v>
          </cell>
          <cell r="G1384" t="str">
            <v>IFI</v>
          </cell>
        </row>
        <row r="1385">
          <cell r="A1385" t="str">
            <v>KHF-15-104133-IN-4306-00003-0000-2</v>
          </cell>
          <cell r="B1385" t="str">
            <v>KHF_AIP_D_EXT_00960</v>
          </cell>
          <cell r="C1385">
            <v>43493</v>
          </cell>
          <cell r="D1385" t="str">
            <v>KHF-15-104133-IN-4306-00003-0000</v>
          </cell>
          <cell r="E1385" t="str">
            <v>CONSTRUCTION BILL OF QUANTITY FOR INSTRUMENT-LAB BUILDING</v>
          </cell>
          <cell r="F1385">
            <v>2</v>
          </cell>
          <cell r="G1385" t="str">
            <v>IFI</v>
          </cell>
        </row>
        <row r="1386">
          <cell r="A1386" t="str">
            <v>KHF-15-104133-IN-4306-00009-0000-2</v>
          </cell>
          <cell r="B1386" t="str">
            <v>KHF_AIP_D_EXT_00960</v>
          </cell>
          <cell r="C1386">
            <v>43493</v>
          </cell>
          <cell r="D1386" t="str">
            <v>KHF-15-104133-IN-4306-00009-0000</v>
          </cell>
          <cell r="E1386" t="str">
            <v>SUMMARY OF INSTALLATION MATERIAL (BULK MATERIAL TAKE-OFF LIST)</v>
          </cell>
          <cell r="F1386">
            <v>2</v>
          </cell>
          <cell r="G1386" t="str">
            <v>IFI</v>
          </cell>
        </row>
        <row r="1387">
          <cell r="A1387" t="str">
            <v>KHF-15-104133-IN-4308-00001-0000-2</v>
          </cell>
          <cell r="B1387" t="str">
            <v>KHF_AIP_D_EXT_00960</v>
          </cell>
          <cell r="C1387">
            <v>43493</v>
          </cell>
          <cell r="D1387" t="str">
            <v>KHF-15-104133-IN-4308-00001-0000</v>
          </cell>
          <cell r="E1387" t="str">
            <v>CABLE SCHEDULE-LAB BUILDING</v>
          </cell>
          <cell r="F1387">
            <v>2</v>
          </cell>
          <cell r="G1387" t="str">
            <v>IFI</v>
          </cell>
        </row>
        <row r="1388">
          <cell r="A1388" t="str">
            <v>KHF-15-104133-IN-4308-00002-0000-2</v>
          </cell>
          <cell r="B1388" t="str">
            <v>KHF_AIP_D_EXT_00960</v>
          </cell>
          <cell r="C1388">
            <v>43493</v>
          </cell>
          <cell r="D1388" t="str">
            <v>KHF-15-104133-IN-4308-00002-0000</v>
          </cell>
          <cell r="E1388" t="str">
            <v>CABLE DRUM SCHEDULE (LAB BUILDING)</v>
          </cell>
          <cell r="F1388">
            <v>2</v>
          </cell>
          <cell r="G1388" t="str">
            <v>IFI</v>
          </cell>
        </row>
        <row r="1389">
          <cell r="A1389" t="str">
            <v>KHF-15-104133-IN-4327-00010-0000-3</v>
          </cell>
          <cell r="B1389" t="str">
            <v>KHF_AIP_D_EXT_00960</v>
          </cell>
          <cell r="C1389">
            <v>43493</v>
          </cell>
          <cell r="D1389" t="str">
            <v>KHF-15-104133-IN-4327-00010-0000</v>
          </cell>
          <cell r="E1389" t="str">
            <v>I/O LIST-F&amp;G</v>
          </cell>
          <cell r="F1389">
            <v>3</v>
          </cell>
          <cell r="G1389" t="str">
            <v>IFI</v>
          </cell>
        </row>
        <row r="1390">
          <cell r="A1390" t="str">
            <v>KHF-15-104133-MH-4018-00001-0002-1</v>
          </cell>
          <cell r="B1390" t="str">
            <v>KHF_AIP_D_EXT_00960</v>
          </cell>
          <cell r="C1390">
            <v>43493</v>
          </cell>
          <cell r="D1390" t="str">
            <v>KHF-15-104133-MH-4018-00001-0002</v>
          </cell>
          <cell r="E1390" t="str">
            <v>HVAC STANDARD DETAIL DRAWING</v>
          </cell>
          <cell r="F1390">
            <v>1</v>
          </cell>
          <cell r="G1390" t="str">
            <v>IFI</v>
          </cell>
        </row>
        <row r="1391">
          <cell r="A1391" t="str">
            <v>KHF-15-104133-MH-4018-00001-0003-1</v>
          </cell>
          <cell r="B1391" t="str">
            <v>KHF_AIP_D_EXT_00960</v>
          </cell>
          <cell r="C1391">
            <v>43493</v>
          </cell>
          <cell r="D1391" t="str">
            <v>KHF-15-104133-MH-4018-00001-0003</v>
          </cell>
          <cell r="E1391" t="str">
            <v>HVAC STANDARD DETAIL DRAWING</v>
          </cell>
          <cell r="F1391">
            <v>1</v>
          </cell>
          <cell r="G1391" t="str">
            <v>IFI</v>
          </cell>
        </row>
        <row r="1392">
          <cell r="A1392" t="str">
            <v>KHF-15-104133-MH-4018-00001-0004-1</v>
          </cell>
          <cell r="B1392" t="str">
            <v>KHF_AIP_D_EXT_00960</v>
          </cell>
          <cell r="C1392">
            <v>43493</v>
          </cell>
          <cell r="D1392" t="str">
            <v>KHF-15-104133-MH-4018-00001-0004</v>
          </cell>
          <cell r="E1392" t="str">
            <v>HVAC STANDARD DETAIL DRAWING</v>
          </cell>
          <cell r="F1392">
            <v>1</v>
          </cell>
          <cell r="G1392" t="str">
            <v>IFI</v>
          </cell>
        </row>
        <row r="1393">
          <cell r="A1393" t="str">
            <v>KHF-15-104133-MH-4018-00001-0005-1</v>
          </cell>
          <cell r="B1393" t="str">
            <v>KHF_AIP_D_EXT_00960</v>
          </cell>
          <cell r="C1393">
            <v>43493</v>
          </cell>
          <cell r="D1393" t="str">
            <v>KHF-15-104133-MH-4018-00001-0005</v>
          </cell>
          <cell r="E1393" t="str">
            <v>HVAC STANDARD DETAIL DRAWING</v>
          </cell>
          <cell r="F1393">
            <v>1</v>
          </cell>
          <cell r="G1393" t="str">
            <v>IFI</v>
          </cell>
        </row>
        <row r="1394">
          <cell r="A1394" t="str">
            <v>KHF-15-104133-MH-4018-00001-0006-3</v>
          </cell>
          <cell r="B1394" t="str">
            <v>KHF_AIP_D_EXT_00960</v>
          </cell>
          <cell r="C1394">
            <v>43493</v>
          </cell>
          <cell r="D1394" t="str">
            <v>KHF-15-104133-MH-4018-00001-0006</v>
          </cell>
          <cell r="E1394" t="str">
            <v>HVAC CROSS SECTIONAL DRAWING - LAB BUILIDING</v>
          </cell>
          <cell r="F1394">
            <v>3</v>
          </cell>
          <cell r="G1394" t="str">
            <v>IFI</v>
          </cell>
        </row>
        <row r="1395">
          <cell r="A1395" t="str">
            <v>KHF-15-104133-MH-4033-00001-0001-3</v>
          </cell>
          <cell r="B1395" t="str">
            <v>KHF_AIP_D_EXT_00960</v>
          </cell>
          <cell r="C1395">
            <v>43493</v>
          </cell>
          <cell r="D1395" t="str">
            <v>KHF-15-104133-MH-4033-00001-0001</v>
          </cell>
          <cell r="E1395" t="str">
            <v>HVAC DUCTING AND PIPING LAYOUT - LAB BUILIDING</v>
          </cell>
          <cell r="F1395">
            <v>3</v>
          </cell>
          <cell r="G1395" t="str">
            <v>IFI</v>
          </cell>
        </row>
        <row r="1396">
          <cell r="A1396" t="str">
            <v>KHF-15-104133-MH-4033-00001-0002-3</v>
          </cell>
          <cell r="B1396" t="str">
            <v>KHF_AIP_D_EXT_00960</v>
          </cell>
          <cell r="C1396">
            <v>43493</v>
          </cell>
          <cell r="D1396" t="str">
            <v>KHF-15-104133-MH-4033-00001-0002</v>
          </cell>
          <cell r="E1396" t="str">
            <v>HVAC DUCTING AND PIPING LAYOUT - EQUIPMENT YARD- LAB BUILIDING</v>
          </cell>
          <cell r="F1396">
            <v>3</v>
          </cell>
          <cell r="G1396" t="str">
            <v>IFI</v>
          </cell>
        </row>
        <row r="1397">
          <cell r="A1397" t="str">
            <v>KHF-15-104133-MH-4033-00001-0003-3</v>
          </cell>
          <cell r="B1397" t="str">
            <v>KHF_AIP_D_EXT_00960</v>
          </cell>
          <cell r="C1397">
            <v>43493</v>
          </cell>
          <cell r="D1397" t="str">
            <v>KHF-15-104133-MH-4033-00001-0003</v>
          </cell>
          <cell r="E1397" t="str">
            <v>HVAC D &amp; ID AND CONTROLS DIAGRAM - LAB BUILIDING</v>
          </cell>
          <cell r="F1397">
            <v>3</v>
          </cell>
          <cell r="G1397" t="str">
            <v>IFI</v>
          </cell>
        </row>
        <row r="1398">
          <cell r="A1398" t="str">
            <v>KHF-15-104133-MH-4033-00002-0001-2</v>
          </cell>
          <cell r="B1398" t="str">
            <v>KHF_AIP_D_EXT_00960</v>
          </cell>
          <cell r="C1398">
            <v>43493</v>
          </cell>
          <cell r="D1398" t="str">
            <v>KHF-15-104133-MH-4033-00002-0001</v>
          </cell>
          <cell r="E1398" t="str">
            <v>HVAC PIPING &amp; INSTRUMENTATION DIAGRAM - LAB BUILIDING</v>
          </cell>
          <cell r="F1398">
            <v>2</v>
          </cell>
          <cell r="G1398" t="str">
            <v>IFI</v>
          </cell>
        </row>
        <row r="1399">
          <cell r="A1399" t="str">
            <v>KHF-15-104133-MH-4311-00001-0001-3</v>
          </cell>
          <cell r="B1399" t="str">
            <v>KHF_AIP_D_EXT_00960</v>
          </cell>
          <cell r="C1399">
            <v>43493</v>
          </cell>
          <cell r="D1399" t="str">
            <v>KHF-15-104133-MH-4311-00001-0001</v>
          </cell>
          <cell r="E1399" t="str">
            <v>HVAC EQUIPMENT SCHEDULE - LAB BUILIDING</v>
          </cell>
          <cell r="F1399">
            <v>3</v>
          </cell>
          <cell r="G1399" t="str">
            <v>IFI</v>
          </cell>
        </row>
        <row r="1400">
          <cell r="A1400" t="str">
            <v>KHF-15-104133-MH-7180-00001-0000-2</v>
          </cell>
          <cell r="B1400" t="str">
            <v>KHF_AIP_D_EXT_00960</v>
          </cell>
          <cell r="C1400">
            <v>43493</v>
          </cell>
          <cell r="D1400" t="str">
            <v>KHF-15-104133-MH-7180-00001-0000</v>
          </cell>
          <cell r="E1400" t="str">
            <v>HVAC MATERIAL TAKE OFF -  LAB BUILIDING</v>
          </cell>
          <cell r="F1400">
            <v>2</v>
          </cell>
          <cell r="G1400" t="str">
            <v>IFI</v>
          </cell>
        </row>
        <row r="1401">
          <cell r="A1401" t="str">
            <v>KHF-15-104133-TA-0980-00001-0001-2</v>
          </cell>
          <cell r="B1401" t="str">
            <v>KHF_AIP_D_EXT_00960</v>
          </cell>
          <cell r="C1401">
            <v>43493</v>
          </cell>
          <cell r="D1401" t="str">
            <v>KHF-15-104133-TA-0980-00001-0001</v>
          </cell>
          <cell r="E1401" t="str">
            <v>BLOCK DIAGRAM- DATA NETWORK &amp; TELEPHONE SYSTEM</v>
          </cell>
          <cell r="F1401">
            <v>2</v>
          </cell>
          <cell r="G1401" t="str">
            <v>IFI</v>
          </cell>
        </row>
        <row r="1402">
          <cell r="A1402" t="str">
            <v>KHF-15-104133-TA-0980-00002-0001-2</v>
          </cell>
          <cell r="B1402" t="str">
            <v>KHF_AIP_D_EXT_00960</v>
          </cell>
          <cell r="C1402">
            <v>43493</v>
          </cell>
          <cell r="D1402" t="str">
            <v>KHF-15-104133-TA-0980-00002-0001</v>
          </cell>
          <cell r="E1402" t="str">
            <v>BLOCK DIAGRAM - FIBER OPTIC CABLE</v>
          </cell>
          <cell r="F1402">
            <v>2</v>
          </cell>
          <cell r="G1402" t="str">
            <v>IFI</v>
          </cell>
        </row>
        <row r="1403">
          <cell r="A1403" t="str">
            <v>KHF-15-104133-TA-4180-00001-0001-2</v>
          </cell>
          <cell r="B1403" t="str">
            <v>KHF_AIP_D_EXT_00960</v>
          </cell>
          <cell r="C1403">
            <v>43493</v>
          </cell>
          <cell r="D1403" t="str">
            <v>KHF-15-104133-TA-4180-00001-0001</v>
          </cell>
          <cell r="E1403" t="str">
            <v>INDOOR EQUIPMENT LAYOUT- LAB BUILDING</v>
          </cell>
          <cell r="F1403">
            <v>2</v>
          </cell>
          <cell r="G1403" t="str">
            <v>IFI</v>
          </cell>
        </row>
        <row r="1404">
          <cell r="A1404" t="str">
            <v>KHF-15-104133-TA-4180-00002-0001-2</v>
          </cell>
          <cell r="B1404" t="str">
            <v>KHF_AIP_D_EXT_00960</v>
          </cell>
          <cell r="C1404">
            <v>43493</v>
          </cell>
          <cell r="D1404" t="str">
            <v>KHF-15-104133-TA-4180-00002-0001</v>
          </cell>
          <cell r="E1404" t="str">
            <v>INDOOR CABLE ROUTING LAYOUT - LAB BUILDING</v>
          </cell>
          <cell r="F1404">
            <v>2</v>
          </cell>
          <cell r="G1404" t="str">
            <v>IFI</v>
          </cell>
        </row>
        <row r="1405">
          <cell r="A1405" t="str">
            <v>KHF-15-104133-TA-4308-00001-0000-2</v>
          </cell>
          <cell r="B1405" t="str">
            <v>KHF_AIP_D_EXT_00960</v>
          </cell>
          <cell r="C1405">
            <v>43493</v>
          </cell>
          <cell r="D1405" t="str">
            <v>KHF-15-104133-TA-4308-00001-0000</v>
          </cell>
          <cell r="E1405" t="str">
            <v>CABLE SCHEDULE</v>
          </cell>
          <cell r="F1405">
            <v>2</v>
          </cell>
          <cell r="G1405" t="str">
            <v>IFI</v>
          </cell>
        </row>
        <row r="1406">
          <cell r="A1406" t="str">
            <v>KHF-15-104133-TA-4380-00001-0000-2</v>
          </cell>
          <cell r="B1406" t="str">
            <v>KHF_AIP_D_EXT_00960</v>
          </cell>
          <cell r="C1406">
            <v>43493</v>
          </cell>
          <cell r="D1406" t="str">
            <v>KHF-15-104133-TA-4380-00001-0000</v>
          </cell>
          <cell r="E1406" t="str">
            <v>EQUIPMENT LIST</v>
          </cell>
          <cell r="F1406">
            <v>2</v>
          </cell>
          <cell r="G1406" t="str">
            <v>IFI</v>
          </cell>
        </row>
        <row r="1407">
          <cell r="A1407" t="str">
            <v>KHF-15-104133-VA-5793-00001-0000-4</v>
          </cell>
          <cell r="B1407" t="str">
            <v>KHF_AIP_D_EXT_00960</v>
          </cell>
          <cell r="C1407">
            <v>43493</v>
          </cell>
          <cell r="D1407" t="str">
            <v>KHF-15-104133-VA-5793-00001-0000</v>
          </cell>
          <cell r="E1407" t="str">
            <v>CONSTRUCTION SCOPE OF WORK FOR CONTRACTOR</v>
          </cell>
          <cell r="F1407">
            <v>4</v>
          </cell>
          <cell r="G1407" t="str">
            <v>IFI</v>
          </cell>
        </row>
        <row r="1408">
          <cell r="A1408" t="str">
            <v>KHF-35-104133-PX-2365-00006-0001-7</v>
          </cell>
          <cell r="B1408" t="str">
            <v>KHF_AIP_D_EXT_00961</v>
          </cell>
          <cell r="C1408">
            <v>43494</v>
          </cell>
          <cell r="D1408" t="str">
            <v>KHF-35-104133-PX-2365-00006-0001</v>
          </cell>
          <cell r="E1408" t="str">
            <v>PEFS FOR TREATED WATER EXPORT PIPELINE</v>
          </cell>
          <cell r="F1408">
            <v>7</v>
          </cell>
          <cell r="G1408" t="str">
            <v>IFI</v>
          </cell>
        </row>
        <row r="1409">
          <cell r="A1409" t="str">
            <v>YIB-09-104133-PX-2365-00002-0001-7</v>
          </cell>
          <cell r="B1409" t="str">
            <v>KHF_AIP_D_EXT_00961</v>
          </cell>
          <cell r="C1409">
            <v>43494</v>
          </cell>
          <cell r="D1409" t="str">
            <v>YIB-09-104133-PX-2365-00002-0001</v>
          </cell>
          <cell r="E1409" t="str">
            <v>PEFS YIBAL KHUFF WATER PIPELINE</v>
          </cell>
          <cell r="F1409">
            <v>7</v>
          </cell>
          <cell r="G1409" t="str">
            <v>IFI</v>
          </cell>
        </row>
        <row r="1410">
          <cell r="A1410" t="str">
            <v>KHF-00-104265-QA-5733-01305-0000-1</v>
          </cell>
          <cell r="B1410" t="str">
            <v>KHF_AIP_D_EXT_00962</v>
          </cell>
          <cell r="C1410">
            <v>43494</v>
          </cell>
          <cell r="D1410" t="str">
            <v>KHF-00-104265-QA-5733-01305-0000</v>
          </cell>
          <cell r="E1410" t="str">
            <v>ITP for the Installation of Gas Turbine Exhaust Bypass System</v>
          </cell>
          <cell r="F1410">
            <v>1</v>
          </cell>
          <cell r="G1410" t="str">
            <v>Code B</v>
          </cell>
        </row>
        <row r="1411">
          <cell r="A1411" t="str">
            <v>KHF-00-104265-QA-5733-01307-0000-1</v>
          </cell>
          <cell r="B1411" t="str">
            <v>KHF_AIP_D_EXT_00962</v>
          </cell>
          <cell r="C1411">
            <v>43494</v>
          </cell>
          <cell r="D1411" t="str">
            <v>KHF-00-104265-QA-5733-01307-0000</v>
          </cell>
          <cell r="E1411" t="str">
            <v>ITP for the Installation of Rotary Equipment</v>
          </cell>
          <cell r="F1411">
            <v>1</v>
          </cell>
          <cell r="G1411" t="str">
            <v>Code B</v>
          </cell>
        </row>
        <row r="1412">
          <cell r="A1412" t="str">
            <v>KHF-00-104133-IN-2105-02501-0000-7</v>
          </cell>
          <cell r="B1412" t="str">
            <v>KHF_AIP_D_EXT_00963</v>
          </cell>
          <cell r="C1412">
            <v>43494</v>
          </cell>
          <cell r="D1412" t="str">
            <v>KHF-00-104133-IN-2105-02501-0000</v>
          </cell>
          <cell r="E1412" t="str">
            <v>INSTRUMENT DATASHEET FOR IPF BALL VALVES - 8 INCH AND ABOVE</v>
          </cell>
          <cell r="F1412">
            <v>7</v>
          </cell>
          <cell r="G1412" t="str">
            <v>IFI</v>
          </cell>
        </row>
        <row r="1413">
          <cell r="A1413" t="str">
            <v>KHF-00-104133-IN-2105-02526-0000-9</v>
          </cell>
          <cell r="B1413" t="str">
            <v>KHF_AIP_D_EXT_00963</v>
          </cell>
          <cell r="C1413">
            <v>43494</v>
          </cell>
          <cell r="D1413" t="str">
            <v>KHF-00-104133-IN-2105-02526-0000</v>
          </cell>
          <cell r="E1413" t="str">
            <v>INSTRUMENT DATASHEET FOR ORIFICE ASSEMBLY &amp; RESTRICTION ORIFICE PLATE</v>
          </cell>
          <cell r="F1413">
            <v>9</v>
          </cell>
          <cell r="G1413" t="str">
            <v>IFI</v>
          </cell>
        </row>
        <row r="1414">
          <cell r="A1414" t="str">
            <v>KHF-00-104133-IN-2105-02545-0000-7</v>
          </cell>
          <cell r="B1414" t="str">
            <v>KHF_AIP_D_EXT_00963</v>
          </cell>
          <cell r="C1414">
            <v>43494</v>
          </cell>
          <cell r="D1414" t="str">
            <v>KHF-00-104133-IN-2105-02545-0000</v>
          </cell>
          <cell r="E1414" t="str">
            <v>INSTRUMENT DATASHEET FOR PRESSURE &amp; TEMP GAUGES</v>
          </cell>
          <cell r="F1414">
            <v>7</v>
          </cell>
          <cell r="G1414" t="str">
            <v>IFI</v>
          </cell>
        </row>
        <row r="1415">
          <cell r="A1415" t="str">
            <v>KHF-00-104133-IN-2105-02550-0000-7</v>
          </cell>
          <cell r="B1415" t="str">
            <v>KHF_AIP_D_EXT_00963</v>
          </cell>
          <cell r="C1415">
            <v>43494</v>
          </cell>
          <cell r="D1415" t="str">
            <v>KHF-00-104133-IN-2105-02550-0000</v>
          </cell>
          <cell r="E1415" t="str">
            <v>INSTRUMENT DATASHEET FOR F&amp;G INSTRUMENTS</v>
          </cell>
          <cell r="F1415">
            <v>7</v>
          </cell>
          <cell r="G1415" t="str">
            <v>IFI</v>
          </cell>
        </row>
        <row r="1416">
          <cell r="A1416" t="str">
            <v>KHF-00-104133-IN-2105-10001-0000-6</v>
          </cell>
          <cell r="B1416" t="str">
            <v>KHF_AIP_D_EXT_00963</v>
          </cell>
          <cell r="C1416">
            <v>43494</v>
          </cell>
          <cell r="D1416" t="str">
            <v>KHF-00-104133-IN-2105-10001-0000</v>
          </cell>
          <cell r="E1416" t="str">
            <v>INSTRUMENT DATASHEET FOR PRESSURE TX</v>
          </cell>
          <cell r="F1416">
            <v>6</v>
          </cell>
          <cell r="G1416" t="str">
            <v>IFI</v>
          </cell>
        </row>
        <row r="1417">
          <cell r="A1417" t="str">
            <v>KHF-00-104133-IN-2105-10002-0000-6</v>
          </cell>
          <cell r="B1417" t="str">
            <v>KHF_AIP_D_EXT_00963</v>
          </cell>
          <cell r="C1417">
            <v>43494</v>
          </cell>
          <cell r="D1417" t="str">
            <v>KHF-00-104133-IN-2105-10002-0000</v>
          </cell>
          <cell r="E1417" t="str">
            <v>INSTRUMENT DATASHEET FOR PRESSURE TX FF</v>
          </cell>
          <cell r="F1417">
            <v>6</v>
          </cell>
          <cell r="G1417" t="str">
            <v>IFI</v>
          </cell>
        </row>
        <row r="1418">
          <cell r="A1418" t="str">
            <v>KHF-00-104133-IN-2105-10003-0000-6</v>
          </cell>
          <cell r="B1418" t="str">
            <v>KHF_AIP_D_EXT_00963</v>
          </cell>
          <cell r="C1418">
            <v>43494</v>
          </cell>
          <cell r="D1418" t="str">
            <v>KHF-00-104133-IN-2105-10003-0000</v>
          </cell>
          <cell r="E1418" t="str">
            <v>INSTRUMENT DATASHEET FOR DP TX</v>
          </cell>
          <cell r="F1418">
            <v>6</v>
          </cell>
          <cell r="G1418" t="str">
            <v>IFI</v>
          </cell>
        </row>
        <row r="1419">
          <cell r="A1419" t="str">
            <v>KHF-00-104133-IN-2105-10011-0000-7</v>
          </cell>
          <cell r="B1419" t="str">
            <v>KHF_AIP_D_EXT_00963</v>
          </cell>
          <cell r="C1419">
            <v>43494</v>
          </cell>
          <cell r="D1419" t="str">
            <v>KHF-00-104133-IN-2105-10011-0000</v>
          </cell>
          <cell r="E1419" t="str">
            <v>INSTRUMENT DATASHEET FOR FF INDICATOR</v>
          </cell>
          <cell r="F1419">
            <v>7</v>
          </cell>
          <cell r="G1419" t="str">
            <v>IFI</v>
          </cell>
        </row>
        <row r="1420">
          <cell r="A1420" t="str">
            <v>KHF-00-104133-LA-2105-10036-0000-2</v>
          </cell>
          <cell r="B1420" t="str">
            <v>KHF_AIP_D_EXT_00963</v>
          </cell>
          <cell r="C1420">
            <v>43494</v>
          </cell>
          <cell r="D1420" t="str">
            <v>KHF-00-104133-LA-2105-10036-0000</v>
          </cell>
          <cell r="E1420" t="str">
            <v>INSTRUMENT DATASHEET-PIG SIGNALLER ( NON INTRUSIVE TYPE)</v>
          </cell>
          <cell r="F1420">
            <v>2</v>
          </cell>
          <cell r="G1420" t="str">
            <v>IFI</v>
          </cell>
        </row>
        <row r="1421">
          <cell r="A1421" t="str">
            <v>KHF-00-104133-MP-2105-00201-0000-4</v>
          </cell>
          <cell r="B1421" t="str">
            <v>KHF_AIP_D_EXT_00963</v>
          </cell>
          <cell r="C1421">
            <v>43494</v>
          </cell>
          <cell r="D1421" t="str">
            <v>KHF-00-104133-MP-2105-00201-0000</v>
          </cell>
          <cell r="E1421" t="str">
            <v>INSTRUMENT DATASHEET FOR SAFETY RELIEF VALVES</v>
          </cell>
          <cell r="F1421">
            <v>4</v>
          </cell>
          <cell r="G1421" t="str">
            <v>IFI</v>
          </cell>
        </row>
        <row r="1422">
          <cell r="A1422" t="str">
            <v>KHF-00-104133-PX-7180-00100-0000-1</v>
          </cell>
          <cell r="B1422" t="str">
            <v>KHF_AIP_D_EXT_00964</v>
          </cell>
          <cell r="C1422">
            <v>43495</v>
          </cell>
          <cell r="D1422" t="str">
            <v>KHF-00-104133-PX-7180-00100-0000</v>
          </cell>
          <cell r="E1422" t="str">
            <v>MASTER PEFS; UEFS AND LINE LIST</v>
          </cell>
          <cell r="F1422">
            <v>1</v>
          </cell>
          <cell r="G1422" t="str">
            <v>IFI</v>
          </cell>
        </row>
        <row r="1423">
          <cell r="A1423" t="str">
            <v>KHF-00-104265-AA-3341-00902-0000-1</v>
          </cell>
          <cell r="B1423" t="str">
            <v>KHF_AIP_D_EXT_00965</v>
          </cell>
          <cell r="C1423">
            <v>43495</v>
          </cell>
          <cell r="D1423" t="str">
            <v>KHF-00-104265-AA-3341-00902-0000</v>
          </cell>
          <cell r="E1423" t="str">
            <v>CV of Mr. Shabeer Kureshbabu - NDT Technician</v>
          </cell>
          <cell r="F1423">
            <v>1</v>
          </cell>
          <cell r="G1423" t="str">
            <v>Code C</v>
          </cell>
        </row>
        <row r="1424">
          <cell r="A1424" t="str">
            <v>KHF-00-104265-AA-3341-00903-0000-1</v>
          </cell>
          <cell r="B1424" t="str">
            <v>KHF_AIP_D_EXT_00965</v>
          </cell>
          <cell r="C1424">
            <v>43495</v>
          </cell>
          <cell r="D1424" t="str">
            <v>KHF-00-104265-AA-3341-00903-0000</v>
          </cell>
          <cell r="E1424" t="str">
            <v>CV of Mr. Nandhu Sugathan - NDT Technician</v>
          </cell>
          <cell r="F1424">
            <v>1</v>
          </cell>
          <cell r="G1424" t="str">
            <v>Code C</v>
          </cell>
        </row>
        <row r="1425">
          <cell r="A1425" t="str">
            <v>KHF-00-104265-RA-6038-00906-0000-2</v>
          </cell>
          <cell r="B1425" t="str">
            <v>KHF_AIP_D_EXT_00966</v>
          </cell>
          <cell r="C1425">
            <v>43495</v>
          </cell>
          <cell r="D1425" t="str">
            <v>KHF-00-104265-RA-6038-00906-0000</v>
          </cell>
          <cell r="E1425" t="str">
            <v>Procedure for Post Weld Heat Treatment</v>
          </cell>
          <cell r="F1425">
            <v>2</v>
          </cell>
          <cell r="G1425" t="str">
            <v>Code B</v>
          </cell>
        </row>
        <row r="1426">
          <cell r="A1426" t="str">
            <v>KHF-00-104265-RA-6038-00907-0000-2</v>
          </cell>
          <cell r="B1426" t="str">
            <v>KHF_AIP_D_EXT_00966</v>
          </cell>
          <cell r="C1426">
            <v>43495</v>
          </cell>
          <cell r="D1426" t="str">
            <v>KHF-00-104265-RA-6038-00907-0000</v>
          </cell>
          <cell r="E1426" t="str">
            <v>Procedure for Positive Material Identification Using Optical Emission Spectrometer &amp; XRF Methods</v>
          </cell>
          <cell r="F1426">
            <v>2</v>
          </cell>
          <cell r="G1426" t="str">
            <v>Code A</v>
          </cell>
        </row>
        <row r="1427">
          <cell r="A1427" t="str">
            <v>KHF-00-104265-RA-6038-00908-0000-2</v>
          </cell>
          <cell r="B1427" t="str">
            <v>KHF_AIP_D_EXT_00966</v>
          </cell>
          <cell r="C1427">
            <v>43495</v>
          </cell>
          <cell r="D1427" t="str">
            <v>KHF-00-104265-RA-6038-00908-0000</v>
          </cell>
          <cell r="E1427" t="str">
            <v>Procedure for Hardness Testing</v>
          </cell>
          <cell r="F1427">
            <v>2</v>
          </cell>
          <cell r="G1427" t="str">
            <v>Code A</v>
          </cell>
        </row>
        <row r="1428">
          <cell r="A1428" t="str">
            <v>KHF-00-104265-RA-6038-00909-0000-2</v>
          </cell>
          <cell r="B1428" t="str">
            <v>KHF_AIP_D_EXT_00966</v>
          </cell>
          <cell r="C1428">
            <v>43495</v>
          </cell>
          <cell r="D1428" t="str">
            <v>KHF-00-104265-RA-6038-00909-0000</v>
          </cell>
          <cell r="E1428" t="str">
            <v>Procedure for Ferrite Content Measurement</v>
          </cell>
          <cell r="F1428">
            <v>2</v>
          </cell>
          <cell r="G1428" t="str">
            <v>Code A</v>
          </cell>
        </row>
        <row r="1429">
          <cell r="A1429" t="str">
            <v>KHF-00-000000-MP-4368-00001-0000-1</v>
          </cell>
          <cell r="B1429" t="str">
            <v>KHF_AIP_D_EXT_00967</v>
          </cell>
          <cell r="C1429">
            <v>43496</v>
          </cell>
          <cell r="D1429" t="str">
            <v>KHF-00-000000-MP-4368-00001-0000</v>
          </cell>
          <cell r="E1429" t="str">
            <v>Valve testing identification and mark-up - OFF-PLOT and PP</v>
          </cell>
          <cell r="F1429">
            <v>1</v>
          </cell>
          <cell r="G1429" t="str">
            <v>IFI</v>
          </cell>
        </row>
        <row r="1430">
          <cell r="A1430" t="str">
            <v>KHF-00-104265-QA-5733-01304-0000-1</v>
          </cell>
          <cell r="B1430" t="str">
            <v>KHF_AIP_D_EXT_00968</v>
          </cell>
          <cell r="C1430">
            <v>43496</v>
          </cell>
          <cell r="D1430" t="str">
            <v>KHF-00-104265-QA-5733-01304-0000</v>
          </cell>
          <cell r="E1430" t="str">
            <v>ITP for Installation of FIN Fan Cooler</v>
          </cell>
          <cell r="F1430">
            <v>1</v>
          </cell>
          <cell r="G1430" t="str">
            <v>Code B</v>
          </cell>
        </row>
        <row r="1431">
          <cell r="A1431" t="str">
            <v>KHF-00-104265-QA-5733-01306-0000-1</v>
          </cell>
          <cell r="B1431" t="str">
            <v>KHF_AIP_D_EXT_00968</v>
          </cell>
          <cell r="C1431">
            <v>43496</v>
          </cell>
          <cell r="D1431" t="str">
            <v>KHF-00-104265-QA-5733-01306-0000</v>
          </cell>
          <cell r="E1431" t="str">
            <v>ITP for the Installation of HRSG Main Stack</v>
          </cell>
          <cell r="F1431">
            <v>1</v>
          </cell>
          <cell r="G1431" t="str">
            <v>Code B</v>
          </cell>
        </row>
        <row r="1432">
          <cell r="A1432" t="str">
            <v>KHF-00-104265-QA-5733-01308-0000-1</v>
          </cell>
          <cell r="B1432" t="str">
            <v>KHF_AIP_D_EXT_00968</v>
          </cell>
          <cell r="C1432">
            <v>43496</v>
          </cell>
          <cell r="D1432" t="str">
            <v>KHF-00-104265-QA-5733-01308-0000</v>
          </cell>
          <cell r="E1432" t="str">
            <v>ITP for the Static Equipment &amp; Skid Installation</v>
          </cell>
          <cell r="F1432">
            <v>1</v>
          </cell>
          <cell r="G1432" t="str">
            <v>Code B</v>
          </cell>
        </row>
        <row r="1433">
          <cell r="A1433" t="str">
            <v>KHF-00-104265-AA-3341-60135-0000-1</v>
          </cell>
          <cell r="B1433" t="str">
            <v>KHF_AIP_D_EXT_00969</v>
          </cell>
          <cell r="C1433">
            <v>43496</v>
          </cell>
          <cell r="D1433" t="str">
            <v>KHF-00-104265-AA-3341-60135-0000</v>
          </cell>
          <cell r="E1433" t="str">
            <v>CV of Mr. Ananta Kumar. Madabattula-Safety Supervisor</v>
          </cell>
          <cell r="F1433">
            <v>1</v>
          </cell>
          <cell r="G1433" t="str">
            <v>Code A</v>
          </cell>
        </row>
        <row r="1434">
          <cell r="A1434" t="str">
            <v>KHF-00-104265-BA-6070-42014-0000-1</v>
          </cell>
          <cell r="B1434" t="str">
            <v>KHF_AIP_D_EXT_00970</v>
          </cell>
          <cell r="C1434">
            <v>43500</v>
          </cell>
          <cell r="D1434" t="str">
            <v>KHF-00-104265-BA-6070-42014-0000</v>
          </cell>
          <cell r="E1434" t="str">
            <v>METHOD STATEMENT FOR SCAFFOLDING ERECTION</v>
          </cell>
          <cell r="F1434">
            <v>1</v>
          </cell>
          <cell r="G1434" t="str">
            <v>Code B</v>
          </cell>
        </row>
        <row r="1435">
          <cell r="A1435" t="str">
            <v>KHF-00-104265-QA-5733-01303-0000-1</v>
          </cell>
          <cell r="B1435" t="str">
            <v>KHF_AIP_D_EXT_00971</v>
          </cell>
          <cell r="C1435">
            <v>43500</v>
          </cell>
          <cell r="D1435" t="str">
            <v>KHF-00-104265-QA-5733-01303-0000</v>
          </cell>
          <cell r="E1435" t="str">
            <v>ITP for Surface Preparation and Touch up Painting of Field Weld</v>
          </cell>
          <cell r="F1435">
            <v>1</v>
          </cell>
          <cell r="G1435" t="str">
            <v>Code B</v>
          </cell>
        </row>
        <row r="1436">
          <cell r="A1436" t="str">
            <v>KHF-00-104265-QA-5733-21006-0000-3</v>
          </cell>
          <cell r="B1436" t="str">
            <v>KHF_AIP_D_EXT_00972</v>
          </cell>
          <cell r="C1436">
            <v>43500</v>
          </cell>
          <cell r="D1436" t="str">
            <v>KHF-00-104265-QA-5733-21006-0000</v>
          </cell>
          <cell r="E1436" t="str">
            <v>Inspection Test Plan for Concrete Works</v>
          </cell>
          <cell r="F1436">
            <v>3</v>
          </cell>
          <cell r="G1436" t="str">
            <v>Code A</v>
          </cell>
        </row>
        <row r="1437">
          <cell r="A1437" t="str">
            <v>KHF-00-104265-RA-8241-51154-0000-1</v>
          </cell>
          <cell r="B1437" t="str">
            <v>KHF_AIP_D_EXT_00973</v>
          </cell>
          <cell r="C1437">
            <v>43500</v>
          </cell>
          <cell r="D1437" t="str">
            <v>KHF-00-104265-RA-8241-51154-0000</v>
          </cell>
          <cell r="E1437" t="str">
            <v>MATERIAL APPROVAL SHEET FOR HILTI GALVANISED BOLTS / NUTS / WASHER AND ANCHOR FASTENER</v>
          </cell>
          <cell r="F1437">
            <v>1</v>
          </cell>
          <cell r="G1437" t="str">
            <v>Code A</v>
          </cell>
        </row>
        <row r="1438">
          <cell r="A1438" t="str">
            <v>KHF-00-104265-RA-8241-51168-0000-1</v>
          </cell>
          <cell r="B1438" t="str">
            <v>KHF_AIP_D_EXT_00974</v>
          </cell>
          <cell r="C1438">
            <v>43500</v>
          </cell>
          <cell r="D1438" t="str">
            <v>KHF-00-104265-RA-8241-51168-0000</v>
          </cell>
          <cell r="E1438" t="str">
            <v>MATERIAL APPROVAL SHEET FOR GIC TILE GROUT FOR ROOF TILES</v>
          </cell>
          <cell r="F1438">
            <v>1</v>
          </cell>
          <cell r="G1438" t="str">
            <v>Code A</v>
          </cell>
        </row>
        <row r="1439">
          <cell r="A1439" t="str">
            <v>KHF-00-104265-RA-8241-51169-0000-1</v>
          </cell>
          <cell r="B1439" t="str">
            <v>KHF_AIP_D_EXT_00975</v>
          </cell>
          <cell r="C1439">
            <v>43500</v>
          </cell>
          <cell r="D1439" t="str">
            <v>KHF-00-104265-RA-8241-51169-0000</v>
          </cell>
          <cell r="E1439" t="str">
            <v>Material Approval Sheet for (F-7) Non Slip Granolithic Flooring for Substation Building (External Corridor /Steps)</v>
          </cell>
          <cell r="F1439">
            <v>1</v>
          </cell>
          <cell r="G1439" t="str">
            <v>Code C</v>
          </cell>
        </row>
        <row r="1440">
          <cell r="A1440" t="str">
            <v>KHF-00-104265-QA-5733-22014-0000-2</v>
          </cell>
          <cell r="B1440" t="str">
            <v>KHF_AIP_D_EXT_00976</v>
          </cell>
          <cell r="C1440">
            <v>43501</v>
          </cell>
          <cell r="D1440" t="str">
            <v>KHF-00-104265-QA-5733-22014-0000</v>
          </cell>
          <cell r="E1440" t="str">
            <v>Inspection Test Plan for Pipeline Valve Hydro Testing</v>
          </cell>
          <cell r="F1440">
            <v>2</v>
          </cell>
          <cell r="G1440" t="str">
            <v>Code B</v>
          </cell>
        </row>
        <row r="1441">
          <cell r="A1441" t="str">
            <v>KHF-00-104265-RA-8241-51021-0000-2</v>
          </cell>
          <cell r="B1441" t="str">
            <v>KHF_AIP_D_EXT_00977</v>
          </cell>
          <cell r="C1441">
            <v>43501</v>
          </cell>
          <cell r="D1441" t="str">
            <v>KHF-00-104265-RA-8241-51021-0000</v>
          </cell>
          <cell r="E1441" t="str">
            <v>MATERIAL APPROVAL SHEET FOR NON-SHRINK CEMENTITIOUS GROUT</v>
          </cell>
          <cell r="F1441">
            <v>2</v>
          </cell>
          <cell r="G1441" t="str">
            <v>Code C</v>
          </cell>
        </row>
        <row r="1442">
          <cell r="A1442" t="str">
            <v>KHF-00-104265-RA-8241-51068-0000-2</v>
          </cell>
          <cell r="B1442" t="str">
            <v>KHF_AIP_D_EXT_00978</v>
          </cell>
          <cell r="C1442">
            <v>43501</v>
          </cell>
          <cell r="D1442" t="str">
            <v>KHF-00-104265-RA-8241-51068-0000</v>
          </cell>
          <cell r="E1442" t="str">
            <v>MATERIAL APPROVAL SHEET FOR FOUNDATION GROUTING MATERIAL ( EPOXY &amp; CEMETITIOUS )</v>
          </cell>
          <cell r="F1442">
            <v>2</v>
          </cell>
          <cell r="G1442" t="str">
            <v>Code C</v>
          </cell>
        </row>
        <row r="1443">
          <cell r="A1443" t="str">
            <v>---</v>
          </cell>
          <cell r="B1443" t="str">
            <v>KHF_AIP_D_EXT_00979</v>
          </cell>
          <cell r="C1443">
            <v>43501</v>
          </cell>
          <cell r="D1443" t="str">
            <v>-</v>
          </cell>
          <cell r="E1443" t="str">
            <v>AFC Drawings</v>
          </cell>
          <cell r="F1443" t="str">
            <v>-</v>
          </cell>
          <cell r="G1443" t="str">
            <v>Total 18 drawings</v>
          </cell>
        </row>
        <row r="1444">
          <cell r="A1444" t="str">
            <v>KHF-00-104265-AA-3341-60136-0000-1</v>
          </cell>
          <cell r="B1444" t="str">
            <v>KHF_AIP_D_EXT_00980</v>
          </cell>
          <cell r="C1444">
            <v>43503</v>
          </cell>
          <cell r="D1444" t="str">
            <v>KHF-00-104265-AA-3341-60136-0000</v>
          </cell>
          <cell r="E1444" t="str">
            <v>CV OF MR.SAMUEL GILBERT - QA/QC INSPECTOR - ROTATING  EQUIPMENT</v>
          </cell>
          <cell r="F1444">
            <v>1</v>
          </cell>
          <cell r="G1444" t="str">
            <v>Code A</v>
          </cell>
        </row>
        <row r="1445">
          <cell r="A1445" t="str">
            <v>KHF-00-104133-CI-4018-00012-0001-2</v>
          </cell>
          <cell r="B1445" t="str">
            <v>KHF_AIP_D_EXT_00981</v>
          </cell>
          <cell r="C1445">
            <v>43506</v>
          </cell>
          <cell r="D1445" t="str">
            <v>KHF-00-104133-CI-4018-00012-0001</v>
          </cell>
          <cell r="E1445" t="str">
            <v>STANDARD DRAWING OF SEPTIC TANK</v>
          </cell>
          <cell r="F1445">
            <v>2</v>
          </cell>
          <cell r="G1445" t="str">
            <v>IFI</v>
          </cell>
        </row>
        <row r="1446">
          <cell r="A1446" t="str">
            <v>KHF-00-104133-CI-4018-00013-0001-3</v>
          </cell>
          <cell r="B1446" t="str">
            <v>KHF_AIP_D_EXT_00981</v>
          </cell>
          <cell r="C1446">
            <v>43506</v>
          </cell>
          <cell r="D1446" t="str">
            <v>KHF-00-104133-CI-4018-00013-0001</v>
          </cell>
          <cell r="E1446" t="str">
            <v>STANDARD DRAWING OF SOAKWAY PIT</v>
          </cell>
          <cell r="F1446">
            <v>3</v>
          </cell>
          <cell r="G1446" t="str">
            <v>IFI</v>
          </cell>
        </row>
        <row r="1447">
          <cell r="A1447" t="str">
            <v>KHF-00-104265-BA-6070-41015-0000-1</v>
          </cell>
          <cell r="B1447" t="str">
            <v>KHF_AIP_D_EXT_00982</v>
          </cell>
          <cell r="C1447">
            <v>43506</v>
          </cell>
          <cell r="D1447" t="str">
            <v>KHF-00-104265-BA-6070-41015-0000</v>
          </cell>
          <cell r="E1447" t="str">
            <v>METHOD STATEMENT FOR FOUNDATION BOLT ELEVATION LEVELLING RECTIFICATION</v>
          </cell>
          <cell r="F1447">
            <v>1</v>
          </cell>
          <cell r="G1447" t="str">
            <v>Code C</v>
          </cell>
        </row>
        <row r="1448">
          <cell r="A1448" t="str">
            <v>KHF-00-104265-LA-5009-00123-0000-1</v>
          </cell>
          <cell r="B1448" t="str">
            <v>KHF_AIP_D_EXT_00983</v>
          </cell>
          <cell r="C1448">
            <v>43506</v>
          </cell>
          <cell r="D1448" t="str">
            <v>KHF-00-104265-LA-5009-00123-0000</v>
          </cell>
          <cell r="E1448" t="str">
            <v>Material Approval Sheet (MAS) for Pipeline Market Post Installation for all Pipelines</v>
          </cell>
          <cell r="F1448">
            <v>1</v>
          </cell>
          <cell r="G1448" t="str">
            <v>Code B</v>
          </cell>
        </row>
        <row r="1449">
          <cell r="A1449" t="str">
            <v>KHF-00-104265-QA-6050-00118-0000-1</v>
          </cell>
          <cell r="B1449" t="str">
            <v>KHF_AIP_D_EXT_00984</v>
          </cell>
          <cell r="C1449">
            <v>43506</v>
          </cell>
          <cell r="D1449" t="str">
            <v>KHF-00-104265-QA-6050-00118-0000</v>
          </cell>
          <cell r="E1449" t="str">
            <v>QUALITY CONTROL PLAN FOR PAINTING PCS-06 SYSTEM  (For Pipeline Marker Post External Painting)</v>
          </cell>
          <cell r="F1449">
            <v>1</v>
          </cell>
          <cell r="G1449" t="str">
            <v>Code B</v>
          </cell>
        </row>
        <row r="1450">
          <cell r="A1450" t="str">
            <v>KHF-00-104265-RA-8241-01201-0000-1</v>
          </cell>
          <cell r="B1450" t="str">
            <v>KHF_AIP_D_EXT_00985</v>
          </cell>
          <cell r="C1450">
            <v>43506</v>
          </cell>
          <cell r="D1450" t="str">
            <v>KHF-00-104265-RA-8241-01201-0000</v>
          </cell>
          <cell r="E1450" t="str">
            <v>Material Approval Sheet for Precast Manufacturer-Al Tasnim Precast</v>
          </cell>
          <cell r="F1450">
            <v>1</v>
          </cell>
          <cell r="G1450" t="str">
            <v>Code B</v>
          </cell>
        </row>
        <row r="1451">
          <cell r="A1451" t="str">
            <v>KHF-00-104265-RA-8241-51177-0000-1</v>
          </cell>
          <cell r="B1451" t="str">
            <v>KHF_AIP_D_EXT_00986</v>
          </cell>
          <cell r="C1451">
            <v>43506</v>
          </cell>
          <cell r="D1451" t="str">
            <v>KHF-00-104265-RA-8241-51177-0000</v>
          </cell>
          <cell r="E1451" t="str">
            <v>MATERIAL APPROVAL SHEET FOR SILICONE (CSL 533) AT GTG DRAIN POCKET</v>
          </cell>
          <cell r="F1451">
            <v>1</v>
          </cell>
          <cell r="G1451" t="str">
            <v>Code A</v>
          </cell>
        </row>
        <row r="1452">
          <cell r="A1452" t="str">
            <v>KHF-00-104265-AA-3341-60127-0000-1</v>
          </cell>
          <cell r="B1452" t="str">
            <v>KHF_AIP_D_EXT_00987</v>
          </cell>
          <cell r="C1452">
            <v>43507</v>
          </cell>
          <cell r="D1452" t="str">
            <v>KHF-00-104265-AA-3341-60127-0000</v>
          </cell>
          <cell r="E1452" t="str">
            <v>CV OF MR. KARMJIT SINGH - QCI CIVIL</v>
          </cell>
          <cell r="F1452">
            <v>1</v>
          </cell>
          <cell r="G1452" t="str">
            <v>Code C</v>
          </cell>
        </row>
        <row r="1453">
          <cell r="A1453" t="str">
            <v>KHF-00-104265-AA-6944-10065-0000-1</v>
          </cell>
          <cell r="B1453" t="str">
            <v>KHF_AIP_D_EXT_00988</v>
          </cell>
          <cell r="C1453">
            <v>43507</v>
          </cell>
          <cell r="D1453" t="str">
            <v>KHF-00-104265-AA-6944-10065-0000</v>
          </cell>
          <cell r="E1453" t="str">
            <v>WEEKLY PROGRESS REPORT NO.065</v>
          </cell>
          <cell r="F1453">
            <v>1</v>
          </cell>
          <cell r="G1453" t="str">
            <v>Code D</v>
          </cell>
        </row>
        <row r="1454">
          <cell r="A1454" t="str">
            <v>KHF-00-104265-AA-6944-10066-0000-1</v>
          </cell>
          <cell r="B1454" t="str">
            <v>KHF_AIP_D_EXT_00989</v>
          </cell>
          <cell r="C1454">
            <v>43507</v>
          </cell>
          <cell r="D1454" t="str">
            <v>KHF-00-104265-AA-6944-10066-0000</v>
          </cell>
          <cell r="E1454" t="str">
            <v>WEEKLY PROGRESS REPORT NO.066</v>
          </cell>
          <cell r="F1454">
            <v>1</v>
          </cell>
          <cell r="G1454" t="str">
            <v>Code D</v>
          </cell>
        </row>
        <row r="1455">
          <cell r="A1455" t="str">
            <v>KHF-00-104265-HX-6180-10045-0000-1</v>
          </cell>
          <cell r="B1455" t="str">
            <v>KHF_AIP_D_EXT_00990</v>
          </cell>
          <cell r="C1455">
            <v>43507</v>
          </cell>
          <cell r="D1455" t="str">
            <v>KHF-00-104265-HX-6180-10045-0000</v>
          </cell>
          <cell r="E1455" t="str">
            <v>METHOD STATEMENT FOR UNDERTAKING NIGHT WORKING FOR CIVIL WORKS OF GTG BUILDING</v>
          </cell>
          <cell r="F1455">
            <v>1</v>
          </cell>
          <cell r="G1455" t="str">
            <v>Code D</v>
          </cell>
        </row>
        <row r="1456">
          <cell r="A1456" t="str">
            <v>KHF-00-104265-QA-5733-01304-0000-2</v>
          </cell>
          <cell r="B1456" t="str">
            <v>KHF_AIP_D_EXT_00991</v>
          </cell>
          <cell r="C1456">
            <v>43507</v>
          </cell>
          <cell r="D1456" t="str">
            <v>KHF-00-104265-QA-5733-01304-0000</v>
          </cell>
          <cell r="E1456" t="str">
            <v>ITP FOR INSTALLATION OF FIN FAN COOLER (MECHANICAL WORKS)</v>
          </cell>
          <cell r="F1456">
            <v>2</v>
          </cell>
          <cell r="G1456" t="str">
            <v>Code A</v>
          </cell>
        </row>
        <row r="1457">
          <cell r="A1457" t="str">
            <v>KHF-00-104265-QA-5733-01306-0000-2</v>
          </cell>
          <cell r="B1457" t="str">
            <v>KHF_AIP_D_EXT_00991</v>
          </cell>
          <cell r="C1457">
            <v>43507</v>
          </cell>
          <cell r="D1457" t="str">
            <v>KHF-00-104265-QA-5733-01306-0000</v>
          </cell>
          <cell r="E1457" t="str">
            <v>ITP FOR INSTALLATION OF HRSG  MAIN  STACK INSTALLATION (MECHANICAL WORKS)</v>
          </cell>
          <cell r="F1457">
            <v>2</v>
          </cell>
          <cell r="G1457" t="str">
            <v>Code A</v>
          </cell>
        </row>
        <row r="1458">
          <cell r="A1458" t="str">
            <v>KHF-00-104265-QA-5733-01307-0000-2</v>
          </cell>
          <cell r="B1458" t="str">
            <v>KHF_AIP_D_EXT_00991</v>
          </cell>
          <cell r="C1458">
            <v>43507</v>
          </cell>
          <cell r="D1458" t="str">
            <v>KHF-00-104265-QA-5733-01307-0000</v>
          </cell>
          <cell r="E1458" t="str">
            <v>ITP FOR MECHANICAL INSTALLATION OF ROTARY EQUIPMENT (PUMP)</v>
          </cell>
          <cell r="F1458">
            <v>2</v>
          </cell>
          <cell r="G1458" t="str">
            <v>Code A</v>
          </cell>
        </row>
        <row r="1459">
          <cell r="A1459" t="str">
            <v>KHF-00-104265-QA-5733-01308-0000-2</v>
          </cell>
          <cell r="B1459" t="str">
            <v>KHF_AIP_D_EXT_00991</v>
          </cell>
          <cell r="C1459">
            <v>43507</v>
          </cell>
          <cell r="D1459" t="str">
            <v>KHF-00-104265-QA-5733-01308-0000</v>
          </cell>
          <cell r="E1459" t="str">
            <v>ITP FOR INSTALLATION OFSTATIC EQUIPMENT &amp; SKID (MECHANICAL WORKS)</v>
          </cell>
          <cell r="F1459">
            <v>2</v>
          </cell>
          <cell r="G1459" t="str">
            <v>Code A</v>
          </cell>
        </row>
        <row r="1460">
          <cell r="A1460" t="str">
            <v>KHF-00-104265-QA-5733-01401-0000-1</v>
          </cell>
          <cell r="B1460" t="str">
            <v>KHF_AIP_D_EXT_00992</v>
          </cell>
          <cell r="C1460">
            <v>43507</v>
          </cell>
          <cell r="D1460" t="str">
            <v>KHF-00-104265-QA-5733-01401-0000</v>
          </cell>
          <cell r="E1460" t="str">
            <v>INSPECTION AND TEST PLAN FOR THE APPLICATION OF FBE COATING TO THE INTERNAL SURFACE OF INDIVIDUAL FITTINGS AND SPOOL PIECES</v>
          </cell>
          <cell r="F1460">
            <v>1</v>
          </cell>
          <cell r="G1460" t="str">
            <v>Code A</v>
          </cell>
        </row>
        <row r="1461">
          <cell r="A1461" t="str">
            <v>KHF-00-104265-QA-6050-00102-0000-6</v>
          </cell>
          <cell r="B1461" t="str">
            <v>KHF_AIP_D_EXT_00993</v>
          </cell>
          <cell r="C1461">
            <v>43507</v>
          </cell>
          <cell r="D1461" t="str">
            <v>KHF-00-104265-QA-6050-00102-0000</v>
          </cell>
          <cell r="E1461" t="str">
            <v>Quality Control Plan for Earth works</v>
          </cell>
          <cell r="F1461">
            <v>6</v>
          </cell>
          <cell r="G1461" t="str">
            <v>Code A</v>
          </cell>
        </row>
        <row r="1462">
          <cell r="A1462" t="str">
            <v>KHF-00-104265-RA-8241-51175-0000-1</v>
          </cell>
          <cell r="B1462" t="str">
            <v>KHF_AIP_D_EXT_00994</v>
          </cell>
          <cell r="C1462">
            <v>43507</v>
          </cell>
          <cell r="D1462" t="str">
            <v>KHF-00-104265-RA-8241-51175-0000</v>
          </cell>
          <cell r="E1462" t="str">
            <v>MATERIAL APPROVAL SHEET FOR STUD ANCHOR</v>
          </cell>
          <cell r="F1462">
            <v>1</v>
          </cell>
          <cell r="G1462" t="str">
            <v>Code A</v>
          </cell>
        </row>
        <row r="1463">
          <cell r="A1463" t="str">
            <v>KHF-23-000000-AA-7180-00001-0000-1</v>
          </cell>
          <cell r="B1463" t="str">
            <v>KHF_AIP_D_EXT_00995</v>
          </cell>
          <cell r="C1463">
            <v>43507</v>
          </cell>
          <cell r="D1463" t="str">
            <v>KHF-23-000000-AA-7180-00001-0000</v>
          </cell>
          <cell r="E1463" t="str">
            <v>GE GTG Vendor Document List</v>
          </cell>
          <cell r="F1463">
            <v>1</v>
          </cell>
          <cell r="G1463" t="str">
            <v>IFI</v>
          </cell>
        </row>
        <row r="1464">
          <cell r="A1464" t="str">
            <v>KHF-00-104265-BA-6065-50006-0000-2</v>
          </cell>
          <cell r="B1464" t="str">
            <v>KHF_AIP_D_EXT_00996</v>
          </cell>
          <cell r="C1464">
            <v>43508</v>
          </cell>
          <cell r="D1464" t="str">
            <v>KHF-00-104265-BA-6065-50006-0000</v>
          </cell>
          <cell r="E1464" t="str">
            <v>WPS - Pipe to Weldolet - Pipeline PL-5 (AIP-WPS-PL-005)</v>
          </cell>
          <cell r="F1464">
            <v>2</v>
          </cell>
          <cell r="G1464" t="str">
            <v>Code B</v>
          </cell>
        </row>
        <row r="1465">
          <cell r="A1465" t="str">
            <v>KHF-00-104265-RA-8241-51172-0000-1</v>
          </cell>
          <cell r="B1465" t="str">
            <v>KHF_AIP_D_EXT_00997</v>
          </cell>
          <cell r="C1465">
            <v>43508</v>
          </cell>
          <cell r="D1465" t="str">
            <v>KHF-00-104265-RA-8241-51172-0000</v>
          </cell>
          <cell r="E1465" t="str">
            <v>Material Approval Sheet for Water Heater &amp; Accessories</v>
          </cell>
          <cell r="F1465">
            <v>1</v>
          </cell>
          <cell r="G1465" t="str">
            <v>Code B</v>
          </cell>
        </row>
        <row r="1466">
          <cell r="A1466" t="str">
            <v>KHF-00-104265-RA-8241-51176-0000-1</v>
          </cell>
          <cell r="B1466" t="str">
            <v>KHF_AIP_D_EXT_00998</v>
          </cell>
          <cell r="C1466">
            <v>43508</v>
          </cell>
          <cell r="D1466" t="str">
            <v>KHF-00-104265-RA-8241-51176-0000</v>
          </cell>
          <cell r="E1466" t="str">
            <v>Material Approval Sheet Cementitious Waterproof Coating (Polyflex)</v>
          </cell>
          <cell r="F1466">
            <v>1</v>
          </cell>
          <cell r="G1466" t="str">
            <v>Code C</v>
          </cell>
        </row>
        <row r="1467">
          <cell r="A1467" t="str">
            <v>KHF-00-104265-AA-3341-60108-0000-2</v>
          </cell>
          <cell r="B1467" t="str">
            <v>KHF_AIP_D_EXT_00999</v>
          </cell>
          <cell r="C1467">
            <v>43509</v>
          </cell>
          <cell r="D1467" t="str">
            <v>KHF-00-104265-AA-3341-60108-0000</v>
          </cell>
          <cell r="E1467" t="str">
            <v>CV OF MR.CHERAN SOLLIN SELVAN - HSE ADVISOR</v>
          </cell>
          <cell r="F1467">
            <v>2</v>
          </cell>
          <cell r="G1467" t="str">
            <v>Code A</v>
          </cell>
        </row>
        <row r="1468">
          <cell r="A1468" t="str">
            <v>KHF-00-104265-AA-3341-60114-0000-2</v>
          </cell>
          <cell r="B1468" t="str">
            <v>KHF_AIP_D_EXT_00999</v>
          </cell>
          <cell r="C1468">
            <v>43509</v>
          </cell>
          <cell r="D1468" t="str">
            <v>KHF-00-104265-AA-3341-60114-0000</v>
          </cell>
          <cell r="E1468" t="str">
            <v>CV OF MR. RONALDO MOSUELA TAYAM - HSE ADVIDOR</v>
          </cell>
          <cell r="F1468">
            <v>2</v>
          </cell>
          <cell r="G1468" t="str">
            <v>Code A</v>
          </cell>
        </row>
        <row r="1469">
          <cell r="A1469" t="str">
            <v>KHF-00-104265-BA-6065-00640-0000-2</v>
          </cell>
          <cell r="B1469" t="str">
            <v>KHF_AIP_D_EXT_01000</v>
          </cell>
          <cell r="C1469">
            <v>43509</v>
          </cell>
          <cell r="D1469" t="str">
            <v>KHF-00-104265-BA-6065-00640-0000</v>
          </cell>
          <cell r="E1469" t="str">
            <v>Welding Procedure Specification (WPS)PQR-040 With CRS (AI-WPS-T-704)</v>
          </cell>
          <cell r="F1469">
            <v>2</v>
          </cell>
          <cell r="G1469" t="str">
            <v>Code A</v>
          </cell>
        </row>
        <row r="1470">
          <cell r="A1470" t="str">
            <v>KHF-00-104265-BA-6065-00645-0000-2</v>
          </cell>
          <cell r="B1470" t="str">
            <v>KHF_AIP_D_EXT_01001</v>
          </cell>
          <cell r="C1470">
            <v>43509</v>
          </cell>
          <cell r="D1470" t="str">
            <v>KHF-00-104265-BA-6065-00645-0000</v>
          </cell>
          <cell r="E1470" t="str">
            <v>Welding Procedure Specification (WPS) / PQR-045 (AIM-WPS-TM-710 (825 # 625)</v>
          </cell>
          <cell r="F1470">
            <v>2</v>
          </cell>
          <cell r="G1470" t="str">
            <v>Code A</v>
          </cell>
        </row>
        <row r="1471">
          <cell r="A1471" t="str">
            <v>KHF-00-104265-BA-6065-00701-0000-1</v>
          </cell>
          <cell r="B1471" t="str">
            <v>KHF_AIP_D_EXT_01002</v>
          </cell>
          <cell r="C1471">
            <v>43509</v>
          </cell>
          <cell r="D1471" t="str">
            <v>KHF-00-104265-BA-6065-00701-0000</v>
          </cell>
          <cell r="E1471" t="str">
            <v>Welding Procedure Register (WPSR) - 825 # 625</v>
          </cell>
          <cell r="F1471">
            <v>1</v>
          </cell>
          <cell r="G1471" t="str">
            <v>Code A</v>
          </cell>
        </row>
        <row r="1472">
          <cell r="A1472" t="str">
            <v>KHF-00-104265-RA-8241-51105-0000-2</v>
          </cell>
          <cell r="B1472" t="str">
            <v>KHF_AIP_D_EXT_01003</v>
          </cell>
          <cell r="C1472">
            <v>43509</v>
          </cell>
          <cell r="D1472" t="str">
            <v>KHF-00-104265-RA-8241-51105-0000</v>
          </cell>
          <cell r="E1472" t="str">
            <v>Material Approval Sheet for GRP Manholes</v>
          </cell>
          <cell r="F1472">
            <v>2</v>
          </cell>
          <cell r="G1472" t="str">
            <v>Code C</v>
          </cell>
        </row>
        <row r="1473">
          <cell r="A1473" t="str">
            <v>KHF-00-104265-RA-8241-51159-0000-1</v>
          </cell>
          <cell r="B1473" t="str">
            <v>KHF_AIP_D_EXT_01004</v>
          </cell>
          <cell r="C1473">
            <v>43509</v>
          </cell>
          <cell r="D1473" t="str">
            <v>KHF-00-104265-RA-8241-51159-0000</v>
          </cell>
          <cell r="E1473" t="str">
            <v>MATERIAL APPROVAL SHEET FOR GALVANISED ADJUSTABLE CABLE CLAMP WITH ACCESSORIES FOR INSTRUMENTATION</v>
          </cell>
          <cell r="F1473">
            <v>1</v>
          </cell>
          <cell r="G1473" t="str">
            <v>Code D</v>
          </cell>
        </row>
        <row r="1474">
          <cell r="A1474" t="str">
            <v>KHF-00-104265-RA-8241-51163-0000-1</v>
          </cell>
          <cell r="B1474" t="str">
            <v>KHF_AIP_D_EXT_01005</v>
          </cell>
          <cell r="C1474">
            <v>43509</v>
          </cell>
          <cell r="D1474" t="str">
            <v>KHF-00-104265-RA-8241-51163-0000</v>
          </cell>
          <cell r="E1474" t="str">
            <v>Material Approval Sheet for Compressible Protection Filler Board 50mm THK Expansionthene LD-50mm</v>
          </cell>
          <cell r="F1474">
            <v>1</v>
          </cell>
          <cell r="G1474" t="str">
            <v>Code D</v>
          </cell>
        </row>
        <row r="1475">
          <cell r="A1475" t="str">
            <v>KHF-00-104265-RA-8241-51180-0000-1</v>
          </cell>
          <cell r="B1475" t="str">
            <v>KHF_AIP_D_EXT_01006</v>
          </cell>
          <cell r="C1475">
            <v>43509</v>
          </cell>
          <cell r="D1475" t="str">
            <v>KHF-00-104265-RA-8241-51180-0000</v>
          </cell>
          <cell r="E1475" t="str">
            <v>MATERIAL APPROVAL SHEET FOR FOSROC NITOSEAL PU220 FOR OIL RESISTANT SEALENT</v>
          </cell>
          <cell r="F1475">
            <v>1</v>
          </cell>
          <cell r="G1475" t="str">
            <v>Code C</v>
          </cell>
        </row>
        <row r="1476">
          <cell r="A1476" t="str">
            <v>KHF-00-104265-AA-3341-00150-0000-1</v>
          </cell>
          <cell r="B1476" t="str">
            <v>KHF_AIP_D_EXT_01007</v>
          </cell>
          <cell r="C1476">
            <v>43510</v>
          </cell>
          <cell r="D1476" t="str">
            <v>KHF-00-104265-AA-3341-00150-0000</v>
          </cell>
          <cell r="E1476" t="str">
            <v>CV OF MR. K.S.LOGESHWARAN - QC INSPECTOR - (GRE THREADED)</v>
          </cell>
          <cell r="F1476">
            <v>1</v>
          </cell>
          <cell r="G1476" t="str">
            <v>Code A</v>
          </cell>
        </row>
        <row r="1477">
          <cell r="A1477" t="str">
            <v>KHF-00-104265-BA-6070-42018-0000-1</v>
          </cell>
          <cell r="B1477" t="str">
            <v>KHF_AIP_D_EXT_01008</v>
          </cell>
          <cell r="C1477">
            <v>43510</v>
          </cell>
          <cell r="D1477" t="str">
            <v>KHF-00-104265-BA-6070-42018-0000</v>
          </cell>
          <cell r="E1477" t="str">
            <v>Method Statement for Field Hydrotest of GRE Piping (YKP-Power Plant &amp; RMS)</v>
          </cell>
          <cell r="F1477">
            <v>1</v>
          </cell>
          <cell r="G1477" t="str">
            <v>Code D</v>
          </cell>
        </row>
        <row r="1478">
          <cell r="A1478" t="str">
            <v>KHF-00-104265-RA-8241-51162-0000-1</v>
          </cell>
          <cell r="B1478" t="str">
            <v>KHF_AIP_D_EXT_01009</v>
          </cell>
          <cell r="C1478">
            <v>43510</v>
          </cell>
          <cell r="D1478" t="str">
            <v>KHF-00-104265-RA-8241-51162-0000</v>
          </cell>
          <cell r="E1478" t="str">
            <v>Material Approval Sheet for Oil / Hydrocarbon Resistant Sealant</v>
          </cell>
          <cell r="F1478">
            <v>1</v>
          </cell>
          <cell r="G1478" t="str">
            <v>Code D</v>
          </cell>
        </row>
        <row r="1479">
          <cell r="A1479" t="str">
            <v>KHF-00-104265-AA-3341-60106-0000-2</v>
          </cell>
          <cell r="B1479" t="str">
            <v>KHF_AIP_D_EXT_01010</v>
          </cell>
          <cell r="C1479">
            <v>43513</v>
          </cell>
          <cell r="D1479" t="str">
            <v>KHF-00-104265-AA-3341-60106-0000</v>
          </cell>
          <cell r="E1479" t="str">
            <v>CV OF MR. KUNDAN SINGH - WELDING INSPECTOR - PIPELINE</v>
          </cell>
          <cell r="F1479">
            <v>2</v>
          </cell>
          <cell r="G1479" t="str">
            <v>Code A</v>
          </cell>
        </row>
        <row r="1480">
          <cell r="A1480" t="str">
            <v>KHF-00-104265-AA-3341-60137-0000-1</v>
          </cell>
          <cell r="B1480" t="str">
            <v>KHF_AIP_D_EXT_01011</v>
          </cell>
          <cell r="C1480">
            <v>43513</v>
          </cell>
          <cell r="D1480" t="str">
            <v>KHF-00-104265-AA-3341-60137-0000</v>
          </cell>
          <cell r="E1480" t="str">
            <v>CV OF MR. SIMON JOHN - AIP SITE BASED HSE MANAGER</v>
          </cell>
          <cell r="F1480">
            <v>1</v>
          </cell>
          <cell r="G1480" t="str">
            <v>Code A</v>
          </cell>
        </row>
        <row r="1481">
          <cell r="A1481" t="str">
            <v>KHF-00-104265-BA-6065-01301-0000-1</v>
          </cell>
          <cell r="B1481" t="str">
            <v>KHF_AIP_D_EXT_01012</v>
          </cell>
          <cell r="C1481">
            <v>43513</v>
          </cell>
          <cell r="D1481" t="str">
            <v>KHF-00-104265-BA-6065-01301-0000</v>
          </cell>
          <cell r="E1481" t="str">
            <v>WPS AND PQR REGISTER FOR STRUCTURAL WELDING</v>
          </cell>
          <cell r="F1481">
            <v>1</v>
          </cell>
          <cell r="G1481" t="str">
            <v>Code A</v>
          </cell>
        </row>
        <row r="1482">
          <cell r="A1482" t="str">
            <v>KHF-00-104265-BA-6065-01310-0000-1</v>
          </cell>
          <cell r="B1482" t="str">
            <v>KHF_AIP_D_EXT_01012</v>
          </cell>
          <cell r="C1482">
            <v>43513</v>
          </cell>
          <cell r="D1482" t="str">
            <v>KHF-00-104265-BA-6065-01310-0000</v>
          </cell>
          <cell r="E1482" t="str">
            <v>WPS AND PQR - JWPS-142 &amp; JPQR-142,143 &amp; 144</v>
          </cell>
          <cell r="F1482">
            <v>1</v>
          </cell>
          <cell r="G1482" t="str">
            <v>Code A</v>
          </cell>
        </row>
        <row r="1483">
          <cell r="A1483" t="str">
            <v>KHF-00-104265-BA-6070-01302-0000-1</v>
          </cell>
          <cell r="B1483" t="str">
            <v>KHF_AIP_D_EXT_01013</v>
          </cell>
          <cell r="C1483">
            <v>43513</v>
          </cell>
          <cell r="D1483" t="str">
            <v>KHF-00-104265-BA-6070-01302-0000</v>
          </cell>
          <cell r="E1483" t="str">
            <v>Method Statement for Erection of HRSG Ducting and Main Stack</v>
          </cell>
          <cell r="F1483">
            <v>1</v>
          </cell>
          <cell r="G1483" t="str">
            <v>Code B</v>
          </cell>
        </row>
        <row r="1484">
          <cell r="A1484" t="str">
            <v>KHF-00-104265-RA-8241-51179-0000-1</v>
          </cell>
          <cell r="B1484" t="str">
            <v>KHF_AIP_D_EXT_01014</v>
          </cell>
          <cell r="C1484">
            <v>43513</v>
          </cell>
          <cell r="D1484" t="str">
            <v>KHF-00-104265-RA-8241-51179-0000</v>
          </cell>
          <cell r="E1484" t="str">
            <v>MATERIAL APPROVAL SHEET FOR TELECOM FOC ROUTE MARKER BOARD</v>
          </cell>
          <cell r="F1484">
            <v>1</v>
          </cell>
          <cell r="G1484" t="str">
            <v>Code C</v>
          </cell>
        </row>
        <row r="1485">
          <cell r="A1485" t="str">
            <v>KHF-00-104133-OA-4380-00002-0000-4</v>
          </cell>
          <cell r="B1485" t="str">
            <v>KHF_AIP_D_EXT_01015</v>
          </cell>
          <cell r="C1485">
            <v>43514</v>
          </cell>
          <cell r="D1485" t="str">
            <v>KHF-00-104133-OA-4380-00002-0000</v>
          </cell>
          <cell r="E1485" t="str">
            <v>SYSTEM LIST (PROCESS AND NON- PROCESS, E&amp;I, BUILDINGS)</v>
          </cell>
          <cell r="F1485">
            <v>4</v>
          </cell>
          <cell r="G1485" t="str">
            <v>IFI</v>
          </cell>
        </row>
        <row r="1486">
          <cell r="B1486" t="str">
            <v>KHF_AIP_D_EXT_01015</v>
          </cell>
          <cell r="C1486">
            <v>43514</v>
          </cell>
          <cell r="D1486" t="str">
            <v>KHF-00-104133-OA-4380-00015-0000</v>
          </cell>
          <cell r="E1486" t="str">
            <v>SYSTEM MARKUP DRAWINGS SET(AFC- PEFS; OFF PLOT)</v>
          </cell>
          <cell r="F1486">
            <v>1</v>
          </cell>
          <cell r="G1486" t="str">
            <v>IFI</v>
          </cell>
        </row>
        <row r="1487">
          <cell r="B1487" t="str">
            <v>KHF_AIP_D_EXT_01015</v>
          </cell>
          <cell r="C1487">
            <v>43514</v>
          </cell>
          <cell r="D1487" t="str">
            <v>KHF-00-104133-OA-4380-00017-0000</v>
          </cell>
          <cell r="E1487" t="str">
            <v>SYSTEM MARK UP DRAWINGS SET (AFC - ELECTRICAL SLD &amp; EARTHING LAYOUTS)</v>
          </cell>
          <cell r="F1487">
            <v>1</v>
          </cell>
          <cell r="G1487" t="str">
            <v>IFI</v>
          </cell>
        </row>
        <row r="1488">
          <cell r="B1488" t="str">
            <v>KHF_AIP_D_EXT_01015</v>
          </cell>
          <cell r="C1488">
            <v>43514</v>
          </cell>
          <cell r="D1488" t="str">
            <v>KHF-00-104133-OA-4380-00018-0000</v>
          </cell>
          <cell r="E1488" t="str">
            <v>SYSTEM MARK- UP DRAWINGS SET (AFC- CIVIL &amp; STRUCTURAL)</v>
          </cell>
          <cell r="F1488">
            <v>1</v>
          </cell>
          <cell r="G1488" t="str">
            <v>IFI</v>
          </cell>
        </row>
        <row r="1489">
          <cell r="B1489" t="str">
            <v>KHF_AIP_D_EXT_01015</v>
          </cell>
          <cell r="C1489">
            <v>43514</v>
          </cell>
          <cell r="D1489" t="str">
            <v>KHF-00-104133-OA-4380-00019-0000</v>
          </cell>
          <cell r="E1489" t="str">
            <v>SYSTEM MARK- UP DRAWINGS SET (AFC- TELECOM)</v>
          </cell>
          <cell r="F1489">
            <v>1</v>
          </cell>
          <cell r="G1489" t="str">
            <v>IFI</v>
          </cell>
        </row>
        <row r="1490">
          <cell r="B1490" t="str">
            <v>KHF_AIP_D_EXT_01015</v>
          </cell>
          <cell r="C1490">
            <v>43514</v>
          </cell>
          <cell r="D1490" t="str">
            <v>KHF-00-104133-OA-4380-00020-0000</v>
          </cell>
          <cell r="E1490" t="str">
            <v>SYSTEM MARK- UP DRAWINGS SET (AFC- TECHNICAL SAFETY &amp; OTHERS)</v>
          </cell>
          <cell r="F1490">
            <v>1</v>
          </cell>
          <cell r="G1490" t="str">
            <v>IFI</v>
          </cell>
        </row>
        <row r="1491">
          <cell r="B1491" t="str">
            <v>KHF_AIP_D_EXT_01015</v>
          </cell>
          <cell r="C1491">
            <v>43514</v>
          </cell>
          <cell r="D1491" t="str">
            <v>KHF-23-104133-OA-5798-00004-0000</v>
          </cell>
          <cell r="E1491" t="str">
            <v>PEFS MARKUP SET - IFD DRAWING BASIS</v>
          </cell>
          <cell r="F1491">
            <v>1</v>
          </cell>
          <cell r="G1491" t="str">
            <v>IFI</v>
          </cell>
        </row>
        <row r="1492">
          <cell r="B1492" t="str">
            <v>KHF_AIP_D_EXT_01015</v>
          </cell>
          <cell r="C1492">
            <v>43514</v>
          </cell>
          <cell r="D1492" t="str">
            <v>KHF-23-104133-OA-5880-00050-0000</v>
          </cell>
          <cell r="E1492" t="str">
            <v>POWER PLANT PEFS MARKUP SET - AFC DRAWING BASIS</v>
          </cell>
          <cell r="F1492">
            <v>1</v>
          </cell>
          <cell r="G1492" t="str">
            <v>IFI</v>
          </cell>
        </row>
        <row r="1493">
          <cell r="A1493" t="str">
            <v>KHF-00-104265-AA-3341-60111-0000-2</v>
          </cell>
          <cell r="B1493" t="str">
            <v>KHF_AIP_D_EXT_01016</v>
          </cell>
          <cell r="C1493">
            <v>43514</v>
          </cell>
          <cell r="D1493" t="str">
            <v>KHF-00-104265-AA-3341-60111-0000</v>
          </cell>
          <cell r="E1493" t="str">
            <v>CV of Mr. Mohammad Ali Khan - QC Inspector - Coating</v>
          </cell>
          <cell r="F1493">
            <v>2</v>
          </cell>
          <cell r="G1493" t="str">
            <v>Code A</v>
          </cell>
        </row>
        <row r="1494">
          <cell r="A1494" t="str">
            <v>KHF-00-104265-BA-6070-01301-0000-1</v>
          </cell>
          <cell r="B1494" t="str">
            <v>KHF_AIP_D_EXT_01017</v>
          </cell>
          <cell r="C1494">
            <v>43514</v>
          </cell>
          <cell r="D1494" t="str">
            <v>KHF-00-104265-BA-6070-01301-0000</v>
          </cell>
          <cell r="E1494" t="str">
            <v>Method Of Statement For Installation HRSG Module</v>
          </cell>
          <cell r="F1494">
            <v>1</v>
          </cell>
          <cell r="G1494" t="str">
            <v>Code B</v>
          </cell>
        </row>
        <row r="1495">
          <cell r="A1495" t="str">
            <v>KHF-00-104265-BA-6070-01310-0000-1</v>
          </cell>
          <cell r="B1495" t="str">
            <v>KHF_AIP_D_EXT_01018</v>
          </cell>
          <cell r="C1495">
            <v>43514</v>
          </cell>
          <cell r="D1495" t="str">
            <v>KHF-00-104265-BA-6070-01310-0000</v>
          </cell>
          <cell r="E1495" t="str">
            <v>Method Statement for Erection GT, GTG &amp; Auxiliaries</v>
          </cell>
          <cell r="F1495">
            <v>1</v>
          </cell>
          <cell r="G1495" t="str">
            <v>Code B</v>
          </cell>
        </row>
        <row r="1496">
          <cell r="A1496" t="str">
            <v>KHF-00-104265-BA-6070-42010-0000-2</v>
          </cell>
          <cell r="B1496" t="str">
            <v>KHF_AIP_D_EXT_01019</v>
          </cell>
          <cell r="C1496">
            <v>43514</v>
          </cell>
          <cell r="D1496" t="str">
            <v>KHF-00-104265-BA-6070-42010-0000</v>
          </cell>
          <cell r="E1496" t="str">
            <v>Method Statement for Hydrostatic Testing of Pipeline Valves</v>
          </cell>
          <cell r="F1496">
            <v>2</v>
          </cell>
          <cell r="G1496" t="str">
            <v>Code D</v>
          </cell>
        </row>
        <row r="1497">
          <cell r="A1497" t="str">
            <v>KHF-00-104265-BA-6070-42019-0000-1</v>
          </cell>
          <cell r="B1497" t="str">
            <v>KHF_AIP_D_EXT_01020</v>
          </cell>
          <cell r="C1497">
            <v>43514</v>
          </cell>
          <cell r="D1497" t="str">
            <v>KHF-00-104265-BA-6070-42019-0000</v>
          </cell>
          <cell r="E1497" t="str">
            <v>Method Statement for Trenching, Padding and Backfilling of GRE Piping (YKP-Power Plant &amp; RMS)</v>
          </cell>
          <cell r="F1497">
            <v>1</v>
          </cell>
          <cell r="G1497" t="str">
            <v>Code B</v>
          </cell>
        </row>
        <row r="1498">
          <cell r="A1498" t="str">
            <v>KHF-00-104265-QA-5733-01305-0000-2</v>
          </cell>
          <cell r="B1498" t="str">
            <v>KHF_AIP_D_EXT_01021</v>
          </cell>
          <cell r="C1498">
            <v>43514</v>
          </cell>
          <cell r="D1498" t="str">
            <v>KHF-00-104265-QA-5733-01305-0000</v>
          </cell>
          <cell r="E1498" t="str">
            <v>ITP FOR INSTALLATION OF GAS TURBINE EXHAUST BYPASS SYSTEM (MECHANICAL WORKS)</v>
          </cell>
          <cell r="F1498">
            <v>2</v>
          </cell>
          <cell r="G1498" t="str">
            <v>Code A</v>
          </cell>
        </row>
        <row r="1499">
          <cell r="A1499" t="str">
            <v>KHF-00-104265-QA-6050-00607-0000-3</v>
          </cell>
          <cell r="B1499" t="str">
            <v>KHF_AIP_D_EXT_01022</v>
          </cell>
          <cell r="C1499">
            <v>43515</v>
          </cell>
          <cell r="D1499" t="str">
            <v>KHF-00-104265-QA-6050-00607-0000</v>
          </cell>
          <cell r="E1499" t="str">
            <v>MATERIAL CONTROL PROCEDURE FOR PIPING MATERIAL AT FABRICATION SHOP</v>
          </cell>
          <cell r="F1499">
            <v>3</v>
          </cell>
          <cell r="G1499" t="str">
            <v>Code A</v>
          </cell>
        </row>
        <row r="1500">
          <cell r="A1500" t="str">
            <v>KHF-00-104265-QA-5733-22004-0000-3</v>
          </cell>
          <cell r="B1500" t="str">
            <v>KHF_AIP_D_EXT_01023</v>
          </cell>
          <cell r="C1500">
            <v>43515</v>
          </cell>
          <cell r="D1500" t="str">
            <v>KHF-00-104265-QA-5733-22004-0000</v>
          </cell>
          <cell r="E1500" t="str">
            <v>INSPECTION AND TEST PLAN FOR FABRICATION-WELDING- ERECTION AND HYDROTESTING OF PIPING FOR CS-LTCS</v>
          </cell>
          <cell r="F1500">
            <v>3</v>
          </cell>
          <cell r="G1500" t="str">
            <v>Code B</v>
          </cell>
        </row>
        <row r="1501">
          <cell r="A1501" t="str">
            <v>KHF-00-104265-QA-6050-00115-0000-3</v>
          </cell>
          <cell r="B1501" t="str">
            <v>KHF_AIP_D_EXT_01024</v>
          </cell>
          <cell r="C1501">
            <v>43515</v>
          </cell>
          <cell r="D1501" t="str">
            <v>KHF-00-104265-QA-6050-00115-0000</v>
          </cell>
          <cell r="E1501" t="str">
            <v>QUALITY CONTROL PLAN FOR HYDRO TESTING OF CS PIPELINES</v>
          </cell>
          <cell r="F1501">
            <v>3</v>
          </cell>
          <cell r="G1501" t="str">
            <v>Code B</v>
          </cell>
        </row>
        <row r="1502">
          <cell r="A1502" t="str">
            <v>KHF-00-104265-AA-6944-20016-0000-1</v>
          </cell>
          <cell r="B1502" t="str">
            <v>KHF_AIP_D_EXT_01025</v>
          </cell>
          <cell r="C1502">
            <v>43515</v>
          </cell>
          <cell r="D1502" t="str">
            <v>KHF-00-104265-AA-6944-20016-0000</v>
          </cell>
          <cell r="E1502" t="str">
            <v>MONTHLY PROGRESS REPORT NO.016 (JANUARY 2019)</v>
          </cell>
          <cell r="F1502">
            <v>1</v>
          </cell>
          <cell r="G1502" t="str">
            <v>Code D</v>
          </cell>
        </row>
        <row r="1503">
          <cell r="A1503" t="str">
            <v>KHF-00-104265-QA-6050-00106-0000-6</v>
          </cell>
          <cell r="B1503" t="str">
            <v>KHF_AIP_D_EXT_01026</v>
          </cell>
          <cell r="C1503">
            <v>43515</v>
          </cell>
          <cell r="D1503" t="str">
            <v>KHF-00-104265-QA-6050-00106-0000</v>
          </cell>
          <cell r="E1503" t="str">
            <v>Quality Control Plan for Installation of CS  Pipeline</v>
          </cell>
          <cell r="F1503">
            <v>6</v>
          </cell>
          <cell r="G1503" t="str">
            <v>Code B</v>
          </cell>
        </row>
        <row r="1504">
          <cell r="A1504" t="str">
            <v>KHF-00-104265-AA-3341-60116-0000-2</v>
          </cell>
          <cell r="B1504" t="str">
            <v>KHF_AIP_D_EXT_01027</v>
          </cell>
          <cell r="C1504">
            <v>43515</v>
          </cell>
          <cell r="D1504" t="str">
            <v>KHF-00-104265-AA-3341-60116-0000</v>
          </cell>
          <cell r="E1504" t="str">
            <v>CV of Mr. Sankara Narayanan - Lead QC Engineer</v>
          </cell>
          <cell r="F1504">
            <v>2</v>
          </cell>
          <cell r="G1504" t="str">
            <v>Code B</v>
          </cell>
        </row>
        <row r="1505">
          <cell r="A1505" t="str">
            <v>KHF-00-104265-AA-6944-10067-0000-1</v>
          </cell>
          <cell r="B1505" t="str">
            <v>KHF_AIP_D_EXT_01028</v>
          </cell>
          <cell r="C1505">
            <v>43515</v>
          </cell>
          <cell r="D1505" t="str">
            <v>KHF-00-104265-AA-6944-10067-0000</v>
          </cell>
          <cell r="E1505" t="str">
            <v>WEEKLY PROGRESS REPORT NO.067</v>
          </cell>
          <cell r="F1505">
            <v>1</v>
          </cell>
          <cell r="G1505" t="str">
            <v>Code D</v>
          </cell>
        </row>
        <row r="1506">
          <cell r="A1506" t="str">
            <v>KHF-00-104265-AA-3341-60088-0000-2</v>
          </cell>
          <cell r="B1506" t="str">
            <v>KHF_AIP_D_EXT_01029</v>
          </cell>
          <cell r="C1506">
            <v>43515</v>
          </cell>
          <cell r="D1506" t="str">
            <v>KHF-00-104265-AA-3341-60088-0000</v>
          </cell>
          <cell r="E1506" t="str">
            <v>CV OF MR.KUNDAN SINGH, QC INSPECTOR - STATIC EQUIPMENTS / STRUCTURAL</v>
          </cell>
          <cell r="F1506">
            <v>2</v>
          </cell>
          <cell r="G1506" t="str">
            <v>Code A</v>
          </cell>
        </row>
        <row r="1507">
          <cell r="A1507" t="str">
            <v>KHF-00-104265-AA-3341-60119-0000-2</v>
          </cell>
          <cell r="B1507" t="str">
            <v>KHF_AIP_D_EXT_01030</v>
          </cell>
          <cell r="C1507">
            <v>43516</v>
          </cell>
          <cell r="D1507" t="str">
            <v>KHF-00-104265-AA-3341-60119-0000</v>
          </cell>
          <cell r="E1507" t="str">
            <v>CV of Mr. Magesh C.R - QC Inspector - Civil</v>
          </cell>
          <cell r="F1507">
            <v>2</v>
          </cell>
          <cell r="G1507" t="str">
            <v>Code A</v>
          </cell>
        </row>
        <row r="1508">
          <cell r="A1508" t="str">
            <v>KHF-00-104265-QA-6050-00118-0000-2</v>
          </cell>
          <cell r="B1508" t="str">
            <v>KHF_AIP_D_EXT_01031</v>
          </cell>
          <cell r="C1508">
            <v>43516</v>
          </cell>
          <cell r="D1508" t="str">
            <v>KHF-00-104265-QA-6050-00118-0000</v>
          </cell>
          <cell r="E1508" t="str">
            <v>QUALITY CONTROL PLAN FOR PAINTING PCS-06 SYSTEM  (For Pipeline Marker Post External Painting)</v>
          </cell>
          <cell r="F1508">
            <v>2</v>
          </cell>
          <cell r="G1508" t="str">
            <v>Code A</v>
          </cell>
        </row>
        <row r="1509">
          <cell r="A1509" t="str">
            <v>KHF-00-104265-BA-6065-00133-0000-2</v>
          </cell>
          <cell r="B1509" t="str">
            <v>KHF_AIP_D_EXT_01032</v>
          </cell>
          <cell r="C1509">
            <v>43516</v>
          </cell>
          <cell r="D1509" t="str">
            <v>KHF-00-104265-BA-6065-00133-0000</v>
          </cell>
          <cell r="E1509" t="str">
            <v>Welding Procedure Specification Tie-in, 16 PL-5</v>
          </cell>
          <cell r="F1509">
            <v>2</v>
          </cell>
          <cell r="G1509" t="str">
            <v>Code B</v>
          </cell>
        </row>
        <row r="1510">
          <cell r="A1510" t="str">
            <v>---</v>
          </cell>
          <cell r="B1510" t="str">
            <v>KHF_AIP_D_EXT_01033</v>
          </cell>
          <cell r="C1510">
            <v>43517</v>
          </cell>
          <cell r="D1510" t="str">
            <v>-</v>
          </cell>
          <cell r="E1510" t="str">
            <v>AFC Drawings</v>
          </cell>
          <cell r="F1510" t="str">
            <v>-</v>
          </cell>
          <cell r="G1510" t="str">
            <v>03 drawings</v>
          </cell>
        </row>
        <row r="1511">
          <cell r="A1511" t="str">
            <v>KHF-00-104265-QA-5733-01201-0000-2</v>
          </cell>
          <cell r="B1511" t="str">
            <v>KHF_AIP_D_EXT_01034</v>
          </cell>
          <cell r="C1511">
            <v>43520</v>
          </cell>
          <cell r="D1511" t="str">
            <v>KHF-00-104265-QA-5733-01201-0000</v>
          </cell>
          <cell r="E1511" t="str">
            <v>INSPECTION TEST PLAN FOR PRECAST CONCRETE ELEMENTS</v>
          </cell>
          <cell r="F1511">
            <v>2</v>
          </cell>
          <cell r="G1511" t="str">
            <v>Code B</v>
          </cell>
        </row>
        <row r="1512">
          <cell r="A1512" t="str">
            <v>KHF-00-104265-QA-5733-01301-0000-1</v>
          </cell>
          <cell r="B1512" t="str">
            <v>KHF_AIP_D_EXT_01035</v>
          </cell>
          <cell r="C1512">
            <v>43520</v>
          </cell>
          <cell r="D1512" t="str">
            <v>KHF-00-104265-QA-5733-01301-0000</v>
          </cell>
          <cell r="E1512" t="str">
            <v>ITP FOR INSTALLATION OF HRSG SYSTEM (MECHANICAL WORKS)</v>
          </cell>
          <cell r="F1512">
            <v>1</v>
          </cell>
          <cell r="G1512" t="str">
            <v>Code B</v>
          </cell>
        </row>
        <row r="1513">
          <cell r="A1513" t="str">
            <v>KHF-00-104265-QA-5733-01302-0000-2</v>
          </cell>
          <cell r="B1513" t="str">
            <v>KHF_AIP_D_EXT_01036</v>
          </cell>
          <cell r="C1513">
            <v>43520</v>
          </cell>
          <cell r="D1513" t="str">
            <v>KHF-00-104265-QA-5733-01302-0000</v>
          </cell>
          <cell r="E1513" t="str">
            <v>ITP FOR INSTALLATION OF GTG PACKAGE AND ITS AUXILIARIES</v>
          </cell>
          <cell r="F1513">
            <v>2</v>
          </cell>
          <cell r="G1513" t="str">
            <v>Code B</v>
          </cell>
        </row>
        <row r="1514">
          <cell r="A1514" t="str">
            <v>KHF-00-104265-QA-5733-01309-0000-1</v>
          </cell>
          <cell r="B1514" t="str">
            <v>KHF_AIP_D_EXT_01037</v>
          </cell>
          <cell r="C1514">
            <v>43520</v>
          </cell>
          <cell r="D1514" t="str">
            <v>KHF-00-104265-QA-5733-01309-0000</v>
          </cell>
          <cell r="E1514" t="str">
            <v>ITP FOR INSTALLATION OF HRSG BOILER PRESSURE PARTS PIPING &amp; BOILER EXTERNAL PIPING</v>
          </cell>
          <cell r="F1514">
            <v>1</v>
          </cell>
          <cell r="G1514" t="str">
            <v>Code B</v>
          </cell>
        </row>
        <row r="1515">
          <cell r="A1515" t="str">
            <v>KHF-00-104265-QA-5733-01310-0000-1</v>
          </cell>
          <cell r="B1515" t="str">
            <v>KHF_AIP_D_EXT_01038</v>
          </cell>
          <cell r="C1515">
            <v>43520</v>
          </cell>
          <cell r="D1515" t="str">
            <v>KHF-00-104265-QA-5733-01310-0000</v>
          </cell>
          <cell r="E1515" t="str">
            <v>ITP FOR INSTALLATION OF NON BOILER EXTERNAL AND GENERAL PIPING - CARBON STEEL</v>
          </cell>
          <cell r="F1515">
            <v>1</v>
          </cell>
          <cell r="G1515" t="str">
            <v>Code B</v>
          </cell>
        </row>
        <row r="1516">
          <cell r="A1516" t="str">
            <v>KHF-00-104265-QA-5733-22013-0000-2</v>
          </cell>
          <cell r="B1516" t="str">
            <v>KHF_AIP_D_EXT_01039</v>
          </cell>
          <cell r="C1516">
            <v>43520</v>
          </cell>
          <cell r="D1516" t="str">
            <v>KHF-00-104265-QA-5733-22013-0000</v>
          </cell>
          <cell r="E1516" t="str">
            <v>INSPECTION AND TEST PLAN FOR 2 IN to 8 IN GRE PIPING FIELD FABRICATION, INSTALLATION &amp; HYDRO TESTING FOR RMS &amp; POWER PLANT</v>
          </cell>
          <cell r="F1516">
            <v>2</v>
          </cell>
          <cell r="G1516" t="str">
            <v>Code A</v>
          </cell>
        </row>
        <row r="1517">
          <cell r="A1517" t="str">
            <v>KHF-00-104265-RA-8241-51156-0000-3</v>
          </cell>
          <cell r="B1517" t="str">
            <v>KHF_AIP_D_EXT_01040</v>
          </cell>
          <cell r="C1517">
            <v>43520</v>
          </cell>
          <cell r="D1517" t="str">
            <v>KHF-00-104265-RA-8241-51156-0000</v>
          </cell>
          <cell r="E1517" t="str">
            <v>Material Approval Sheet for Indoor Lighting &amp; Small Power DB</v>
          </cell>
          <cell r="F1517">
            <v>3</v>
          </cell>
          <cell r="G1517" t="str">
            <v>Code A</v>
          </cell>
        </row>
        <row r="1518">
          <cell r="A1518" t="str">
            <v>KHF-00-104265-BA-5736-01303-0000-1</v>
          </cell>
          <cell r="B1518" t="str">
            <v>KHF_AIP_D_EXT_01041</v>
          </cell>
          <cell r="C1518">
            <v>43520</v>
          </cell>
          <cell r="D1518" t="str">
            <v>KHF-00-104265-BA-5736-01303-0000</v>
          </cell>
          <cell r="E1518" t="str">
            <v>Lifting plan for Mechanical Installation of HRSG Main Stack Assembly.</v>
          </cell>
          <cell r="F1518">
            <v>1</v>
          </cell>
          <cell r="G1518" t="str">
            <v>Code B</v>
          </cell>
        </row>
        <row r="1519">
          <cell r="A1519" t="str">
            <v>KHF-00-104265-BA-6070-43010-0000-3</v>
          </cell>
          <cell r="B1519" t="str">
            <v>KHF_AIP_D_EXT_01042</v>
          </cell>
          <cell r="C1519">
            <v>43520</v>
          </cell>
          <cell r="D1519" t="str">
            <v>KHF-00-104265-BA-6070-43010-0000</v>
          </cell>
          <cell r="E1519" t="str">
            <v>METHOD STATEMENT SKIDDING &amp; JACKING / MECHANICAL PROTECTION OF 50/63 MVA, 11/134.5KV GTG STEP UP TRANSFORMERG-23001-TX</v>
          </cell>
          <cell r="F1519">
            <v>3</v>
          </cell>
          <cell r="G1519" t="str">
            <v>Code A</v>
          </cell>
        </row>
        <row r="1520">
          <cell r="A1520" t="str">
            <v>KHF-00-104265-BA-6065-01311-0000-1</v>
          </cell>
          <cell r="B1520" t="str">
            <v>KHF_AIP_D_EXT_01043</v>
          </cell>
          <cell r="C1520">
            <v>43522</v>
          </cell>
          <cell r="D1520" t="str">
            <v>KHF-00-104265-BA-6065-01311-0000</v>
          </cell>
          <cell r="E1520" t="str">
            <v>WELDING PROCEDURE SPECIFICATION FOR STAINLESS STEEL WELDING WPS-513 &amp; PQR-513</v>
          </cell>
          <cell r="F1520">
            <v>1</v>
          </cell>
          <cell r="G1520" t="str">
            <v>Code D</v>
          </cell>
        </row>
        <row r="1521">
          <cell r="A1521" t="str">
            <v>KHF-00-104265-RA-6038-00101-0000-4</v>
          </cell>
          <cell r="B1521" t="str">
            <v>KHF_AIP_D_EXT_01044</v>
          </cell>
          <cell r="C1521">
            <v>43523</v>
          </cell>
          <cell r="D1521" t="str">
            <v>KHF-00-104265-RA-6038-00101-0000</v>
          </cell>
          <cell r="E1521" t="str">
            <v>Procedure for Internal X-Ray Radiographic Testing of Pipelines</v>
          </cell>
          <cell r="F1521">
            <v>4</v>
          </cell>
          <cell r="G1521" t="str">
            <v>Code A</v>
          </cell>
        </row>
        <row r="1522">
          <cell r="A1522" t="str">
            <v>KHF-00-104265-RA-6038-00105-0000-4</v>
          </cell>
          <cell r="B1522" t="str">
            <v>KHF_AIP_D_EXT_01045</v>
          </cell>
          <cell r="C1522">
            <v>43523</v>
          </cell>
          <cell r="D1522" t="str">
            <v>KHF-00-104265-RA-6038-00105-0000</v>
          </cell>
          <cell r="E1522" t="str">
            <v>Procedure for Ultrasonic Testing of Pipeline Welds</v>
          </cell>
          <cell r="F1522">
            <v>4</v>
          </cell>
          <cell r="G1522" t="str">
            <v>Code A</v>
          </cell>
        </row>
        <row r="1523">
          <cell r="A1523" t="str">
            <v>KHF-00-104265-RA-6038-00910-0000-2</v>
          </cell>
          <cell r="B1523" t="str">
            <v>KHF_AIP_D_EXT_01046</v>
          </cell>
          <cell r="C1523">
            <v>43523</v>
          </cell>
          <cell r="D1523" t="str">
            <v>KHF-00-104265-RA-6038-00910-0000</v>
          </cell>
          <cell r="E1523" t="str">
            <v>Procedure for Internal X-Ray Radiographic Testing of Pipelines</v>
          </cell>
          <cell r="F1523">
            <v>2</v>
          </cell>
          <cell r="G1523" t="str">
            <v>Code A</v>
          </cell>
        </row>
        <row r="1524">
          <cell r="A1524" t="str">
            <v>KHF-00-104265-RA-6038-00914-0000-2</v>
          </cell>
          <cell r="B1524" t="str">
            <v>KHF_AIP_D_EXT_01046</v>
          </cell>
          <cell r="C1524">
            <v>43523</v>
          </cell>
          <cell r="D1524" t="str">
            <v>KHF-00-104265-RA-6038-00914-0000</v>
          </cell>
          <cell r="E1524" t="str">
            <v>Procedure for Ultrasonic Testing of Pipelines Welds</v>
          </cell>
          <cell r="F1524">
            <v>2</v>
          </cell>
          <cell r="G1524" t="str">
            <v>Code A</v>
          </cell>
        </row>
        <row r="1525">
          <cell r="A1525" t="str">
            <v>KHF-00-104265-RA-8241-51183-0000-1</v>
          </cell>
          <cell r="B1525" t="str">
            <v>KHF_AIP_D_EXT_01047</v>
          </cell>
          <cell r="C1525">
            <v>43523</v>
          </cell>
          <cell r="D1525" t="str">
            <v>KHF-00-104265-RA-8241-51183-0000</v>
          </cell>
          <cell r="E1525" t="str">
            <v>MATERIAL APPROVAL SHEET FOR MARBLE FLOOR &amp; SKIRTING TIELS AT GTG BUILDING CORRIDOR</v>
          </cell>
          <cell r="F1525">
            <v>1</v>
          </cell>
          <cell r="G1525" t="str">
            <v>Code A</v>
          </cell>
        </row>
        <row r="1526">
          <cell r="A1526" t="str">
            <v>KHF-00-104265-BA-6070-01201-0000-2</v>
          </cell>
          <cell r="B1526" t="str">
            <v>KHF_AIP_D_EXT_01048</v>
          </cell>
          <cell r="C1526">
            <v>43524</v>
          </cell>
          <cell r="D1526" t="str">
            <v>KHF-00-104265-BA-6070-01201-0000</v>
          </cell>
          <cell r="E1526" t="str">
            <v>METHOD OF STATEMENT FOR PRECAST CONCRETE WORKS</v>
          </cell>
          <cell r="F1526">
            <v>2</v>
          </cell>
          <cell r="G1526" t="str">
            <v>Code A</v>
          </cell>
        </row>
        <row r="1527">
          <cell r="A1527" t="str">
            <v>KHF-00-104265-RA-8241-51178-0000-1</v>
          </cell>
          <cell r="B1527" t="str">
            <v>KHF_AIP_D_EXT_01049</v>
          </cell>
          <cell r="C1527">
            <v>43524</v>
          </cell>
          <cell r="D1527" t="str">
            <v>KHF-00-104265-RA-8241-51178-0000</v>
          </cell>
          <cell r="E1527" t="str">
            <v>MATERIAL APPROVAL SHEET FOR DUST PROOF EPOXY WITH SELF LEVELLING COMPOUND</v>
          </cell>
          <cell r="F1527">
            <v>1</v>
          </cell>
          <cell r="G1527" t="str">
            <v>Code B</v>
          </cell>
        </row>
        <row r="1528">
          <cell r="A1528" t="str">
            <v>---</v>
          </cell>
          <cell r="B1528" t="str">
            <v>KHF_AIP_D_EXT_01050</v>
          </cell>
          <cell r="C1528">
            <v>43524</v>
          </cell>
          <cell r="D1528" t="str">
            <v>-</v>
          </cell>
          <cell r="E1528" t="str">
            <v>AFC Drawings</v>
          </cell>
          <cell r="F1528" t="str">
            <v>-</v>
          </cell>
          <cell r="G1528" t="str">
            <v>02 drawings</v>
          </cell>
        </row>
        <row r="1529">
          <cell r="A1529" t="str">
            <v>KHF-00-104265-BA-6070-42015-0000-1</v>
          </cell>
          <cell r="B1529" t="str">
            <v>KHF_AIP_D_EXT_01051</v>
          </cell>
          <cell r="C1529">
            <v>43527</v>
          </cell>
          <cell r="D1529" t="str">
            <v>KHF-00-104265-BA-6070-42015-0000</v>
          </cell>
          <cell r="E1529" t="str">
            <v>METHOD STATEMENT FOR INSTALLATION &amp; ALIGNMENT OF STATIC EQUIPMENTS (AREA-200</v>
          </cell>
          <cell r="F1529">
            <v>1</v>
          </cell>
          <cell r="G1529" t="str">
            <v>Code B</v>
          </cell>
        </row>
        <row r="1530">
          <cell r="A1530" t="str">
            <v>KHF-00-104265-RA-8241-51164-0000-1</v>
          </cell>
          <cell r="B1530" t="str">
            <v>KHF_AIP_D_EXT_01052</v>
          </cell>
          <cell r="C1530">
            <v>43528</v>
          </cell>
          <cell r="D1530" t="str">
            <v>KHF-00-104265-RA-8241-51164-0000</v>
          </cell>
          <cell r="E1530" t="str">
            <v>Material Approval Sheet for Bond Breaker Tape &amp; Backer Rod Polyethylene Bond Breaker Tape</v>
          </cell>
          <cell r="F1530">
            <v>1</v>
          </cell>
          <cell r="G1530" t="str">
            <v>Code D</v>
          </cell>
        </row>
        <row r="1531">
          <cell r="A1531" t="str">
            <v>KHF-00-104265-RA-8241-51171-0000-1</v>
          </cell>
          <cell r="B1531" t="str">
            <v>KHF_AIP_D_EXT_01053</v>
          </cell>
          <cell r="C1531">
            <v>43528</v>
          </cell>
          <cell r="D1531" t="str">
            <v>KHF-00-104265-RA-8241-51171-0000</v>
          </cell>
          <cell r="E1531" t="str">
            <v>Material Approval Sheet for PPR Pipes &amp; Fittings</v>
          </cell>
          <cell r="F1531">
            <v>1</v>
          </cell>
          <cell r="G1531" t="str">
            <v>Code C</v>
          </cell>
        </row>
        <row r="1532">
          <cell r="A1532" t="str">
            <v>KHF-00-104265-BA-6070-42029-0000-1</v>
          </cell>
          <cell r="B1532" t="str">
            <v>KHF_AIP_D_EXT_01054</v>
          </cell>
          <cell r="C1532">
            <v>43528</v>
          </cell>
          <cell r="D1532" t="str">
            <v>KHF-00-104265-BA-6070-42029-0000</v>
          </cell>
          <cell r="E1532" t="str">
            <v>METHOD STATEMENT FOR THE EXAMINATION AND LOAD TESTING OF GIS BUILDING 5TON EOT CRANE</v>
          </cell>
          <cell r="F1532">
            <v>1</v>
          </cell>
          <cell r="G1532" t="str">
            <v>Code B</v>
          </cell>
        </row>
        <row r="1533">
          <cell r="A1533" t="str">
            <v>KHF-00-104265-BA-6070-01301-0000-2</v>
          </cell>
          <cell r="B1533" t="str">
            <v>KHF_AIP_D_EXT_01055</v>
          </cell>
          <cell r="C1533">
            <v>43529</v>
          </cell>
          <cell r="D1533" t="str">
            <v>KHF-00-104265-BA-6070-01301-0000</v>
          </cell>
          <cell r="E1533" t="str">
            <v>Method Of Statement For Installation HRSG Module</v>
          </cell>
          <cell r="F1533">
            <v>2</v>
          </cell>
          <cell r="G1533" t="str">
            <v>Code A</v>
          </cell>
        </row>
        <row r="1534">
          <cell r="A1534" t="str">
            <v>KHF-00-104265-BA-6070-01302-0000-2</v>
          </cell>
          <cell r="B1534" t="str">
            <v>KHF_AIP_D_EXT_01056</v>
          </cell>
          <cell r="C1534">
            <v>43529</v>
          </cell>
          <cell r="D1534" t="str">
            <v>KHF-00-104265-BA-6070-01302-0000</v>
          </cell>
          <cell r="E1534" t="str">
            <v>Method Statement for Erection of HRSG Ducting and Main Stack</v>
          </cell>
          <cell r="F1534">
            <v>2</v>
          </cell>
          <cell r="G1534" t="str">
            <v>Code A</v>
          </cell>
        </row>
        <row r="1535">
          <cell r="A1535" t="str">
            <v>KHF-00-104265-BA-6070-01401-0000-1</v>
          </cell>
          <cell r="B1535" t="str">
            <v>KHF_AIP_D_EXT_01057</v>
          </cell>
          <cell r="C1535">
            <v>43529</v>
          </cell>
          <cell r="D1535" t="str">
            <v>KHF-00-104265-BA-6070-01401-0000</v>
          </cell>
          <cell r="E1535" t="str">
            <v>PROCEDURE FOR THE APPLICATION OF FUSION BONDED EPOXY TO THE INTERNAL SURFACE OF INDIVIDUAL BENDS, FITTINGS AND SPOOL PIECES</v>
          </cell>
          <cell r="F1535">
            <v>1</v>
          </cell>
          <cell r="G1535" t="str">
            <v>Code B</v>
          </cell>
        </row>
        <row r="1536">
          <cell r="A1536" t="str">
            <v>KHF-00-104265-LA-5009-00125-0000-1</v>
          </cell>
          <cell r="B1536" t="str">
            <v>KHF_AIP_D_EXT_01058</v>
          </cell>
          <cell r="C1536">
            <v>43529</v>
          </cell>
          <cell r="D1536" t="str">
            <v>KHF-00-104265-LA-5009-00125-0000</v>
          </cell>
          <cell r="E1536" t="str">
            <v>Material Approval Sheet (MAS) for Corrosion Inhibitor in Hydro testing water</v>
          </cell>
          <cell r="F1536">
            <v>1</v>
          </cell>
          <cell r="G1536" t="str">
            <v>Code A</v>
          </cell>
        </row>
        <row r="1537">
          <cell r="A1537" t="str">
            <v>KHF-00-104265-RA-8241-51173-0000-1</v>
          </cell>
          <cell r="B1537" t="str">
            <v>KHF_AIP_D_EXT_01059</v>
          </cell>
          <cell r="C1537">
            <v>43529</v>
          </cell>
          <cell r="D1537" t="str">
            <v>KHF-00-104265-RA-8241-51173-0000</v>
          </cell>
          <cell r="E1537" t="str">
            <v>Material Approval Sheet for Copper Pipes &amp; Fittings</v>
          </cell>
          <cell r="F1537">
            <v>1</v>
          </cell>
          <cell r="G1537" t="str">
            <v>Code C</v>
          </cell>
        </row>
        <row r="1538">
          <cell r="A1538" t="str">
            <v>KHF-00-104265-RA-8241-51174-0000-1</v>
          </cell>
          <cell r="B1538" t="str">
            <v>KHF_AIP_D_EXT_01060</v>
          </cell>
          <cell r="C1538">
            <v>43529</v>
          </cell>
          <cell r="D1538" t="str">
            <v>KHF-00-104265-RA-8241-51174-0000</v>
          </cell>
          <cell r="E1538" t="str">
            <v>Material Approval Sheet for Valves</v>
          </cell>
          <cell r="F1538">
            <v>1</v>
          </cell>
          <cell r="G1538" t="str">
            <v>Code C</v>
          </cell>
        </row>
        <row r="1539">
          <cell r="A1539" t="str">
            <v>KHF-00-104265-RA-8241-51181-0000-1</v>
          </cell>
          <cell r="B1539" t="str">
            <v>KHF_AIP_D_EXT_01061</v>
          </cell>
          <cell r="C1539">
            <v>43530</v>
          </cell>
          <cell r="D1539" t="str">
            <v>KHF-00-104265-RA-8241-51181-0000</v>
          </cell>
          <cell r="E1539" t="str">
            <v>MATERIAL APPROVAL SHEET FOR FOSROC EXPANCELL BACKUP CORD AND NITOSEAL DEBONDING TAPE</v>
          </cell>
          <cell r="F1539">
            <v>1</v>
          </cell>
          <cell r="G1539" t="str">
            <v>Code B</v>
          </cell>
        </row>
        <row r="1540">
          <cell r="A1540" t="str">
            <v>---</v>
          </cell>
          <cell r="B1540" t="str">
            <v>KHF_AIP_D_EXT_01062</v>
          </cell>
          <cell r="C1540">
            <v>43531</v>
          </cell>
          <cell r="D1540" t="str">
            <v>-</v>
          </cell>
          <cell r="E1540" t="str">
            <v>AFC Drawings</v>
          </cell>
          <cell r="F1540" t="str">
            <v>-</v>
          </cell>
          <cell r="G1540" t="str">
            <v>01 drawing</v>
          </cell>
        </row>
        <row r="1541">
          <cell r="A1541" t="str">
            <v>KHF-00-104265-BA-6070-42020-0000-1</v>
          </cell>
          <cell r="B1541" t="str">
            <v>KHF_AIP_D_EXT_01063</v>
          </cell>
          <cell r="C1541">
            <v>43531</v>
          </cell>
          <cell r="D1541" t="str">
            <v>KHF-00-104265-BA-6070-42020-0000</v>
          </cell>
          <cell r="E1541" t="str">
            <v>Method Statement for Adhesive Bonding of GRE Piping (YKP-Power Plant &amp; RMS)</v>
          </cell>
          <cell r="F1541">
            <v>1</v>
          </cell>
          <cell r="G1541" t="str">
            <v>Code B</v>
          </cell>
        </row>
        <row r="1542">
          <cell r="A1542" t="str">
            <v>KHF-00-104265-AA-3341-60146-0000-1</v>
          </cell>
          <cell r="B1542" t="str">
            <v>KHF_AIP_D_EXT_01064</v>
          </cell>
          <cell r="C1542">
            <v>43531</v>
          </cell>
          <cell r="D1542" t="str">
            <v>KHF-00-104265-AA-3341-60146-0000</v>
          </cell>
          <cell r="E1542" t="str">
            <v>CV OF MR. S.A. ZAKIR HUSSAIN-AIP LEAD QA / QC ENGINEER</v>
          </cell>
          <cell r="F1542">
            <v>1</v>
          </cell>
          <cell r="G1542" t="str">
            <v>Code D</v>
          </cell>
        </row>
        <row r="1543">
          <cell r="A1543" t="str">
            <v>KHF-00-104265-BA-6070-41016-0000-1</v>
          </cell>
          <cell r="B1543" t="str">
            <v>KHF_AIP_D_EXT_01065</v>
          </cell>
          <cell r="C1543">
            <v>43534</v>
          </cell>
          <cell r="D1543" t="str">
            <v>KHF-00-104265-BA-6070-41016-0000</v>
          </cell>
          <cell r="E1543" t="str">
            <v>METHOD STATEMENT FOR ENVIROLINE 405 HTR COATING WITH CELICOTE 680 PRIMER</v>
          </cell>
          <cell r="F1543">
            <v>1</v>
          </cell>
          <cell r="G1543" t="str">
            <v>Code B</v>
          </cell>
        </row>
        <row r="1544">
          <cell r="A1544" t="str">
            <v>KHF-00-104265-BA-6070-42013-0000-2</v>
          </cell>
          <cell r="B1544" t="str">
            <v>KHF_AIP_D_EXT_01066</v>
          </cell>
          <cell r="C1544">
            <v>43534</v>
          </cell>
          <cell r="D1544" t="str">
            <v>KHF-00-104265-BA-6070-42013-0000</v>
          </cell>
          <cell r="E1544" t="str">
            <v>METHOD STATEMENT FOR INSTALLATION OF MISCELLANEOUS STRUCTURE-SUPPORT-PLATFORM ACCESS LADDER- HANDRAILING AND GRATINGS AT POWER PLANT</v>
          </cell>
          <cell r="F1544">
            <v>2</v>
          </cell>
          <cell r="G1544" t="str">
            <v>Code A</v>
          </cell>
        </row>
        <row r="1545">
          <cell r="A1545" t="str">
            <v>KHF-00-104265-BA-6070-42018-0000-2</v>
          </cell>
          <cell r="B1545" t="str">
            <v>KHF_AIP_D_EXT_01067</v>
          </cell>
          <cell r="C1545">
            <v>43534</v>
          </cell>
          <cell r="D1545" t="str">
            <v>KHF-00-104265-BA-6070-42018-0000</v>
          </cell>
          <cell r="E1545" t="str">
            <v>Method Statement for Field Hydrotest of GRE Piping (YKP-Power Plant &amp; RMS)</v>
          </cell>
          <cell r="F1545">
            <v>2</v>
          </cell>
          <cell r="G1545" t="str">
            <v>Code B</v>
          </cell>
        </row>
        <row r="1546">
          <cell r="A1546" t="str">
            <v>KHF-00-104265-BA-6070-42021-0000-1</v>
          </cell>
          <cell r="B1546" t="str">
            <v>KHF_AIP_D_EXT_01068</v>
          </cell>
          <cell r="C1546">
            <v>43534</v>
          </cell>
          <cell r="D1546" t="str">
            <v>KHF-00-104265-BA-6070-42021-0000</v>
          </cell>
          <cell r="E1546" t="str">
            <v>Method Statement for Field Lamination of GRE Piping (YKP-Power Plant &amp; RMS)</v>
          </cell>
          <cell r="F1546">
            <v>1</v>
          </cell>
          <cell r="G1546" t="str">
            <v>Code A</v>
          </cell>
        </row>
        <row r="1547">
          <cell r="A1547" t="str">
            <v>KHF-00-104265-BA-6070-42022-0000-1</v>
          </cell>
          <cell r="B1547" t="str">
            <v>KHF_AIP_D_EXT_01068</v>
          </cell>
          <cell r="C1547">
            <v>43534</v>
          </cell>
          <cell r="D1547" t="str">
            <v>KHF-00-104265-BA-6070-42022-0000</v>
          </cell>
          <cell r="E1547" t="str">
            <v>Method Statement for Flange Tightening of GRE Piping (YKP-Power Plant &amp; RMS)</v>
          </cell>
          <cell r="F1547">
            <v>1</v>
          </cell>
          <cell r="G1547" t="str">
            <v>Code B</v>
          </cell>
        </row>
        <row r="1548">
          <cell r="A1548" t="str">
            <v>KHF-00-104265-BA-6070-42023-0000-1</v>
          </cell>
          <cell r="B1548" t="str">
            <v>KHF_AIP_D_EXT_01068</v>
          </cell>
          <cell r="C1548">
            <v>43534</v>
          </cell>
          <cell r="D1548" t="str">
            <v>KHF-00-104265-BA-6070-42023-0000</v>
          </cell>
          <cell r="E1548" t="str">
            <v>Method Statement for Repair of GRE Piping (YKP-Power Plant &amp; RMS)</v>
          </cell>
          <cell r="F1548">
            <v>1</v>
          </cell>
          <cell r="G1548" t="str">
            <v>Code A</v>
          </cell>
        </row>
        <row r="1549">
          <cell r="A1549" t="str">
            <v>KHF-00-104265-BA-6070-42025-0000-1</v>
          </cell>
          <cell r="B1549" t="str">
            <v>KHF_AIP_D_EXT_01068</v>
          </cell>
          <cell r="C1549">
            <v>43534</v>
          </cell>
          <cell r="D1549" t="str">
            <v>KHF-00-104265-BA-6070-42025-0000</v>
          </cell>
          <cell r="E1549" t="str">
            <v>Method Statement for Storage, Handling &amp; Preservation of GRE Piping Materials (YKP-Power Plant &amp; RMS)</v>
          </cell>
          <cell r="F1549">
            <v>1</v>
          </cell>
          <cell r="G1549" t="str">
            <v>Code A</v>
          </cell>
        </row>
        <row r="1550">
          <cell r="A1550" t="str">
            <v>KHF-00-104265-BA-6070-42026-0000-1</v>
          </cell>
          <cell r="B1550" t="str">
            <v>KHF_AIP_D_EXT_01068</v>
          </cell>
          <cell r="C1550">
            <v>43534</v>
          </cell>
          <cell r="D1550" t="str">
            <v>KHF-00-104265-BA-6070-42026-0000</v>
          </cell>
          <cell r="E1550" t="str">
            <v>Qualification and Control of Installation &amp; Crew Training for GRE Piping (YKP-Power Plant &amp; RMS)</v>
          </cell>
          <cell r="F1550">
            <v>1</v>
          </cell>
          <cell r="G1550" t="str">
            <v>Code A</v>
          </cell>
        </row>
        <row r="1551">
          <cell r="A1551" t="str">
            <v>KHF-00-104265-BA-6070-42024-0000-1</v>
          </cell>
          <cell r="B1551" t="str">
            <v>KHF_AIP_D_EXT_01069</v>
          </cell>
          <cell r="C1551">
            <v>43534</v>
          </cell>
          <cell r="D1551" t="str">
            <v>KHF-00-104265-BA-6070-42024-0000</v>
          </cell>
          <cell r="E1551" t="str">
            <v>Method Statement for Road / Wadi Crossing of GRE Piping (YKP-Power Plant &amp; RMS)</v>
          </cell>
          <cell r="F1551">
            <v>1</v>
          </cell>
          <cell r="G1551" t="str">
            <v>Code A</v>
          </cell>
        </row>
        <row r="1552">
          <cell r="A1552" t="str">
            <v>KHF-00-104265-BA-6070-42029-0000-2</v>
          </cell>
          <cell r="B1552" t="str">
            <v>KHF_AIP_D_EXT_01070</v>
          </cell>
          <cell r="C1552">
            <v>43534</v>
          </cell>
          <cell r="D1552" t="str">
            <v>KHF-00-104265-BA-6070-42029-0000</v>
          </cell>
          <cell r="E1552" t="str">
            <v>METHOD STATEMENT FOR EOT CRANE (SWL-5 TON) LOAD TESTING IN 132 KV GIS BUILDING</v>
          </cell>
          <cell r="F1552">
            <v>2</v>
          </cell>
          <cell r="G1552" t="str">
            <v>Code A</v>
          </cell>
        </row>
        <row r="1553">
          <cell r="A1553" t="str">
            <v>KHF-00-104265-BA-6070-42030-0000-1</v>
          </cell>
          <cell r="B1553" t="str">
            <v>KHF_AIP_D_EXT_01071</v>
          </cell>
          <cell r="C1553">
            <v>43534</v>
          </cell>
          <cell r="D1553" t="str">
            <v>KHF-00-104265-BA-6070-42030-0000</v>
          </cell>
          <cell r="E1553" t="str">
            <v>METHOD STATEMENT FOR LIFTING AND PLACEMENT OF TRANSFORMERS (G23002-TX, G23003)</v>
          </cell>
          <cell r="F1553">
            <v>1</v>
          </cell>
          <cell r="G1553" t="str">
            <v>Code B</v>
          </cell>
        </row>
        <row r="1554">
          <cell r="A1554" t="str">
            <v>KHF-00-104265-RA-8241-51095-0000-2</v>
          </cell>
          <cell r="B1554" t="str">
            <v>KHF_AIP_D_EXT_01072</v>
          </cell>
          <cell r="C1554">
            <v>43534</v>
          </cell>
          <cell r="D1554" t="str">
            <v>KHF-00-104265-RA-8241-51095-0000</v>
          </cell>
          <cell r="E1554" t="str">
            <v>MATERIAL APPROVAL SHEET FOR WOODEN DOOR / WOODEN ARCHITRAVE</v>
          </cell>
          <cell r="F1554">
            <v>2</v>
          </cell>
          <cell r="G1554" t="str">
            <v>Code C</v>
          </cell>
        </row>
        <row r="1555">
          <cell r="A1555" t="str">
            <v>KHF-00-104265-RA-8241-51182-0000-1</v>
          </cell>
          <cell r="B1555" t="str">
            <v>KHF_AIP_D_EXT_01073</v>
          </cell>
          <cell r="C1555">
            <v>43534</v>
          </cell>
          <cell r="D1555" t="str">
            <v>KHF-00-104265-RA-8241-51182-0000</v>
          </cell>
          <cell r="E1555" t="str">
            <v>MATERIAL APPROVAL SHEET FOR WATER TANK</v>
          </cell>
          <cell r="F1555">
            <v>1</v>
          </cell>
          <cell r="G1555" t="str">
            <v>Code C</v>
          </cell>
        </row>
        <row r="1556">
          <cell r="A1556" t="str">
            <v>KHF-00-104265-RA-8241-51184-0000-1</v>
          </cell>
          <cell r="B1556" t="str">
            <v>KHF_AIP_D_EXT_01074</v>
          </cell>
          <cell r="C1556">
            <v>43534</v>
          </cell>
          <cell r="D1556" t="str">
            <v>KHF-00-104265-RA-8241-51184-0000</v>
          </cell>
          <cell r="E1556" t="str">
            <v>MATERIAL APPROVAL SHEET FOR GRC (GLASS REINFORCED CONCRETE) CLADDING</v>
          </cell>
          <cell r="F1556">
            <v>1</v>
          </cell>
          <cell r="G1556" t="str">
            <v>Code C</v>
          </cell>
        </row>
        <row r="1557">
          <cell r="A1557" t="str">
            <v>KHF-00-104265-RA-8241-51186-0000-1</v>
          </cell>
          <cell r="B1557" t="str">
            <v>KHF_AIP_D_EXT_01075</v>
          </cell>
          <cell r="C1557">
            <v>43534</v>
          </cell>
          <cell r="D1557" t="str">
            <v>KHF-00-104265-RA-8241-51186-0000</v>
          </cell>
          <cell r="E1557" t="str">
            <v>MATERIAL APPROVAL SHEET FOR EXPANSION JOINT FLASING AT GTG SUBSTATION BUILDING</v>
          </cell>
          <cell r="F1557">
            <v>1</v>
          </cell>
          <cell r="G1557" t="str">
            <v>Code C</v>
          </cell>
        </row>
        <row r="1558">
          <cell r="A1558" t="str">
            <v>---</v>
          </cell>
          <cell r="B1558" t="str">
            <v>KHF_AIP_D_EXT_01076</v>
          </cell>
          <cell r="C1558">
            <v>43534</v>
          </cell>
          <cell r="D1558" t="str">
            <v>-</v>
          </cell>
          <cell r="E1558" t="str">
            <v>AFC Drawings</v>
          </cell>
          <cell r="F1558" t="str">
            <v>-</v>
          </cell>
          <cell r="G1558" t="str">
            <v>61 drawings</v>
          </cell>
        </row>
        <row r="1559">
          <cell r="A1559" t="str">
            <v>KHF-00-104265-QA-5733-01601-0000-1</v>
          </cell>
          <cell r="B1559" t="str">
            <v>KHF_AIP_D_EXT_01077</v>
          </cell>
          <cell r="C1559">
            <v>43535</v>
          </cell>
          <cell r="D1559" t="str">
            <v>KHF-00-104265-QA-5733-01601-0000</v>
          </cell>
          <cell r="E1559" t="str">
            <v>Inspection and Test Plan for Surface Preparation and Painting of Steel Structure (PCS- 1)</v>
          </cell>
          <cell r="F1559">
            <v>1</v>
          </cell>
          <cell r="G1559" t="str">
            <v>Code B</v>
          </cell>
        </row>
        <row r="1560">
          <cell r="A1560" t="str">
            <v>KHF-00-104265-RA-8241-51121-0000-2</v>
          </cell>
          <cell r="B1560" t="str">
            <v>KHF_AIP_D_EXT_01078</v>
          </cell>
          <cell r="C1560">
            <v>43535</v>
          </cell>
          <cell r="D1560" t="str">
            <v>KHF-00-104265-RA-8241-51121-0000</v>
          </cell>
          <cell r="E1560" t="str">
            <v>Material Approval Sheet for Flexible Metallic Conduit &amp; Accessories</v>
          </cell>
          <cell r="F1560">
            <v>2</v>
          </cell>
          <cell r="G1560" t="str">
            <v>Code A</v>
          </cell>
        </row>
        <row r="1561">
          <cell r="A1561" t="str">
            <v>KHF-00-104265-RA-8241-51122-0000-2</v>
          </cell>
          <cell r="B1561" t="str">
            <v>KHF_AIP_D_EXT_01079</v>
          </cell>
          <cell r="C1561">
            <v>43535</v>
          </cell>
          <cell r="D1561" t="str">
            <v>KHF-00-104265-RA-8241-51122-0000</v>
          </cell>
          <cell r="E1561" t="str">
            <v>Material Approval Sheet for Heavy Gauge GI Conduit &amp; Accessories (Vendor-1)</v>
          </cell>
          <cell r="F1561">
            <v>2</v>
          </cell>
          <cell r="G1561" t="str">
            <v>Code A</v>
          </cell>
        </row>
        <row r="1562">
          <cell r="A1562" t="str">
            <v>KHF-00-104265-AA-3341-00904-0000-1</v>
          </cell>
          <cell r="B1562" t="str">
            <v>KHF_AIP_D_EXT_01080</v>
          </cell>
          <cell r="C1562">
            <v>43536</v>
          </cell>
          <cell r="D1562" t="str">
            <v>KHF-00-104265-AA-3341-00904-0000</v>
          </cell>
          <cell r="E1562" t="str">
            <v>CV of Mr. Abhijit Dutta - Radiography Technician</v>
          </cell>
          <cell r="F1562">
            <v>1</v>
          </cell>
          <cell r="G1562" t="str">
            <v>Code C</v>
          </cell>
        </row>
        <row r="1563">
          <cell r="A1563" t="str">
            <v>KHF-00-104265-LA-5009-00123-0000-2</v>
          </cell>
          <cell r="B1563" t="str">
            <v>KHF_AIP_D_EXT_01081</v>
          </cell>
          <cell r="C1563">
            <v>43536</v>
          </cell>
          <cell r="D1563" t="str">
            <v>KHF-00-104265-LA-5009-00123-0000</v>
          </cell>
          <cell r="E1563" t="str">
            <v>Material Approval Sheet (MAS) for Pipeline Market Post Installation for all Pipelines</v>
          </cell>
          <cell r="F1563">
            <v>2</v>
          </cell>
          <cell r="G1563" t="str">
            <v>Code A</v>
          </cell>
        </row>
        <row r="1564">
          <cell r="A1564" t="str">
            <v>KHF-00-104265-LA-5009-00126-0000-1</v>
          </cell>
          <cell r="B1564" t="str">
            <v>KHF_AIP_D_EXT_01082</v>
          </cell>
          <cell r="C1564">
            <v>43536</v>
          </cell>
          <cell r="D1564" t="str">
            <v>KHF-00-104265-LA-5009-00126-0000</v>
          </cell>
          <cell r="E1564" t="str">
            <v>Material Approval Sheet (MAS) for Type B Granular fill Materials.</v>
          </cell>
          <cell r="F1564">
            <v>1</v>
          </cell>
          <cell r="G1564" t="str">
            <v>Code B</v>
          </cell>
        </row>
        <row r="1565">
          <cell r="A1565" t="str">
            <v>KHF-00-104265-QA-5733-22004-0000-4</v>
          </cell>
          <cell r="B1565" t="str">
            <v>KHF_AIP_D_EXT_01083</v>
          </cell>
          <cell r="C1565">
            <v>43536</v>
          </cell>
          <cell r="D1565" t="str">
            <v>KHF-00-104265-QA-5733-22004-0000</v>
          </cell>
          <cell r="E1565" t="str">
            <v>Inspection and Test Plan for Fabrication , Welding, Erection and Hydrotesting of Piping for CS/LTCS</v>
          </cell>
          <cell r="F1565">
            <v>4</v>
          </cell>
          <cell r="G1565" t="str">
            <v>Code A</v>
          </cell>
        </row>
        <row r="1566">
          <cell r="A1566" t="str">
            <v>KHF-00-104265-QA-5733-22006-0000-3</v>
          </cell>
          <cell r="B1566" t="str">
            <v>KHF_AIP_D_EXT_01084</v>
          </cell>
          <cell r="C1566">
            <v>43536</v>
          </cell>
          <cell r="D1566" t="str">
            <v>KHF-00-104265-QA-5733-22006-0000</v>
          </cell>
          <cell r="E1566" t="str">
            <v>Inspection Test Plan for Fabrication, Welding, Erection and Hydrotesting of Piping for SS &amp; Alloy-825</v>
          </cell>
          <cell r="F1566">
            <v>3</v>
          </cell>
          <cell r="G1566" t="str">
            <v>Code B</v>
          </cell>
        </row>
        <row r="1567">
          <cell r="A1567" t="str">
            <v>KHF-00-104265-RA-8241-51187-0000-1</v>
          </cell>
          <cell r="B1567" t="str">
            <v>KHF_AIP_D_EXT_01085</v>
          </cell>
          <cell r="C1567">
            <v>43536</v>
          </cell>
          <cell r="D1567" t="str">
            <v>KHF-00-104265-RA-8241-51187-0000</v>
          </cell>
          <cell r="E1567" t="str">
            <v>Material Approval Sheet 25 L Capacity Geyser for GTG Building</v>
          </cell>
          <cell r="F1567">
            <v>1</v>
          </cell>
          <cell r="G1567" t="str">
            <v>Code D</v>
          </cell>
        </row>
        <row r="1568">
          <cell r="A1568" t="str">
            <v>KHF-00-104265-AA-3341-60148-0000-1</v>
          </cell>
          <cell r="B1568" t="str">
            <v>KHF_AIP_D_EXT_01086</v>
          </cell>
          <cell r="C1568">
            <v>43537</v>
          </cell>
          <cell r="D1568" t="str">
            <v>KHF-00-104265-AA-3341-60148-0000</v>
          </cell>
          <cell r="E1568" t="str">
            <v>CV OF MR. MD. FAYAZUR REHAMAN - LEAD QC ENGINEER</v>
          </cell>
          <cell r="F1568">
            <v>1</v>
          </cell>
          <cell r="G1568" t="str">
            <v>Code D</v>
          </cell>
        </row>
        <row r="1569">
          <cell r="A1569" t="str">
            <v>KHF-00-104265-AA-3341-60149-0000-1</v>
          </cell>
          <cell r="B1569" t="str">
            <v>KHF_AIP_D_EXT_01087</v>
          </cell>
          <cell r="C1569">
            <v>43537</v>
          </cell>
          <cell r="D1569" t="str">
            <v>KHF-00-104265-AA-3341-60149-0000</v>
          </cell>
          <cell r="E1569" t="str">
            <v>CV OF MR. VISHAL VERMA - LEAD QC ENGINEER</v>
          </cell>
          <cell r="F1569">
            <v>1</v>
          </cell>
          <cell r="G1569" t="str">
            <v>Code D</v>
          </cell>
        </row>
        <row r="1570">
          <cell r="A1570" t="str">
            <v>KHF-00-104265-QA-5733-01301-0000-2</v>
          </cell>
          <cell r="B1570" t="str">
            <v>KHF_AIP_D_EXT_01088</v>
          </cell>
          <cell r="C1570">
            <v>43537</v>
          </cell>
          <cell r="D1570" t="str">
            <v>KHF-00-104265-QA-5733-01301-0000</v>
          </cell>
          <cell r="E1570" t="str">
            <v>ITP FOR INSTALLATION OF HRSG SYSTEM (MECHANICAL WORKS)</v>
          </cell>
          <cell r="F1570">
            <v>2</v>
          </cell>
          <cell r="G1570" t="str">
            <v>Code A</v>
          </cell>
        </row>
        <row r="1571">
          <cell r="A1571" t="str">
            <v>KHF-00-104265-RA-8241-51185-0000-1</v>
          </cell>
          <cell r="B1571" t="str">
            <v>KHF_AIP_D_EXT_01089</v>
          </cell>
          <cell r="C1571">
            <v>43537</v>
          </cell>
          <cell r="D1571" t="str">
            <v>KHF-00-104265-RA-8241-51185-0000</v>
          </cell>
          <cell r="E1571" t="str">
            <v>MATERIAL APPROVAL SHEET FOR SANITARY FIXTURES</v>
          </cell>
          <cell r="F1571">
            <v>1</v>
          </cell>
          <cell r="G1571" t="str">
            <v>Code D</v>
          </cell>
        </row>
        <row r="1572">
          <cell r="A1572" t="str">
            <v>KHF-00-104265-BA-6070-00145-0000-2</v>
          </cell>
          <cell r="B1572" t="str">
            <v>KHF_AIP_D_EXT_01090</v>
          </cell>
          <cell r="C1572">
            <v>43538</v>
          </cell>
          <cell r="D1572" t="str">
            <v>KHF-00-104265-BA-6070-00145-0000</v>
          </cell>
          <cell r="E1572" t="str">
            <v>Method Statement for Hydrotesting of High Pressure GRE Flowlines (Threaded)</v>
          </cell>
          <cell r="F1572">
            <v>2</v>
          </cell>
          <cell r="G1572" t="str">
            <v>Code B</v>
          </cell>
        </row>
        <row r="1573">
          <cell r="A1573" t="str">
            <v>KHF-00-104265-BA-6070-42028-0000-1</v>
          </cell>
          <cell r="B1573" t="str">
            <v>KHF_AIP_D_EXT_01091</v>
          </cell>
          <cell r="C1573">
            <v>43538</v>
          </cell>
          <cell r="D1573" t="str">
            <v>KHF-00-104265-BA-6070-42028-0000</v>
          </cell>
          <cell r="E1573" t="str">
            <v>METHOD STATEMENT FOR ABOVEGROUND SECTIONS HYDROTESTING OF CS PIPELINES</v>
          </cell>
          <cell r="F1573">
            <v>1</v>
          </cell>
          <cell r="G1573" t="str">
            <v>Code D</v>
          </cell>
        </row>
        <row r="1574">
          <cell r="A1574" t="str">
            <v>KHF-00-104265-BA-6070-43003-0000-4</v>
          </cell>
          <cell r="B1574" t="str">
            <v>KHF_AIP_D_EXT_01092</v>
          </cell>
          <cell r="C1574">
            <v>43538</v>
          </cell>
          <cell r="D1574" t="str">
            <v>KHF-00-104265-BA-6070-43003-0000</v>
          </cell>
          <cell r="E1574" t="str">
            <v>METHOD STATEMENT FOR ERECTION OF TRANSFORMERS</v>
          </cell>
          <cell r="F1574">
            <v>4</v>
          </cell>
          <cell r="G1574" t="str">
            <v>Code A</v>
          </cell>
        </row>
        <row r="1575">
          <cell r="A1575" t="str">
            <v>KHF-00-104265-AA-6944-10068-0000-1</v>
          </cell>
          <cell r="B1575" t="str">
            <v>KHF_AIP_D_EXT_01093</v>
          </cell>
          <cell r="C1575">
            <v>43538</v>
          </cell>
          <cell r="D1575" t="str">
            <v>KHF-00-104265-AA-6944-10068-0000</v>
          </cell>
          <cell r="E1575" t="str">
            <v>WEEKLY PROGRESS REPORT NO.068</v>
          </cell>
          <cell r="F1575">
            <v>1</v>
          </cell>
          <cell r="G1575" t="str">
            <v>Code D</v>
          </cell>
        </row>
        <row r="1576">
          <cell r="A1576" t="str">
            <v>KHF-00-104265-AA-6944-10069-0000-1</v>
          </cell>
          <cell r="B1576" t="str">
            <v>KHF_AIP_D_EXT_01094</v>
          </cell>
          <cell r="C1576">
            <v>43538</v>
          </cell>
          <cell r="D1576" t="str">
            <v>KHF-00-104265-AA-6944-10069-0000</v>
          </cell>
          <cell r="E1576" t="str">
            <v>WEEKLY PROGRESS REPORT NO.069</v>
          </cell>
          <cell r="F1576">
            <v>1</v>
          </cell>
          <cell r="G1576" t="str">
            <v>Code D</v>
          </cell>
        </row>
        <row r="1577">
          <cell r="A1577" t="str">
            <v>KHF-00-104265-AA-6944-10070-0000-1</v>
          </cell>
          <cell r="B1577" t="str">
            <v>KHF_AIP_D_EXT_01095</v>
          </cell>
          <cell r="C1577">
            <v>43538</v>
          </cell>
          <cell r="D1577" t="str">
            <v>KHF-00-104265-AA-6944-10070-0000</v>
          </cell>
          <cell r="E1577" t="str">
            <v>WEEKLY PROGRESS REPORT NO.070</v>
          </cell>
          <cell r="F1577">
            <v>1</v>
          </cell>
          <cell r="G1577" t="str">
            <v>Code D</v>
          </cell>
        </row>
        <row r="1578">
          <cell r="A1578" t="str">
            <v>KHF-00-104265-RA-8241-51189-0000-1</v>
          </cell>
          <cell r="B1578" t="str">
            <v>KHF_AIP_D_EXT_01096</v>
          </cell>
          <cell r="C1578">
            <v>43538</v>
          </cell>
          <cell r="D1578" t="str">
            <v>KHF-00-104265-RA-8241-51189-0000</v>
          </cell>
          <cell r="E1578" t="str">
            <v>MATERIAL APPROVAL SHEET FOR UPVC SKIRTING TILES &amp; ADHESIVE FOR GTG BUILDING</v>
          </cell>
          <cell r="F1578">
            <v>1</v>
          </cell>
          <cell r="G1578" t="str">
            <v>Code C</v>
          </cell>
        </row>
        <row r="1579">
          <cell r="A1579" t="str">
            <v>KHF-00-104265-AA-3341-60074-0000-3</v>
          </cell>
          <cell r="B1579" t="str">
            <v>KHF_AIP_D_EXT_01097</v>
          </cell>
          <cell r="C1579">
            <v>43541</v>
          </cell>
          <cell r="D1579" t="str">
            <v>KHF-00-104265-AA-3341-60074-0000</v>
          </cell>
          <cell r="E1579" t="str">
            <v>CV of Mr-Sunil Kumar Nayak-Welding Inspector-Pipelines-Piping</v>
          </cell>
          <cell r="F1579">
            <v>3</v>
          </cell>
          <cell r="G1579" t="str">
            <v>Code A</v>
          </cell>
        </row>
        <row r="1580">
          <cell r="A1580" t="str">
            <v>KHF-00-104265-AA-3341-60077-0000-3</v>
          </cell>
          <cell r="B1580" t="str">
            <v>KHF_AIP_D_EXT_01098</v>
          </cell>
          <cell r="C1580">
            <v>43541</v>
          </cell>
          <cell r="D1580" t="str">
            <v>KHF-00-104265-AA-3341-60077-0000</v>
          </cell>
          <cell r="E1580" t="str">
            <v>CV of Mr-Dixon-P-Davis-Welding Inspector-Pipelines -Piping</v>
          </cell>
          <cell r="F1580">
            <v>3</v>
          </cell>
          <cell r="G1580" t="str">
            <v>Code A</v>
          </cell>
        </row>
        <row r="1581">
          <cell r="A1581" t="str">
            <v>KHF-00-104265-AA-3341-60151-0000-1</v>
          </cell>
          <cell r="B1581" t="str">
            <v>KHF_AIP_D_EXT_01099</v>
          </cell>
          <cell r="C1581">
            <v>43541</v>
          </cell>
          <cell r="D1581" t="str">
            <v>KHF-00-104265-AA-3341-60151-0000</v>
          </cell>
          <cell r="E1581" t="str">
            <v>CV OF MR. K. NAGANATHAN - QC INSPECTOR - PAINTING - COATING</v>
          </cell>
          <cell r="F1581">
            <v>1</v>
          </cell>
          <cell r="G1581" t="str">
            <v>Code B</v>
          </cell>
        </row>
        <row r="1582">
          <cell r="A1582" t="str">
            <v>KHF-00-104265-AA-6944-20017-0000-1</v>
          </cell>
          <cell r="B1582" t="str">
            <v>KHF_AIP_D_EXT_01100</v>
          </cell>
          <cell r="C1582">
            <v>43541</v>
          </cell>
          <cell r="D1582" t="str">
            <v>KHF-00-104265-AA-6944-20017-0000</v>
          </cell>
          <cell r="E1582" t="str">
            <v>MONTHLY PROGRESS REPORT NO.017 (FEBRUARY 2019)</v>
          </cell>
          <cell r="F1582">
            <v>1</v>
          </cell>
          <cell r="G1582" t="str">
            <v>Code D</v>
          </cell>
        </row>
        <row r="1583">
          <cell r="A1583" t="str">
            <v>KHF-00-104265-BA-6065-00148-0000-1</v>
          </cell>
          <cell r="B1583" t="str">
            <v>KHF_AIP_D_EXT_01101</v>
          </cell>
          <cell r="C1583">
            <v>43541</v>
          </cell>
          <cell r="D1583" t="str">
            <v>KHF-00-104265-BA-6065-00148-0000</v>
          </cell>
          <cell r="E1583" t="str">
            <v>WELDING PROCEDURE SPECIFICATION - (Tie-in, 16inch PL-5) - Pipe to Isolation Joint</v>
          </cell>
          <cell r="F1583">
            <v>1</v>
          </cell>
          <cell r="G1583" t="str">
            <v>Code B</v>
          </cell>
        </row>
        <row r="1584">
          <cell r="A1584" t="str">
            <v>KHF-00-104265-BA-6065-50005-0000-3</v>
          </cell>
          <cell r="B1584" t="str">
            <v>KHF_AIP_D_EXT_01102</v>
          </cell>
          <cell r="C1584">
            <v>43541</v>
          </cell>
          <cell r="D1584" t="str">
            <v>KHF-00-104265-BA-6065-50005-0000</v>
          </cell>
          <cell r="E1584" t="str">
            <v>WPS - Pipe to Weldolet - Pipeline PL-7,PL-8, PL-9 &amp; PL-9A (AIP-WPS-PL-004)</v>
          </cell>
          <cell r="F1584">
            <v>3</v>
          </cell>
          <cell r="G1584" t="str">
            <v>Code A</v>
          </cell>
        </row>
        <row r="1585">
          <cell r="A1585" t="str">
            <v>KHF-00-104265-BA-6070-01309-0000-1</v>
          </cell>
          <cell r="B1585" t="str">
            <v>KHF_AIP_D_EXT_01103</v>
          </cell>
          <cell r="C1585">
            <v>43541</v>
          </cell>
          <cell r="D1585" t="str">
            <v>KHF-00-104265-BA-6070-01309-0000</v>
          </cell>
          <cell r="E1585" t="str">
            <v>Method Statement for Erection of Gas Turbine Exhaust Bypass System</v>
          </cell>
          <cell r="F1585">
            <v>1</v>
          </cell>
          <cell r="G1585" t="str">
            <v>Code B</v>
          </cell>
        </row>
        <row r="1586">
          <cell r="A1586" t="str">
            <v>KHF-00-104265-QA-5733-01309-0000-2</v>
          </cell>
          <cell r="B1586" t="str">
            <v>KHF_AIP_D_EXT_01104</v>
          </cell>
          <cell r="C1586">
            <v>43541</v>
          </cell>
          <cell r="D1586" t="str">
            <v>KHF-00-104265-QA-5733-01309-0000</v>
          </cell>
          <cell r="E1586" t="str">
            <v>ITP FOR INSTALLATION OF HRSG BOILER PRESSURE PARTS PIPING &amp; BOILER EXTERNAL PIPING</v>
          </cell>
          <cell r="F1586">
            <v>2</v>
          </cell>
          <cell r="G1586" t="str">
            <v>Code A</v>
          </cell>
        </row>
        <row r="1587">
          <cell r="A1587" t="str">
            <v>KHF-00-104265-QA-6050-32006-0000-1</v>
          </cell>
          <cell r="B1587" t="str">
            <v>KHF_AIP_D_EXT_01105</v>
          </cell>
          <cell r="C1587">
            <v>43541</v>
          </cell>
          <cell r="D1587" t="str">
            <v>KHF-00-104265-QA-6050-32006-0000</v>
          </cell>
          <cell r="E1587" t="str">
            <v>Procedure for Pipeline Golden Joint (Tie-in) Welding</v>
          </cell>
          <cell r="F1587">
            <v>1</v>
          </cell>
          <cell r="G1587" t="str">
            <v>Code D</v>
          </cell>
        </row>
        <row r="1588">
          <cell r="A1588" t="str">
            <v>KHF-00-104265-RA-6038-01305-0000-1</v>
          </cell>
          <cell r="B1588" t="str">
            <v>KHF_AIP_D_EXT_01106</v>
          </cell>
          <cell r="C1588">
            <v>43541</v>
          </cell>
          <cell r="D1588" t="str">
            <v>KHF-00-104265-RA-6038-01305-0000</v>
          </cell>
          <cell r="E1588" t="str">
            <v>Procedure for Hardness Testing</v>
          </cell>
          <cell r="F1588">
            <v>1</v>
          </cell>
          <cell r="G1588" t="str">
            <v>Code B</v>
          </cell>
        </row>
        <row r="1589">
          <cell r="A1589" t="str">
            <v>KHF-00-104265-RA-6038-01306-0000-1</v>
          </cell>
          <cell r="B1589" t="str">
            <v>KHF_AIP_D_EXT_01106</v>
          </cell>
          <cell r="C1589">
            <v>43541</v>
          </cell>
          <cell r="D1589" t="str">
            <v>KHF-00-104265-RA-6038-01306-0000</v>
          </cell>
          <cell r="E1589" t="str">
            <v>Procedure for Post Weld Heat Treatment for Piping</v>
          </cell>
          <cell r="F1589">
            <v>1</v>
          </cell>
          <cell r="G1589" t="str">
            <v>Code B</v>
          </cell>
        </row>
        <row r="1590">
          <cell r="A1590" t="str">
            <v>KHF-00-104265-RA-6038-01310-0000-1</v>
          </cell>
          <cell r="B1590" t="str">
            <v>KHF_AIP_D_EXT_01106</v>
          </cell>
          <cell r="C1590">
            <v>43541</v>
          </cell>
          <cell r="D1590" t="str">
            <v>KHF-00-104265-RA-6038-01310-0000</v>
          </cell>
          <cell r="E1590" t="str">
            <v>Pre-Heating Procedure for Piping</v>
          </cell>
          <cell r="F1590">
            <v>1</v>
          </cell>
          <cell r="G1590" t="str">
            <v>Code B</v>
          </cell>
        </row>
        <row r="1591">
          <cell r="A1591" t="str">
            <v>KHF-00-104265-BA-6070-43010-0000-4</v>
          </cell>
          <cell r="B1591" t="str">
            <v>KHF_AIP_D_EXT_01107</v>
          </cell>
          <cell r="C1591">
            <v>43542</v>
          </cell>
          <cell r="D1591" t="str">
            <v>KHF-00-104265-BA-6070-43010-0000</v>
          </cell>
          <cell r="E1591" t="str">
            <v>METHOD STATEMENT SKIDDING &amp; JACKING / MECHANICAL PROTECTION OF 50/63 MVA, 11/134.5KV GTG STEP UP TRANSFORMERG-23001-TX</v>
          </cell>
          <cell r="F1591">
            <v>4</v>
          </cell>
          <cell r="G1591" t="str">
            <v>Code A</v>
          </cell>
        </row>
        <row r="1592">
          <cell r="A1592" t="str">
            <v>KHF-00-104265-HX-6180-00901-0000-3</v>
          </cell>
          <cell r="B1592" t="str">
            <v>KHF_AIP_D_EXT_01108</v>
          </cell>
          <cell r="C1592">
            <v>43542</v>
          </cell>
          <cell r="D1592" t="str">
            <v>KHF-00-104265-HX-6180-00901-0000</v>
          </cell>
          <cell r="E1592" t="str">
            <v>Procedure for Radiation Safety</v>
          </cell>
          <cell r="F1592">
            <v>3</v>
          </cell>
          <cell r="G1592" t="str">
            <v>Code A</v>
          </cell>
        </row>
        <row r="1593">
          <cell r="A1593" t="str">
            <v>KHF-00-104265-HX-6180-00902-0000-3</v>
          </cell>
          <cell r="B1593" t="str">
            <v>KHF_AIP_D_EXT_01109</v>
          </cell>
          <cell r="C1593">
            <v>43544</v>
          </cell>
          <cell r="D1593" t="str">
            <v>KHF-00-104265-HX-6180-00902-0000</v>
          </cell>
          <cell r="E1593" t="str">
            <v>Standard Handling Procedures for the Transport of Radioisotopes</v>
          </cell>
          <cell r="F1593">
            <v>3</v>
          </cell>
          <cell r="G1593" t="str">
            <v>Code B</v>
          </cell>
        </row>
        <row r="1594">
          <cell r="A1594" t="str">
            <v>KHF-00-104265-QA-5733-01310-0000-2</v>
          </cell>
          <cell r="B1594" t="str">
            <v>KHF_AIP_D_EXT_01110</v>
          </cell>
          <cell r="C1594">
            <v>43544</v>
          </cell>
          <cell r="D1594" t="str">
            <v>KHF-00-104265-QA-5733-01310-0000</v>
          </cell>
          <cell r="E1594" t="str">
            <v>ITP FOR INSTALLATION OF NON BOILER EXTERNAL AND GENERAL PIPING - CARBON STEEL</v>
          </cell>
          <cell r="F1594">
            <v>2</v>
          </cell>
          <cell r="G1594" t="str">
            <v>Code B</v>
          </cell>
        </row>
        <row r="1595">
          <cell r="A1595" t="str">
            <v>KHF-00-104265-AA-3341-60152-0000-1</v>
          </cell>
          <cell r="B1595" t="str">
            <v>KHF_AIP_D_EXT_01111</v>
          </cell>
          <cell r="C1595">
            <v>43544</v>
          </cell>
          <cell r="D1595" t="str">
            <v>KHF-00-104265-AA-3341-60152-0000</v>
          </cell>
          <cell r="E1595" t="str">
            <v>CV OF MR. R. RAMJI - SITE BASED HSE ADVISOR</v>
          </cell>
          <cell r="F1595">
            <v>1</v>
          </cell>
          <cell r="G1595" t="str">
            <v>Code A</v>
          </cell>
        </row>
        <row r="1596">
          <cell r="A1596" t="str">
            <v>KHF-00-104265-AA-3341-60153-0000-1</v>
          </cell>
          <cell r="B1596" t="str">
            <v>KHF_AIP_D_EXT_01112</v>
          </cell>
          <cell r="C1596">
            <v>43544</v>
          </cell>
          <cell r="D1596" t="str">
            <v>KHF-00-104265-AA-3341-60153-0000</v>
          </cell>
          <cell r="E1596" t="str">
            <v>CV OF MR. MOHAMMAD KHALID ALAM - PTW COORDINATOR</v>
          </cell>
          <cell r="F1596">
            <v>1</v>
          </cell>
          <cell r="G1596" t="str">
            <v>Code A</v>
          </cell>
        </row>
        <row r="1597">
          <cell r="A1597" t="str">
            <v>KHF-00-104265-QA-6050-00115-0000-4</v>
          </cell>
          <cell r="B1597" t="str">
            <v>KHF_AIP_D_EXT_01113</v>
          </cell>
          <cell r="C1597">
            <v>43544</v>
          </cell>
          <cell r="D1597" t="str">
            <v>KHF-00-104265-QA-6050-00115-0000</v>
          </cell>
          <cell r="E1597" t="str">
            <v>Quality Control Plan for Cleaning, Gauging, Hydrotesting, Dewatering, Drying and Preservation</v>
          </cell>
          <cell r="F1597">
            <v>4</v>
          </cell>
          <cell r="G1597" t="str">
            <v>Code A</v>
          </cell>
        </row>
        <row r="1598">
          <cell r="A1598" t="str">
            <v>---</v>
          </cell>
          <cell r="B1598" t="str">
            <v>KHF_AIP_D_EXT_01114</v>
          </cell>
          <cell r="C1598">
            <v>43545</v>
          </cell>
          <cell r="D1598" t="str">
            <v>-</v>
          </cell>
          <cell r="E1598" t="str">
            <v>AFC Drawings</v>
          </cell>
          <cell r="F1598" t="str">
            <v>-</v>
          </cell>
          <cell r="G1598" t="str">
            <v>03 drawings</v>
          </cell>
        </row>
        <row r="1599">
          <cell r="A1599" t="str">
            <v>KHF-00-104265-AA-3341-60154-0000-1</v>
          </cell>
          <cell r="B1599" t="str">
            <v>KHF_AIP_D_EXT_01115</v>
          </cell>
          <cell r="C1599">
            <v>43545</v>
          </cell>
          <cell r="D1599" t="str">
            <v>KHF-00-104265-AA-3341-60154-0000</v>
          </cell>
          <cell r="E1599" t="str">
            <v>CV OF MR. TAPAN BHATTACHARYA - LEAD QC ENGINEER</v>
          </cell>
          <cell r="F1599">
            <v>1</v>
          </cell>
          <cell r="G1599" t="str">
            <v>Code B</v>
          </cell>
        </row>
        <row r="1600">
          <cell r="A1600" t="str">
            <v>KHF-00-104265-QA-6050-00106-0000-7</v>
          </cell>
          <cell r="B1600" t="str">
            <v>KHF_AIP_D_EXT_01116</v>
          </cell>
          <cell r="C1600">
            <v>43545</v>
          </cell>
          <cell r="D1600" t="str">
            <v>KHF-00-104265-QA-6050-00106-0000</v>
          </cell>
          <cell r="E1600" t="str">
            <v>Quality Control Plan for Installation of CS Pipelines</v>
          </cell>
          <cell r="F1600">
            <v>7</v>
          </cell>
          <cell r="G1600" t="str">
            <v>Code A</v>
          </cell>
        </row>
        <row r="1601">
          <cell r="A1601" t="str">
            <v>KHF-00-104265-AA-3341-60156-0000-1</v>
          </cell>
          <cell r="B1601" t="str">
            <v>KHF_AIP_D_EXT_01117</v>
          </cell>
          <cell r="C1601">
            <v>43548</v>
          </cell>
          <cell r="D1601" t="str">
            <v>KHF-00-104265-AA-3341-60156-0000</v>
          </cell>
          <cell r="E1601" t="str">
            <v>CV of Mr. Rahul Y. Karkera - GRE Inspector</v>
          </cell>
          <cell r="F1601">
            <v>1</v>
          </cell>
          <cell r="G1601" t="str">
            <v>Code B</v>
          </cell>
        </row>
        <row r="1602">
          <cell r="A1602" t="str">
            <v>KHF-00-104265-AA-6944-10071-0000-1</v>
          </cell>
          <cell r="B1602" t="str">
            <v>KHF_AIP_D_EXT_01118</v>
          </cell>
          <cell r="C1602">
            <v>43548</v>
          </cell>
          <cell r="D1602" t="str">
            <v>KHF-00-104265-AA-6944-10071-0000</v>
          </cell>
          <cell r="E1602" t="str">
            <v>WEEKLY PROGRESS REPORT NO.071</v>
          </cell>
          <cell r="F1602">
            <v>1</v>
          </cell>
          <cell r="G1602" t="str">
            <v>Code D</v>
          </cell>
        </row>
        <row r="1603">
          <cell r="A1603" t="str">
            <v>KHF-00-104265-BA-6070-00152-0000-1</v>
          </cell>
          <cell r="B1603" t="str">
            <v>KHF_AIP_D_EXT_01119</v>
          </cell>
          <cell r="C1603">
            <v>43548</v>
          </cell>
          <cell r="D1603" t="str">
            <v>KHF-00-104265-BA-6070-00152-0000</v>
          </cell>
          <cell r="E1603" t="str">
            <v>Method Statement for Maintenance Road Construction</v>
          </cell>
          <cell r="F1603">
            <v>1</v>
          </cell>
          <cell r="G1603" t="str">
            <v>Code B</v>
          </cell>
        </row>
        <row r="1604">
          <cell r="A1604" t="str">
            <v>KHF-00-104265-BA-6070-42031-0000-1</v>
          </cell>
          <cell r="B1604" t="str">
            <v>KHF_AIP_D_EXT_01120</v>
          </cell>
          <cell r="C1604">
            <v>43548</v>
          </cell>
          <cell r="D1604" t="str">
            <v>KHF-00-104265-BA-6070-42031-0000</v>
          </cell>
          <cell r="E1604" t="str">
            <v>METHOD STATEMENT FOR INSULATION &amp; INSTALLATION OF REFRIGERANT PIPING IN GIS &amp; GTG BUILDING</v>
          </cell>
          <cell r="F1604">
            <v>1</v>
          </cell>
          <cell r="G1604" t="str">
            <v>Code D</v>
          </cell>
        </row>
        <row r="1605">
          <cell r="A1605" t="str">
            <v>KHF-00-104265-RA-8241-51188-0000-1</v>
          </cell>
          <cell r="B1605" t="str">
            <v>KHF_AIP_D_EXT_01121</v>
          </cell>
          <cell r="C1605">
            <v>43548</v>
          </cell>
          <cell r="D1605" t="str">
            <v>KHF-00-104265-RA-8241-51188-0000</v>
          </cell>
          <cell r="E1605" t="str">
            <v>Material Approval Sheet Repair Materials (Polycrete MC &amp; Polypoxy NF)</v>
          </cell>
          <cell r="F1605">
            <v>1</v>
          </cell>
          <cell r="G1605" t="str">
            <v>Code A</v>
          </cell>
        </row>
        <row r="1606">
          <cell r="A1606" t="str">
            <v>KHF-00-104265-RA-8241-51193-0000-1</v>
          </cell>
          <cell r="B1606" t="str">
            <v>KHF_AIP_D_EXT_01122</v>
          </cell>
          <cell r="C1606">
            <v>43548</v>
          </cell>
          <cell r="D1606" t="str">
            <v>KHF-00-104265-RA-8241-51193-0000</v>
          </cell>
          <cell r="E1606" t="str">
            <v>Material Approval Sheet for Neoprene Rubber</v>
          </cell>
          <cell r="F1606">
            <v>1</v>
          </cell>
          <cell r="G1606" t="str">
            <v>Code A</v>
          </cell>
        </row>
        <row r="1607">
          <cell r="A1607" t="str">
            <v>KHF-00-104265-RA-6038-00916-0000-1</v>
          </cell>
          <cell r="B1607" t="str">
            <v>KHF_AIP_D_EXT_01123</v>
          </cell>
          <cell r="C1607">
            <v>43548</v>
          </cell>
          <cell r="D1607" t="str">
            <v>KHF-00-104265-RA-6038-00916-0000</v>
          </cell>
          <cell r="E1607" t="str">
            <v>Procedure for Dry Magnetic Testing for Hot Piping Welds</v>
          </cell>
          <cell r="F1607">
            <v>1</v>
          </cell>
          <cell r="G1607" t="str">
            <v>Code A</v>
          </cell>
        </row>
        <row r="1608">
          <cell r="A1608" t="str">
            <v>KHF-00-104265-FA-5765-10040-0000-6</v>
          </cell>
          <cell r="B1608" t="str">
            <v>KHF_AIP_D_EXT_01124</v>
          </cell>
          <cell r="C1608">
            <v>43548</v>
          </cell>
          <cell r="D1608" t="str">
            <v>KHF-00-104265-FA-5765-10040-0000</v>
          </cell>
          <cell r="E1608" t="str">
            <v>PROJECT SCHEDULE - LEVEL 04</v>
          </cell>
          <cell r="F1608">
            <v>6</v>
          </cell>
          <cell r="G1608" t="str">
            <v>Code D</v>
          </cell>
        </row>
        <row r="1609">
          <cell r="A1609" t="str">
            <v>KHF-00-104265-BA-6065-50057-0000-1</v>
          </cell>
          <cell r="B1609" t="str">
            <v>KHF_AIP_D_EXT_01125</v>
          </cell>
          <cell r="C1609">
            <v>43548</v>
          </cell>
          <cell r="D1609" t="str">
            <v>KHF-00-104265-BA-6065-50057-0000</v>
          </cell>
          <cell r="E1609" t="str">
            <v>Brazing Procedure Specification - HVAC, BPS No - BPS-01</v>
          </cell>
          <cell r="F1609">
            <v>1</v>
          </cell>
          <cell r="G1609" t="str">
            <v>Code A</v>
          </cell>
        </row>
        <row r="1610">
          <cell r="A1610" t="str">
            <v>KHF-00-104265-BA-6065-50058-0000-1</v>
          </cell>
          <cell r="B1610" t="str">
            <v>KHF_AIP_D_EXT_01125</v>
          </cell>
          <cell r="C1610">
            <v>43548</v>
          </cell>
          <cell r="D1610" t="str">
            <v>KHF-00-104265-BA-6065-50058-0000</v>
          </cell>
          <cell r="E1610" t="str">
            <v>Brazing Procedure Specification - HVAC, BPS No - BPS-02</v>
          </cell>
          <cell r="F1610">
            <v>1</v>
          </cell>
          <cell r="G1610" t="str">
            <v>Code A</v>
          </cell>
        </row>
        <row r="1611">
          <cell r="A1611" t="str">
            <v>KHF-00-104265-RA-6038-01301-0000-1</v>
          </cell>
          <cell r="B1611" t="str">
            <v>KHF_AIP_D_EXT_01126</v>
          </cell>
          <cell r="C1611">
            <v>43550</v>
          </cell>
          <cell r="D1611" t="str">
            <v>KHF-00-104265-RA-6038-01301-0000</v>
          </cell>
          <cell r="E1611" t="str">
            <v>Procedure for  Radiographic Examination for Piping Work</v>
          </cell>
          <cell r="F1611">
            <v>1</v>
          </cell>
          <cell r="G1611" t="str">
            <v>Code A</v>
          </cell>
        </row>
        <row r="1612">
          <cell r="A1612" t="str">
            <v>KHF-00-104265-RA-6038-01302-0000-1</v>
          </cell>
          <cell r="B1612" t="str">
            <v>KHF_AIP_D_EXT_01126</v>
          </cell>
          <cell r="C1612">
            <v>43550</v>
          </cell>
          <cell r="D1612" t="str">
            <v>KHF-00-104265-RA-6038-01302-0000</v>
          </cell>
          <cell r="E1612" t="str">
            <v>Procedure  for Magnetic Particle Examination for Piping</v>
          </cell>
          <cell r="F1612">
            <v>1</v>
          </cell>
          <cell r="G1612" t="str">
            <v>Code A</v>
          </cell>
        </row>
        <row r="1613">
          <cell r="A1613" t="str">
            <v>KHF-00-104265-RA-6038-01303-0000-1</v>
          </cell>
          <cell r="B1613" t="str">
            <v>KHF_AIP_D_EXT_01126</v>
          </cell>
          <cell r="C1613">
            <v>43550</v>
          </cell>
          <cell r="D1613" t="str">
            <v>KHF-00-104265-RA-6038-01303-0000</v>
          </cell>
          <cell r="E1613" t="str">
            <v>Procedure  for Liquid Penetrant Examination for Piping</v>
          </cell>
          <cell r="F1613">
            <v>1</v>
          </cell>
          <cell r="G1613" t="str">
            <v>Code A</v>
          </cell>
        </row>
        <row r="1614">
          <cell r="A1614" t="str">
            <v>KHF-00-104265-RA-6038-01304-0000-1</v>
          </cell>
          <cell r="B1614" t="str">
            <v>KHF_AIP_D_EXT_01126</v>
          </cell>
          <cell r="C1614">
            <v>43550</v>
          </cell>
          <cell r="D1614" t="str">
            <v>KHF-00-104265-RA-6038-01304-0000</v>
          </cell>
          <cell r="E1614" t="str">
            <v>Procedure  for Ultrasonic Examination for Lamination Check and Thickness measurement for Piping</v>
          </cell>
          <cell r="F1614">
            <v>1</v>
          </cell>
          <cell r="G1614" t="str">
            <v>Code A</v>
          </cell>
        </row>
        <row r="1615">
          <cell r="A1615" t="str">
            <v>KHF-00-104265-RA-6038-01307-0000-1</v>
          </cell>
          <cell r="B1615" t="str">
            <v>KHF_AIP_D_EXT_01126</v>
          </cell>
          <cell r="C1615">
            <v>43550</v>
          </cell>
          <cell r="D1615" t="str">
            <v>KHF-00-104265-RA-6038-01307-0000</v>
          </cell>
          <cell r="E1615" t="str">
            <v>Procedure for Radiographic Examination for Structure Work</v>
          </cell>
          <cell r="F1615">
            <v>1</v>
          </cell>
          <cell r="G1615" t="str">
            <v>Code A</v>
          </cell>
        </row>
        <row r="1616">
          <cell r="A1616" t="str">
            <v>KHF-00-104265-RA-6038-01308-0000-1</v>
          </cell>
          <cell r="B1616" t="str">
            <v>KHF_AIP_D_EXT_01126</v>
          </cell>
          <cell r="C1616">
            <v>43550</v>
          </cell>
          <cell r="D1616" t="str">
            <v>KHF-00-104265-RA-6038-01308-0000</v>
          </cell>
          <cell r="E1616" t="str">
            <v>Procedure for Magnetic Particle Examination for Structure Work</v>
          </cell>
          <cell r="F1616">
            <v>1</v>
          </cell>
          <cell r="G1616" t="str">
            <v>Code A</v>
          </cell>
        </row>
        <row r="1617">
          <cell r="A1617" t="str">
            <v>KHF-00-104265-RA-6038-01309-0000-1</v>
          </cell>
          <cell r="B1617" t="str">
            <v>KHF_AIP_D_EXT_01127</v>
          </cell>
          <cell r="C1617">
            <v>43550</v>
          </cell>
          <cell r="D1617" t="str">
            <v>KHF-00-104265-RA-6038-01309-0000</v>
          </cell>
          <cell r="E1617" t="str">
            <v>Procedure for Liquid Penetrant Examination for Structure Work</v>
          </cell>
          <cell r="F1617">
            <v>1</v>
          </cell>
          <cell r="G1617" t="str">
            <v>Code A</v>
          </cell>
        </row>
        <row r="1618">
          <cell r="A1618" t="str">
            <v>KHF-00-104265-BA-6070-42028-0000-2</v>
          </cell>
          <cell r="B1618" t="str">
            <v>KHF_AIP_D_EXT_01128</v>
          </cell>
          <cell r="C1618">
            <v>43550</v>
          </cell>
          <cell r="D1618" t="str">
            <v>KHF-00-104265-BA-6070-42028-0000</v>
          </cell>
          <cell r="E1618" t="str">
            <v>Method Statement for Aboveground Sections Hydrotesting of CS Pipelines</v>
          </cell>
          <cell r="F1618">
            <v>2</v>
          </cell>
          <cell r="G1618" t="str">
            <v>Code B</v>
          </cell>
        </row>
        <row r="1619">
          <cell r="A1619" t="str">
            <v>KHF-00-104265-BA-6065-50010-0000-1</v>
          </cell>
          <cell r="B1619" t="str">
            <v>KHF_AIP_D_EXT_01128</v>
          </cell>
          <cell r="C1619">
            <v>43550</v>
          </cell>
          <cell r="D1619" t="str">
            <v>KHF-00-104265-BA-6065-50010-0000</v>
          </cell>
          <cell r="E1619" t="str">
            <v>WPS - Pipe Shoe Support to Wear Pad - Pipelines, PL-7, PL-8 &amp; PL-9 (AIR-WPS-PL-009)</v>
          </cell>
          <cell r="F1619">
            <v>1</v>
          </cell>
          <cell r="G1619" t="str">
            <v>Code A</v>
          </cell>
        </row>
        <row r="1620">
          <cell r="A1620" t="str">
            <v>KHF-00-104265-BA-6065-50011-0000-1</v>
          </cell>
          <cell r="B1620" t="str">
            <v>KHF_AIP_D_EXT_01128</v>
          </cell>
          <cell r="C1620">
            <v>43550</v>
          </cell>
          <cell r="D1620" t="str">
            <v>KHF-00-104265-BA-6065-50011-0000</v>
          </cell>
          <cell r="E1620" t="str">
            <v>WPS - Pipe Shoe Support to Wear Pad - Pipelines, PL-5 (AIR-WPS-PL-008)</v>
          </cell>
          <cell r="F1620">
            <v>1</v>
          </cell>
          <cell r="G1620" t="str">
            <v>Code A</v>
          </cell>
        </row>
        <row r="1621">
          <cell r="A1621" t="str">
            <v>KHF-00-104265-BA-6065-50003-0000-4</v>
          </cell>
          <cell r="B1621" t="str">
            <v>KHF_AIP_D_EXT_01129</v>
          </cell>
          <cell r="C1621">
            <v>43550</v>
          </cell>
          <cell r="D1621" t="str">
            <v>KHF-00-104265-BA-6065-50003-0000</v>
          </cell>
          <cell r="E1621" t="str">
            <v>WPS - Pipe to Barred Tee / Flange - Pipeline PL-7, PL-8 &amp; PL-9 (AIP-WPS-PL-002) - Qualified thickness range - 5.30mm to 10.6mm</v>
          </cell>
          <cell r="F1621">
            <v>4</v>
          </cell>
          <cell r="G1621" t="str">
            <v>Code B</v>
          </cell>
        </row>
        <row r="1622">
          <cell r="A1622" t="str">
            <v>KHF-00-104265-BA-6065-50002-0000-4</v>
          </cell>
          <cell r="B1622" t="str">
            <v>KHF_AIP_D_EXT_01130</v>
          </cell>
          <cell r="C1622">
            <v>43550</v>
          </cell>
          <cell r="D1622" t="str">
            <v>KHF-00-104265-BA-6065-50002-0000</v>
          </cell>
          <cell r="E1622" t="str">
            <v>WPS - Pipe to Barred Tee / Reduced Tee / Flange / Valve Pup Piece - Applicable for Pipeline PL1, PL2, PL3 &amp; PL4 - Qualified Thickness Range - 7.5mm to 15.0mm</v>
          </cell>
          <cell r="F1622">
            <v>4</v>
          </cell>
          <cell r="G1622" t="str">
            <v>Code B</v>
          </cell>
        </row>
        <row r="1623">
          <cell r="A1623" t="str">
            <v>KHF-00-104265-BA-6070-44007-0000-1</v>
          </cell>
          <cell r="B1623" t="str">
            <v>KHF_AIP_D_EXT_01131</v>
          </cell>
          <cell r="C1623">
            <v>43551</v>
          </cell>
          <cell r="D1623" t="str">
            <v>KHF-00-104265-BA-6070-44007-0000</v>
          </cell>
          <cell r="E1623" t="str">
            <v>METHOD STATEMENT FOR LOOP CHECKING AND FUNCTION CHECKING INSTRUMENTS</v>
          </cell>
          <cell r="F1623">
            <v>1</v>
          </cell>
          <cell r="G1623" t="str">
            <v>Code B</v>
          </cell>
        </row>
        <row r="1624">
          <cell r="A1624">
            <v>0</v>
          </cell>
          <cell r="B1624" t="str">
            <v>KHF_AIP_D_EXT_01132</v>
          </cell>
          <cell r="C1624">
            <v>43552</v>
          </cell>
          <cell r="D1624" t="str">
            <v>-</v>
          </cell>
          <cell r="E1624" t="str">
            <v>AFC Drawings</v>
          </cell>
          <cell r="F1624" t="str">
            <v>-</v>
          </cell>
          <cell r="G1624" t="str">
            <v>24 drawings</v>
          </cell>
        </row>
        <row r="1625">
          <cell r="A1625" t="str">
            <v>KHF-00-104265-RA-8241-51088-0000-1</v>
          </cell>
          <cell r="B1625" t="str">
            <v>KHF_AIP_D_EXT_01133</v>
          </cell>
          <cell r="C1625">
            <v>43552</v>
          </cell>
          <cell r="D1625" t="str">
            <v>KHF-00-104265-RA-8241-51088-0000</v>
          </cell>
          <cell r="E1625" t="str">
            <v>MATERIAL APPROVAL SHEET FOR AGGREGATES</v>
          </cell>
          <cell r="F1625">
            <v>1</v>
          </cell>
          <cell r="G1625" t="str">
            <v>Code C</v>
          </cell>
        </row>
        <row r="1626">
          <cell r="A1626" t="str">
            <v>KHF-00-104265-RA-8241-51191-0000-1</v>
          </cell>
          <cell r="B1626" t="str">
            <v>KHF_AIP_D_EXT_01134</v>
          </cell>
          <cell r="C1626">
            <v>43552</v>
          </cell>
          <cell r="D1626" t="str">
            <v>KHF-00-104265-RA-8241-51191-0000</v>
          </cell>
          <cell r="E1626" t="str">
            <v>Material Approval Sheet for ERW Steel Pipes (for Deep Well Earth PIT &amp; Bollards)</v>
          </cell>
          <cell r="F1626">
            <v>1</v>
          </cell>
          <cell r="G1626" t="str">
            <v>Code A</v>
          </cell>
        </row>
        <row r="1627">
          <cell r="A1627" t="str">
            <v>KHF-00-104265-AA-3341-60158-0000-1</v>
          </cell>
          <cell r="B1627" t="str">
            <v>KHF_AIP_D_EXT_01135</v>
          </cell>
          <cell r="C1627">
            <v>43555</v>
          </cell>
          <cell r="D1627" t="str">
            <v>KHF-00-104265-AA-3341-60158-0000</v>
          </cell>
          <cell r="E1627" t="str">
            <v>CV of Mr. Vijaykumar S. Karikai - Lead Pre-Commissioning Engieer</v>
          </cell>
          <cell r="F1627">
            <v>1</v>
          </cell>
          <cell r="G1627" t="str">
            <v>Code B</v>
          </cell>
        </row>
        <row r="1628">
          <cell r="A1628" t="str">
            <v>KHF-00-104265-BA-6070-42031-0000-2</v>
          </cell>
          <cell r="B1628" t="str">
            <v>KHF_AIP_D_EXT_01136</v>
          </cell>
          <cell r="C1628">
            <v>43555</v>
          </cell>
          <cell r="D1628" t="str">
            <v>KHF-00-104265-BA-6070-42031-0000</v>
          </cell>
          <cell r="E1628" t="str">
            <v>Method Statement for Insulation &amp; Installation of Refrigerant Piping in GIS &amp; GTG Building</v>
          </cell>
          <cell r="F1628">
            <v>2</v>
          </cell>
          <cell r="G1628" t="str">
            <v>Code A</v>
          </cell>
        </row>
        <row r="1629">
          <cell r="A1629" t="str">
            <v>KHF-00-104265-RA-6038-00917-0000-1</v>
          </cell>
          <cell r="B1629" t="str">
            <v>KHF_AIP_D_EXT_01137</v>
          </cell>
          <cell r="C1629">
            <v>43556</v>
          </cell>
          <cell r="D1629" t="str">
            <v>KHF-00-104265-RA-6038-00917-0000</v>
          </cell>
          <cell r="E1629" t="str">
            <v>Procedure for Digitization of Radiographs</v>
          </cell>
          <cell r="F1629">
            <v>1</v>
          </cell>
          <cell r="G1629" t="str">
            <v>Code B</v>
          </cell>
        </row>
        <row r="1630">
          <cell r="A1630" t="str">
            <v>KHF-00-104265-RA-6038-00918-0000-1</v>
          </cell>
          <cell r="B1630" t="str">
            <v>KHF_AIP_D_EXT_01138</v>
          </cell>
          <cell r="C1630">
            <v>43556</v>
          </cell>
          <cell r="D1630" t="str">
            <v>KHF-00-104265-RA-6038-00918-0000</v>
          </cell>
          <cell r="E1630" t="str">
            <v>Visual Examination procedure for piping using Boroscope</v>
          </cell>
          <cell r="F1630">
            <v>1</v>
          </cell>
          <cell r="G1630" t="str">
            <v>Code D</v>
          </cell>
        </row>
        <row r="1631">
          <cell r="A1631" t="str">
            <v>KHF-00-104265-QA-5733-24008-0000-2</v>
          </cell>
          <cell r="B1631" t="str">
            <v>KHF_AIP_D_EXT_01139</v>
          </cell>
          <cell r="C1631">
            <v>43557</v>
          </cell>
          <cell r="D1631" t="str">
            <v>KHF-00-104265-QA-5733-24008-0000</v>
          </cell>
          <cell r="E1631" t="str">
            <v>Inspection Test Plan for Fiber Optic Cable (FOC) Installation and Testing</v>
          </cell>
          <cell r="F1631">
            <v>2</v>
          </cell>
          <cell r="G1631" t="str">
            <v>Code A</v>
          </cell>
        </row>
        <row r="1632">
          <cell r="A1632" t="str">
            <v>KHF-00-104265-AA-3341-60155-0000-1</v>
          </cell>
          <cell r="B1632" t="str">
            <v>KHF_AIP_D_EXT_01140</v>
          </cell>
          <cell r="C1632">
            <v>43557</v>
          </cell>
          <cell r="D1632" t="str">
            <v>KHF-00-104265-AA-3341-60155-0000</v>
          </cell>
          <cell r="E1632" t="str">
            <v>CV OF MR-HARIKRISHNAN KOCHEILATHU - WELDING ENGINEER</v>
          </cell>
          <cell r="F1632">
            <v>1</v>
          </cell>
          <cell r="G1632" t="str">
            <v>Code B</v>
          </cell>
        </row>
        <row r="1633">
          <cell r="A1633" t="str">
            <v>KHF-00-104265-QA-5733-22003-0000-2</v>
          </cell>
          <cell r="B1633" t="str">
            <v>KHF_AIP_D_EXT_01141</v>
          </cell>
          <cell r="C1633">
            <v>43557</v>
          </cell>
          <cell r="D1633" t="str">
            <v>KHF-00-104265-QA-5733-22003-0000</v>
          </cell>
          <cell r="E1633" t="str">
            <v>Inspection and Test Plan for Steel Structural Fabrication, Welding and Erection</v>
          </cell>
          <cell r="F1633">
            <v>2</v>
          </cell>
          <cell r="G1633" t="str">
            <v>Code A</v>
          </cell>
        </row>
        <row r="1634">
          <cell r="A1634" t="str">
            <v>KHF-00-104265-QA-5733-01310-0000-3</v>
          </cell>
          <cell r="B1634" t="str">
            <v>KHF_AIP_D_EXT_01142</v>
          </cell>
          <cell r="C1634">
            <v>43557</v>
          </cell>
          <cell r="D1634" t="str">
            <v>KHF-00-104265-QA-5733-01310-0000</v>
          </cell>
          <cell r="E1634" t="str">
            <v>ITP for Installation of Non Boiler External and General Piping - Carbon Steel</v>
          </cell>
          <cell r="F1634">
            <v>3</v>
          </cell>
          <cell r="G1634" t="str">
            <v>Code A</v>
          </cell>
        </row>
        <row r="1635">
          <cell r="A1635" t="str">
            <v>---</v>
          </cell>
          <cell r="B1635" t="str">
            <v>KHF_AIP_D_EXT_01143</v>
          </cell>
          <cell r="C1635">
            <v>43562</v>
          </cell>
          <cell r="D1635" t="str">
            <v>-</v>
          </cell>
          <cell r="E1635" t="str">
            <v>AFC Drawings</v>
          </cell>
          <cell r="F1635" t="str">
            <v>-</v>
          </cell>
          <cell r="G1635" t="str">
            <v>01 drawing</v>
          </cell>
        </row>
        <row r="1636">
          <cell r="A1636" t="str">
            <v>KHF-00-104265-AA-3341-60147-0000-1</v>
          </cell>
          <cell r="B1636" t="str">
            <v>KHF_AIP_D_EXT_01144</v>
          </cell>
          <cell r="C1636">
            <v>43562</v>
          </cell>
          <cell r="D1636" t="str">
            <v>KHF-00-104265-AA-3341-60147-0000</v>
          </cell>
          <cell r="E1636" t="str">
            <v>CV OF MR. KATHAPERUMAL NAGARAJAN - LEAD PIPING ENGINEER</v>
          </cell>
          <cell r="F1636">
            <v>1</v>
          </cell>
          <cell r="G1636" t="str">
            <v>Code A</v>
          </cell>
        </row>
        <row r="1637">
          <cell r="A1637" t="str">
            <v>KHF-00-104265-AA-3341-60150-0000-1</v>
          </cell>
          <cell r="B1637" t="str">
            <v>KHF_AIP_D_EXT_01145</v>
          </cell>
          <cell r="C1637">
            <v>43562</v>
          </cell>
          <cell r="D1637" t="str">
            <v>KHF-00-104265-AA-3341-60150-0000</v>
          </cell>
          <cell r="E1637" t="str">
            <v>CV OF MR. RATHEESH KUMAR.S - HSE ADVISOR</v>
          </cell>
          <cell r="F1637">
            <v>1</v>
          </cell>
          <cell r="G1637" t="str">
            <v>Code A</v>
          </cell>
        </row>
        <row r="1638">
          <cell r="A1638" t="str">
            <v>KHF-00-104265-AA-3341-60159-0000-1</v>
          </cell>
          <cell r="B1638" t="str">
            <v>KHF_AIP_D_EXT_01146</v>
          </cell>
          <cell r="C1638">
            <v>43562</v>
          </cell>
          <cell r="D1638" t="str">
            <v>KHF-00-104265-AA-3341-60159-0000</v>
          </cell>
          <cell r="E1638" t="str">
            <v>CV of Dr. Mohsin Sabir Khan - Medical Officer</v>
          </cell>
          <cell r="F1638">
            <v>1</v>
          </cell>
          <cell r="G1638" t="str">
            <v>Code A</v>
          </cell>
        </row>
        <row r="1639">
          <cell r="A1639" t="str">
            <v>withdrawn by PDO</v>
          </cell>
          <cell r="B1639" t="str">
            <v>KHF_AIP_D_EXT_01147</v>
          </cell>
          <cell r="C1639">
            <v>43562</v>
          </cell>
          <cell r="D1639" t="str">
            <v>KHF-00-104265-BA-6070-01303-0000</v>
          </cell>
          <cell r="E1639" t="str">
            <v>Method Statement for Mechanical Installation of HRSG pressure parts, piping, steam drum and HRSG auxiliaries</v>
          </cell>
          <cell r="F1639">
            <v>1</v>
          </cell>
          <cell r="G1639" t="str">
            <v>withdrawn by PDO</v>
          </cell>
        </row>
        <row r="1640">
          <cell r="A1640" t="str">
            <v>KHF-00-104265-HX-6180-00902-0000-4</v>
          </cell>
          <cell r="B1640" t="str">
            <v>KHF_AIP_D_EXT_01148</v>
          </cell>
          <cell r="C1640">
            <v>43562</v>
          </cell>
          <cell r="D1640" t="str">
            <v>KHF-00-104265-HX-6180-00902-0000</v>
          </cell>
          <cell r="E1640" t="str">
            <v>Standard Handling Procedures for the Transport of Radioisotopes</v>
          </cell>
          <cell r="F1640">
            <v>4</v>
          </cell>
          <cell r="G1640" t="str">
            <v>Code A</v>
          </cell>
        </row>
        <row r="1641">
          <cell r="A1641" t="str">
            <v>KHF-00-104265-QA-5733-01302-0000-3</v>
          </cell>
          <cell r="B1641" t="str">
            <v>KHF_AIP_D_EXT_01149</v>
          </cell>
          <cell r="C1641">
            <v>43562</v>
          </cell>
          <cell r="D1641" t="str">
            <v>KHF-00-104265-QA-5733-01302-0000</v>
          </cell>
          <cell r="E1641" t="str">
            <v>ITP for Installation of GTG Package and its Auxiliaries (Mechanical Works)</v>
          </cell>
          <cell r="F1641">
            <v>3</v>
          </cell>
          <cell r="G1641" t="str">
            <v>Code A</v>
          </cell>
        </row>
        <row r="1642">
          <cell r="A1642" t="str">
            <v>KHF-00-104265-QA-5733-22007-0000-1</v>
          </cell>
          <cell r="B1642" t="str">
            <v>KHF_AIP_D_EXT_01150</v>
          </cell>
          <cell r="C1642">
            <v>43562</v>
          </cell>
          <cell r="D1642" t="str">
            <v>KHF-00-104265-QA-5733-22007-0000</v>
          </cell>
          <cell r="E1642" t="str">
            <v>Inspection Test Plan for Pipeline Golden Joint Welding (Tie-In)</v>
          </cell>
          <cell r="F1642">
            <v>1</v>
          </cell>
          <cell r="G1642" t="str">
            <v>Code A</v>
          </cell>
        </row>
        <row r="1643">
          <cell r="A1643" t="str">
            <v>KHF-00-104265-QA-6050-32006-0000-2</v>
          </cell>
          <cell r="B1643" t="str">
            <v>KHF_AIP_D_EXT_01151</v>
          </cell>
          <cell r="C1643">
            <v>43562</v>
          </cell>
          <cell r="D1643" t="str">
            <v>KHF-00-104265-QA-6050-32006-0000</v>
          </cell>
          <cell r="E1643" t="str">
            <v>Procedure for Pipeline Golden Joint (Tie-in) Welding</v>
          </cell>
          <cell r="F1643">
            <v>2</v>
          </cell>
          <cell r="G1643" t="str">
            <v>Code A</v>
          </cell>
        </row>
        <row r="1644">
          <cell r="A1644" t="str">
            <v>KHF-00-104265-RA-8241-51194-0000-1</v>
          </cell>
          <cell r="B1644" t="str">
            <v>KHF_AIP_D_EXT_01152</v>
          </cell>
          <cell r="C1644">
            <v>43562</v>
          </cell>
          <cell r="D1644" t="str">
            <v>KHF-00-104265-RA-8241-51194-0000</v>
          </cell>
          <cell r="E1644" t="str">
            <v>Material Approval Sheet for Gratings</v>
          </cell>
          <cell r="F1644">
            <v>1</v>
          </cell>
          <cell r="G1644" t="str">
            <v>Code D</v>
          </cell>
        </row>
        <row r="1645">
          <cell r="A1645" t="str">
            <v>KHF-00-104265-BA-6065-50066-0000-1</v>
          </cell>
          <cell r="B1645" t="str">
            <v>KHF_AIP_D_EXT_01153</v>
          </cell>
          <cell r="C1645">
            <v>43563</v>
          </cell>
          <cell r="D1645" t="str">
            <v>KHF-00-104265-BA-6065-50066-0000</v>
          </cell>
          <cell r="E1645" t="str">
            <v>Welding, NDT &amp; GRE PCAP Control ID Index (Control IDs  - 170, 176 &amp; 488)</v>
          </cell>
          <cell r="F1645">
            <v>1</v>
          </cell>
          <cell r="G1645" t="str">
            <v>Code B</v>
          </cell>
        </row>
        <row r="1646">
          <cell r="A1646" t="str">
            <v>KHF-00-104265-RA-8241-51197-0000-1</v>
          </cell>
          <cell r="B1646" t="str">
            <v>KHF_AIP_D_EXT_01154</v>
          </cell>
          <cell r="C1646">
            <v>43563</v>
          </cell>
          <cell r="D1646" t="str">
            <v>KHF-00-104265-RA-8241-51197-0000</v>
          </cell>
          <cell r="E1646" t="str">
            <v>Material Approval Sheet for Masterprotect (Epoxy Resin Coating)</v>
          </cell>
          <cell r="F1646">
            <v>1</v>
          </cell>
          <cell r="G1646" t="str">
            <v>Code C</v>
          </cell>
        </row>
        <row r="1647">
          <cell r="A1647" t="str">
            <v>KHF-00-104265-RA-8241-51190-0000-1</v>
          </cell>
          <cell r="B1647" t="str">
            <v>KHF_AIP_D_EXT_01155</v>
          </cell>
          <cell r="C1647">
            <v>43564</v>
          </cell>
          <cell r="D1647" t="str">
            <v>KHF-00-104265-RA-8241-51190-0000</v>
          </cell>
          <cell r="E1647" t="str">
            <v>Material Approval Sheet for Cable Cleat Clamps for Single Core 132 KV Cable</v>
          </cell>
          <cell r="F1647">
            <v>1</v>
          </cell>
          <cell r="G1647" t="str">
            <v>Code A</v>
          </cell>
        </row>
        <row r="1648">
          <cell r="A1648" t="str">
            <v>KHF-00-104265-BA-6065-00699-0000-4</v>
          </cell>
          <cell r="B1648" t="str">
            <v>KHF_AIP_D_EXT_01156</v>
          </cell>
          <cell r="C1648">
            <v>43565</v>
          </cell>
          <cell r="D1648" t="str">
            <v>KHF-00-104265-BA-6065-00699-0000</v>
          </cell>
          <cell r="E1648" t="str">
            <v>WPS Register</v>
          </cell>
          <cell r="F1648">
            <v>4</v>
          </cell>
          <cell r="G1648" t="str">
            <v>Code C</v>
          </cell>
        </row>
        <row r="1649">
          <cell r="A1649" t="str">
            <v>KHF-00-104265-BA-6065-01307-0000-1</v>
          </cell>
          <cell r="B1649" t="str">
            <v>KHF_AIP_D_EXT_01157</v>
          </cell>
          <cell r="C1649">
            <v>43565</v>
          </cell>
          <cell r="D1649" t="str">
            <v>KHF-00-104265-BA-6065-01307-0000</v>
          </cell>
          <cell r="E1649" t="str">
            <v>Welding Procedure Specification - Carbon Steel WPS No. JWPS-95 (Non-Sour Service)</v>
          </cell>
          <cell r="F1649">
            <v>1</v>
          </cell>
          <cell r="G1649" t="str">
            <v>Code B</v>
          </cell>
        </row>
        <row r="1650">
          <cell r="A1650" t="str">
            <v>KHF-00-104265-BA-6065-01308-0000-1</v>
          </cell>
          <cell r="B1650" t="str">
            <v>KHF_AIP_D_EXT_01157</v>
          </cell>
          <cell r="C1650">
            <v>43565</v>
          </cell>
          <cell r="D1650" t="str">
            <v>KHF-00-104265-BA-6065-01308-0000</v>
          </cell>
          <cell r="E1650" t="str">
            <v>Welding Procedure Specification - Carbon Steel WPS No. JWPS-96 (Non-Sour Service)</v>
          </cell>
          <cell r="F1650">
            <v>1</v>
          </cell>
          <cell r="G1650" t="str">
            <v>Code B</v>
          </cell>
        </row>
        <row r="1651">
          <cell r="A1651" t="str">
            <v>KHF-00-104265-BA-6065-50002-0000-5</v>
          </cell>
          <cell r="B1651" t="str">
            <v>KHF_AIP_D_EXT_01158</v>
          </cell>
          <cell r="C1651">
            <v>43565</v>
          </cell>
          <cell r="D1651" t="str">
            <v>KHF-00-104265-BA-6065-50002-0000</v>
          </cell>
          <cell r="E1651" t="str">
            <v>WPS - Pipe to Barred Tee / Reduced Tee / Flange / Valve Pup Piece - Applicable for Pipeline PL1, PL2, PL3 &amp; PL4 - Qualified Thickness Range - 7.5mm to 15.0mm</v>
          </cell>
          <cell r="F1651">
            <v>5</v>
          </cell>
          <cell r="G1651" t="str">
            <v>Code A</v>
          </cell>
        </row>
        <row r="1652">
          <cell r="A1652" t="str">
            <v>KHF-00-104265-BA-6065-50003-0000-5</v>
          </cell>
          <cell r="B1652" t="str">
            <v>KHF_AIP_D_EXT_01159</v>
          </cell>
          <cell r="C1652">
            <v>43565</v>
          </cell>
          <cell r="D1652" t="str">
            <v>KHF-00-104265-BA-6065-50003-0000</v>
          </cell>
          <cell r="E1652" t="str">
            <v>WPS - Pipe to Barred Tee / Flange - Pipeline PL-7, PL-8 &amp; PL-9 (AIP-WPS-PL-002) - Qualified thickness range - 5.30mm to 10.6mm</v>
          </cell>
          <cell r="F1652">
            <v>5</v>
          </cell>
          <cell r="G1652" t="str">
            <v>Code A</v>
          </cell>
        </row>
        <row r="1653">
          <cell r="A1653" t="str">
            <v>KHF-00-104265-BA-6065-50004-0000-4</v>
          </cell>
          <cell r="B1653" t="str">
            <v>KHF_AIP_D_EXT_01160</v>
          </cell>
          <cell r="C1653">
            <v>43565</v>
          </cell>
          <cell r="D1653" t="str">
            <v>KHF-00-104265-BA-6065-50004-0000</v>
          </cell>
          <cell r="E1653" t="str">
            <v>WPS - Pipe to Barred Tee / Flange - Pipeline PL-5 (AIP-WPS-PL-003)</v>
          </cell>
          <cell r="F1653">
            <v>4</v>
          </cell>
          <cell r="G1653" t="str">
            <v>Code A</v>
          </cell>
        </row>
        <row r="1654">
          <cell r="A1654" t="str">
            <v>KHF-00-104265-BA-6065-50007-0000-3</v>
          </cell>
          <cell r="B1654" t="str">
            <v>KHF_AIP_D_EXT_01161</v>
          </cell>
          <cell r="C1654">
            <v>43565</v>
          </cell>
          <cell r="D1654" t="str">
            <v>KHF-00-104265-BA-6065-50007-0000</v>
          </cell>
          <cell r="E1654" t="str">
            <v>WBS - Weldolet to Flange Welding Applicable for Butt Welding for Pipeline PL1, PL2, PL3, PL4, PL5, PL7, PL8, PL9 &amp;PL9A</v>
          </cell>
          <cell r="F1654">
            <v>3</v>
          </cell>
          <cell r="G1654" t="str">
            <v>Code A</v>
          </cell>
        </row>
        <row r="1655">
          <cell r="A1655" t="str">
            <v>KHF-00-104265-BA-6065-50008-0000-3</v>
          </cell>
          <cell r="B1655" t="str">
            <v>KHF_AIP_D_EXT_01161</v>
          </cell>
          <cell r="C1655">
            <v>43565</v>
          </cell>
          <cell r="D1655" t="str">
            <v>KHF-00-104265-BA-6065-50008-0000</v>
          </cell>
          <cell r="E1655" t="str">
            <v>WPS - Reduced Tee to Flange - Pipeline PL-1, PL-2, PL-3 &amp; PL-4 (AIP-WPS-PL007)</v>
          </cell>
          <cell r="F1655">
            <v>3</v>
          </cell>
          <cell r="G1655" t="str">
            <v>Code A</v>
          </cell>
        </row>
        <row r="1656">
          <cell r="A1656" t="str">
            <v>KHF-00-104265-BA-6065-50012-0000-1</v>
          </cell>
          <cell r="B1656" t="str">
            <v>KHF_AIP_D_EXT_01162</v>
          </cell>
          <cell r="C1656">
            <v>43565</v>
          </cell>
          <cell r="D1656" t="str">
            <v>KHF-00-104265-BA-6065-50012-0000</v>
          </cell>
          <cell r="E1656" t="str">
            <v>WPS - Pipe to Weldolet - Pipeline PL-1, PL-2, PL-3 &amp; PL-4 (AIP-WPS-PL-010)</v>
          </cell>
          <cell r="F1656">
            <v>1</v>
          </cell>
          <cell r="G1656" t="str">
            <v>Code A</v>
          </cell>
        </row>
        <row r="1657">
          <cell r="A1657" t="str">
            <v>KHF-00-104265-AA-3341-60002-0000-2</v>
          </cell>
          <cell r="B1657" t="str">
            <v>KHF_AIP_D_EXT_01163</v>
          </cell>
          <cell r="C1657">
            <v>43570</v>
          </cell>
          <cell r="D1657" t="str">
            <v>KHF-00-104265-AA-3341-60002-0000</v>
          </cell>
          <cell r="E1657" t="str">
            <v>CV OF MR. AKHOSH KRISHNA - AIP LEAD HSSE ADVISOR</v>
          </cell>
          <cell r="F1657">
            <v>2</v>
          </cell>
          <cell r="G1657" t="str">
            <v>Code A</v>
          </cell>
        </row>
        <row r="1658">
          <cell r="A1658" t="str">
            <v>KHF-00-104265-AA-3341-60145-0000-1</v>
          </cell>
          <cell r="B1658" t="str">
            <v>KHF_AIP_D_EXT_01164</v>
          </cell>
          <cell r="C1658">
            <v>43570</v>
          </cell>
          <cell r="D1658" t="str">
            <v>KHF-00-104265-AA-3341-60145-0000</v>
          </cell>
          <cell r="E1658" t="str">
            <v>CV OF MR. K.SUBBA RAO- AIP SITE BASED SENIOR HSE ADVISOR</v>
          </cell>
          <cell r="F1658">
            <v>1</v>
          </cell>
          <cell r="G1658" t="str">
            <v>Code D</v>
          </cell>
        </row>
        <row r="1659">
          <cell r="A1659" t="str">
            <v>KHF-00-104265-AA-6944-10072-0000-1</v>
          </cell>
          <cell r="B1659" t="str">
            <v>KHF_AIP_D_EXT_01165</v>
          </cell>
          <cell r="C1659">
            <v>43570</v>
          </cell>
          <cell r="D1659" t="str">
            <v>KHF-00-104265-AA-6944-10072-0000</v>
          </cell>
          <cell r="E1659" t="str">
            <v>WEEKLY PROGRESS REPORT NO.072</v>
          </cell>
          <cell r="F1659">
            <v>1</v>
          </cell>
          <cell r="G1659" t="str">
            <v>Code D</v>
          </cell>
        </row>
        <row r="1660">
          <cell r="A1660" t="str">
            <v>KHF-00-104265-AA-3341-60157-0000-1</v>
          </cell>
          <cell r="B1660" t="str">
            <v>KHF_AIP_D_EXT_01166</v>
          </cell>
          <cell r="C1660">
            <v>43570</v>
          </cell>
          <cell r="D1660" t="str">
            <v>KHF-00-104265-AA-3341-60157-0000</v>
          </cell>
          <cell r="E1660" t="str">
            <v>CV OF MR-SULEIMAN ALIFRESH AL-SHUKAIRI - SITE BASED HSE ADVISOR</v>
          </cell>
          <cell r="F1660">
            <v>1</v>
          </cell>
          <cell r="G1660" t="str">
            <v>Code D</v>
          </cell>
        </row>
        <row r="1661">
          <cell r="A1661" t="str">
            <v>KHF-00-104265-AA-6944-20018-0000-1</v>
          </cell>
          <cell r="B1661" t="str">
            <v>KHF_AIP_D_EXT_01167</v>
          </cell>
          <cell r="C1661">
            <v>43570</v>
          </cell>
          <cell r="D1661" t="str">
            <v>KHF-00-104265-AA-6944-20018-0000</v>
          </cell>
          <cell r="E1661" t="str">
            <v>MONTHLY PROGRESS REPORT NO.018 (MARCH 2019)</v>
          </cell>
          <cell r="F1661">
            <v>1</v>
          </cell>
          <cell r="G1661" t="str">
            <v>Code D</v>
          </cell>
        </row>
        <row r="1662">
          <cell r="A1662" t="str">
            <v>KHF-00-104265-AA-6944-10074-0000-1</v>
          </cell>
          <cell r="B1662" t="str">
            <v>KHF_AIP_D_EXT_01168</v>
          </cell>
          <cell r="C1662">
            <v>43570</v>
          </cell>
          <cell r="D1662" t="str">
            <v>KHF-00-104265-AA-6944-10074-0000</v>
          </cell>
          <cell r="E1662" t="str">
            <v>Weekly Progress Report No. 074</v>
          </cell>
          <cell r="F1662">
            <v>1</v>
          </cell>
          <cell r="G1662" t="str">
            <v>Code D</v>
          </cell>
        </row>
        <row r="1663">
          <cell r="A1663" t="str">
            <v>KHF-00-104265-AA-3341-00156-0000-1</v>
          </cell>
          <cell r="B1663" t="str">
            <v>KHF_AIP_D_EXT_01169</v>
          </cell>
          <cell r="C1663">
            <v>43570</v>
          </cell>
          <cell r="D1663" t="str">
            <v>KHF-00-104265-AA-3341-00156-0000</v>
          </cell>
          <cell r="E1663" t="str">
            <v>CV OF MR. SARAVANABHAVAN - SR. HSE ADVISOR</v>
          </cell>
          <cell r="F1663">
            <v>1</v>
          </cell>
          <cell r="G1663" t="str">
            <v>Code D</v>
          </cell>
        </row>
        <row r="1664">
          <cell r="A1664" t="str">
            <v>KHF-00-104265-AA-6944-10075-0000-1</v>
          </cell>
          <cell r="B1664" t="str">
            <v>KHF_AIP_D_EXT_01170</v>
          </cell>
          <cell r="C1664">
            <v>43570</v>
          </cell>
          <cell r="D1664" t="str">
            <v>KHF-00-104265-AA-6944-10075-0000</v>
          </cell>
          <cell r="E1664" t="str">
            <v>Weekly Progress Report No. 075</v>
          </cell>
          <cell r="F1664">
            <v>1</v>
          </cell>
          <cell r="G1664" t="str">
            <v>Code D</v>
          </cell>
        </row>
        <row r="1665">
          <cell r="A1665" t="str">
            <v>KHF-00-104265-AA-6944-10073-0000-1</v>
          </cell>
          <cell r="B1665" t="str">
            <v>KHF_AIP_D_EXT_01171</v>
          </cell>
          <cell r="C1665">
            <v>43572</v>
          </cell>
          <cell r="D1665" t="str">
            <v>KHF-00-104265-AA-6944-10073-0000</v>
          </cell>
          <cell r="E1665" t="str">
            <v>Weekly Progress Report No. 073</v>
          </cell>
          <cell r="F1665">
            <v>1</v>
          </cell>
          <cell r="G1665" t="str">
            <v>Code D</v>
          </cell>
        </row>
        <row r="1666">
          <cell r="A1666" t="str">
            <v>KHF-00-104265-BA-5736-01304-0000-1</v>
          </cell>
          <cell r="B1666" t="str">
            <v>KHF_AIP_D_EXT_01172</v>
          </cell>
          <cell r="C1666">
            <v>43572</v>
          </cell>
          <cell r="D1666" t="str">
            <v>KHF-00-104265-BA-5736-01304-0000</v>
          </cell>
          <cell r="E1666" t="str">
            <v>Lifting Plan for Mechanical Installation of Bypass Stack Diverter Damper Assembly</v>
          </cell>
          <cell r="F1666">
            <v>1</v>
          </cell>
          <cell r="G1666" t="str">
            <v>Code A</v>
          </cell>
        </row>
        <row r="1667">
          <cell r="A1667" t="str">
            <v>KHF-00-104265-BA-6070-01309-0000-2</v>
          </cell>
          <cell r="B1667" t="str">
            <v>KHF_AIP_D_EXT_01173</v>
          </cell>
          <cell r="C1667">
            <v>43572</v>
          </cell>
          <cell r="D1667" t="str">
            <v>KHF-00-104265-BA-6070-01309-0000</v>
          </cell>
          <cell r="E1667" t="str">
            <v>Method of Statement for mechanical installation of Gas Turbine Exhaust Bypass System</v>
          </cell>
          <cell r="F1667">
            <v>2</v>
          </cell>
          <cell r="G1667" t="str">
            <v>Code A</v>
          </cell>
        </row>
        <row r="1668">
          <cell r="A1668" t="str">
            <v>KHF-00-104265-CX-4180-10005-0001-11</v>
          </cell>
          <cell r="B1668" t="str">
            <v>KHF_AIP_D_EXT_01174</v>
          </cell>
          <cell r="C1668">
            <v>43572</v>
          </cell>
          <cell r="D1668" t="str">
            <v>KHF-00-104265-CX-4180-10005-0001</v>
          </cell>
          <cell r="E1668" t="str">
            <v>Site Camp Layout</v>
          </cell>
          <cell r="F1668">
            <v>11</v>
          </cell>
          <cell r="G1668" t="str">
            <v>Code B</v>
          </cell>
        </row>
        <row r="1669">
          <cell r="A1669" t="str">
            <v>KHF-00-104265-HX-6180-01301-0000-1</v>
          </cell>
          <cell r="B1669" t="str">
            <v>KHF_AIP_D_EXT_01175</v>
          </cell>
          <cell r="C1669">
            <v>43572</v>
          </cell>
          <cell r="D1669" t="str">
            <v>KHF-00-104265-HX-6180-01301-0000</v>
          </cell>
          <cell r="E1669" t="str">
            <v>Radiation Safety Procedure by HITECH</v>
          </cell>
          <cell r="F1669">
            <v>1</v>
          </cell>
          <cell r="G1669" t="str">
            <v>Code A</v>
          </cell>
        </row>
        <row r="1670">
          <cell r="A1670" t="str">
            <v>KHF-00-104265-RA-8241-51194-0000-2</v>
          </cell>
          <cell r="B1670" t="str">
            <v>KHF_AIP_D_EXT_01176</v>
          </cell>
          <cell r="C1670">
            <v>43572</v>
          </cell>
          <cell r="D1670" t="str">
            <v>KHF-00-104265-RA-8241-51194-0000</v>
          </cell>
          <cell r="E1670" t="str">
            <v>Material Approval Sheet for Gratings</v>
          </cell>
          <cell r="F1670">
            <v>2</v>
          </cell>
          <cell r="G1670" t="str">
            <v>Code A</v>
          </cell>
        </row>
        <row r="1671">
          <cell r="A1671" t="str">
            <v>KHF-00-104265-RA-8241-51198-0000-1</v>
          </cell>
          <cell r="B1671" t="str">
            <v>KHF_AIP_D_EXT_01177</v>
          </cell>
          <cell r="C1671">
            <v>43572</v>
          </cell>
          <cell r="D1671" t="str">
            <v>KHF-00-104265-RA-8241-51198-0000</v>
          </cell>
          <cell r="E1671" t="str">
            <v>Material Approval Sheet for DI Manhole Cover (Inter AX  BC-46) for Sewage System</v>
          </cell>
          <cell r="F1671">
            <v>1</v>
          </cell>
          <cell r="G1671" t="str">
            <v>Code A</v>
          </cell>
        </row>
        <row r="1672">
          <cell r="A1672" t="str">
            <v>---</v>
          </cell>
          <cell r="B1672" t="str">
            <v>KHF_AIP_D_EXT_01178</v>
          </cell>
          <cell r="C1672">
            <v>43572</v>
          </cell>
          <cell r="D1672" t="str">
            <v>-</v>
          </cell>
          <cell r="E1672" t="str">
            <v>AFC Drawings</v>
          </cell>
          <cell r="F1672" t="str">
            <v>-</v>
          </cell>
          <cell r="G1672" t="str">
            <v>02 drawings</v>
          </cell>
        </row>
        <row r="1673">
          <cell r="A1673" t="str">
            <v>KHF-00-104265-RA-8241-51195-0000-1</v>
          </cell>
          <cell r="B1673" t="str">
            <v>KHF_AIP_D_EXT_01179</v>
          </cell>
          <cell r="C1673">
            <v>43573</v>
          </cell>
          <cell r="D1673" t="str">
            <v>KHF-00-104265-RA-8241-51195-0000</v>
          </cell>
          <cell r="E1673" t="str">
            <v>Material Approval Sheet for 20mm Coarse Aggregate for Transformer Area</v>
          </cell>
          <cell r="F1673">
            <v>1</v>
          </cell>
          <cell r="G1673" t="str">
            <v>Code A</v>
          </cell>
        </row>
        <row r="1674">
          <cell r="A1674" t="str">
            <v>---</v>
          </cell>
          <cell r="B1674" t="str">
            <v>KHF_AIP_D_EXT_01180</v>
          </cell>
          <cell r="C1674">
            <v>43576</v>
          </cell>
          <cell r="D1674" t="str">
            <v>-</v>
          </cell>
          <cell r="E1674" t="str">
            <v>AFC Drawings</v>
          </cell>
          <cell r="F1674" t="str">
            <v>-</v>
          </cell>
          <cell r="G1674" t="str">
            <v>01 drawing</v>
          </cell>
        </row>
        <row r="1675">
          <cell r="A1675" t="str">
            <v>KHF-00-104265-BA-6070-42015-0000-2</v>
          </cell>
          <cell r="B1675" t="str">
            <v>KHF_AIP_D_EXT_01181</v>
          </cell>
          <cell r="C1675">
            <v>43576</v>
          </cell>
          <cell r="D1675" t="str">
            <v>KHF-00-104265-BA-6070-42015-0000</v>
          </cell>
          <cell r="E1675" t="str">
            <v>Method Statement for Installation &amp; Alignment of Static Equipments (Area - 200)</v>
          </cell>
          <cell r="F1675">
            <v>2</v>
          </cell>
          <cell r="G1675" t="str">
            <v>Code A</v>
          </cell>
        </row>
        <row r="1676">
          <cell r="A1676" t="str">
            <v>KHF-00-104265-QA-5733-01601-0000-2</v>
          </cell>
          <cell r="B1676" t="str">
            <v>KHF_AIP_D_EXT_01182</v>
          </cell>
          <cell r="C1676">
            <v>43576</v>
          </cell>
          <cell r="D1676" t="str">
            <v>KHF-00-104265-QA-5733-01601-0000</v>
          </cell>
          <cell r="E1676" t="str">
            <v>Inspection and Test Plan for Surface Preparation and Painting of Steel Structure (PCS - 1)</v>
          </cell>
          <cell r="F1676">
            <v>2</v>
          </cell>
          <cell r="G1676" t="str">
            <v>Code A</v>
          </cell>
        </row>
        <row r="1677">
          <cell r="A1677" t="str">
            <v>KHF-00-104265-AA-3341-60162-0000-1</v>
          </cell>
          <cell r="B1677" t="str">
            <v>KHF_AIP_D_EXT_01183</v>
          </cell>
          <cell r="C1677">
            <v>43576</v>
          </cell>
          <cell r="D1677" t="str">
            <v>KHF-00-104265-AA-3341-60162-0000</v>
          </cell>
          <cell r="E1677" t="str">
            <v>CV OF MR. SUNIL VYAS RAMANLAL - QC INSPECTOR - PIPING</v>
          </cell>
          <cell r="F1677">
            <v>1</v>
          </cell>
          <cell r="G1677" t="str">
            <v>Code B</v>
          </cell>
        </row>
        <row r="1678">
          <cell r="A1678" t="str">
            <v>KHF-00-104265-AA-3341-60124-0000-2</v>
          </cell>
          <cell r="B1678" t="str">
            <v>KHF_AIP_D_EXT_01184</v>
          </cell>
          <cell r="C1678">
            <v>43576</v>
          </cell>
          <cell r="D1678" t="str">
            <v>KHF-00-104265-AA-3341-60124-0000</v>
          </cell>
          <cell r="E1678" t="str">
            <v>CV OF MR. THIRUMURUGAN SUBRAMANI - QC INSPECTOR WELDING (PIPING)</v>
          </cell>
          <cell r="F1678">
            <v>2</v>
          </cell>
          <cell r="G1678" t="str">
            <v>Code A</v>
          </cell>
        </row>
        <row r="1679">
          <cell r="A1679" t="str">
            <v>KHF-00-104265-QA-5733-22006-0000-4</v>
          </cell>
          <cell r="B1679" t="str">
            <v>KHF_AIP_D_EXT_01185</v>
          </cell>
          <cell r="C1679">
            <v>43576</v>
          </cell>
          <cell r="D1679" t="str">
            <v>KHF-00-104265-QA-5733-22006-0000</v>
          </cell>
          <cell r="E1679" t="str">
            <v>Inspection and Test Plan for Site Fabrication, Welding, Erection and Hydrotesting of Piping for SS &amp; Alloy-825</v>
          </cell>
          <cell r="F1679">
            <v>4</v>
          </cell>
          <cell r="G1679" t="str">
            <v>Code A</v>
          </cell>
        </row>
        <row r="1680">
          <cell r="A1680" t="str">
            <v>KHF-00-104265-AA-3341-60131-0000-2</v>
          </cell>
          <cell r="B1680" t="str">
            <v>KHF_AIP_D_EXT_01186</v>
          </cell>
          <cell r="C1680">
            <v>43576</v>
          </cell>
          <cell r="D1680" t="str">
            <v>KHF-00-104265-AA-3341-60131-0000</v>
          </cell>
          <cell r="E1680" t="str">
            <v>CV OF MR. SHAIKH TANVEER - QC INSPECTOR - HVAC</v>
          </cell>
          <cell r="F1680">
            <v>2</v>
          </cell>
          <cell r="G1680" t="str">
            <v>Code A</v>
          </cell>
        </row>
        <row r="1681">
          <cell r="A1681" t="str">
            <v>KHF-00-104265-BA-6070-01310-0000-2</v>
          </cell>
          <cell r="B1681" t="str">
            <v>KHF_AIP_D_EXT_01187</v>
          </cell>
          <cell r="C1681">
            <v>43576</v>
          </cell>
          <cell r="D1681" t="str">
            <v>KHF-00-104265-BA-6070-01310-0000</v>
          </cell>
          <cell r="E1681" t="str">
            <v>Method Statement for Mechanical Installation of Gas Turbine Generator Load Gear and its Auxiliaries</v>
          </cell>
          <cell r="F1681">
            <v>2</v>
          </cell>
          <cell r="G1681" t="str">
            <v>Code A</v>
          </cell>
        </row>
        <row r="1682">
          <cell r="A1682" t="str">
            <v>KHF-00-104265-AA-3341-60163-0000-1</v>
          </cell>
          <cell r="B1682" t="str">
            <v>KHF_AIP_D_EXT_01188</v>
          </cell>
          <cell r="C1682">
            <v>43576</v>
          </cell>
          <cell r="D1682" t="str">
            <v>KHF-00-104265-AA-3341-60163-0000</v>
          </cell>
          <cell r="E1682" t="str">
            <v>CV OF MR. PANIADIMAI REPHEAL - QC INSPECTOR - CIVIL</v>
          </cell>
          <cell r="F1682">
            <v>1</v>
          </cell>
          <cell r="G1682" t="str">
            <v>Code B</v>
          </cell>
        </row>
        <row r="1683">
          <cell r="A1683" t="str">
            <v>---</v>
          </cell>
          <cell r="B1683" t="str">
            <v>KHF_AIP_D_EXT_01189</v>
          </cell>
          <cell r="C1683">
            <v>43576</v>
          </cell>
          <cell r="D1683" t="str">
            <v>-</v>
          </cell>
          <cell r="E1683" t="str">
            <v>AFC Drawings</v>
          </cell>
          <cell r="F1683" t="str">
            <v>-</v>
          </cell>
          <cell r="G1683" t="str">
            <v>120 drawings</v>
          </cell>
        </row>
        <row r="1684">
          <cell r="A1684" t="str">
            <v>KHF-00-104265-HX-5880-10014-0000-5</v>
          </cell>
          <cell r="B1684" t="str">
            <v>KHF_AIP_D_EXT_01190</v>
          </cell>
          <cell r="C1684">
            <v>43578</v>
          </cell>
          <cell r="D1684" t="str">
            <v>KHF-00-104265-HX-5880-10014-0000</v>
          </cell>
          <cell r="E1684" t="str">
            <v>HSE Monitoring Plan</v>
          </cell>
          <cell r="F1684">
            <v>5</v>
          </cell>
          <cell r="G1684" t="str">
            <v>Code A</v>
          </cell>
        </row>
        <row r="1685">
          <cell r="A1685" t="str">
            <v>KHF-00-104265-QA-6050-00106-0000-8</v>
          </cell>
          <cell r="B1685" t="str">
            <v>KHF_AIP_D_EXT_01191</v>
          </cell>
          <cell r="C1685">
            <v>43578</v>
          </cell>
          <cell r="D1685" t="str">
            <v>KHF-00-104265-QA-6050-00106-0000</v>
          </cell>
          <cell r="E1685" t="str">
            <v>Quality Control Plan for Installation of CS Pipelines</v>
          </cell>
          <cell r="F1685">
            <v>8</v>
          </cell>
          <cell r="G1685" t="str">
            <v>Code A</v>
          </cell>
        </row>
        <row r="1686">
          <cell r="A1686" t="str">
            <v>KHF-00-104265-AA-3341-00156-0000-2</v>
          </cell>
          <cell r="B1686" t="str">
            <v>KHF_AIP_D_EXT_01192</v>
          </cell>
          <cell r="C1686">
            <v>43578</v>
          </cell>
          <cell r="D1686" t="str">
            <v>KHF-00-104265-AA-3341-00156-0000</v>
          </cell>
          <cell r="E1686" t="str">
            <v>CV OF MR. SARAVANABHAVAN - SR. HSE ADVISOR</v>
          </cell>
          <cell r="F1686">
            <v>2</v>
          </cell>
          <cell r="G1686" t="str">
            <v>Code A</v>
          </cell>
        </row>
        <row r="1687">
          <cell r="A1687" t="str">
            <v>KHF-00-104265-BA-6065-00656-0000-1</v>
          </cell>
          <cell r="B1687" t="str">
            <v>KHF_AIP_D_EXT_01193</v>
          </cell>
          <cell r="C1687">
            <v>43578</v>
          </cell>
          <cell r="D1687" t="str">
            <v>KHF-00-104265-BA-6065-00656-0000</v>
          </cell>
          <cell r="E1687" t="str">
            <v>Welding Procedure Specification (WPS) PQR-056 (AI-WPS-T-744FW) (G18PM1008)</v>
          </cell>
          <cell r="F1687">
            <v>1</v>
          </cell>
          <cell r="G1687" t="str">
            <v>Code A</v>
          </cell>
        </row>
        <row r="1688">
          <cell r="A1688" t="str">
            <v>KHF-00-104265-BA-6065-00657-0000-1</v>
          </cell>
          <cell r="B1688" t="str">
            <v>KHF_AIP_D_EXT_01193</v>
          </cell>
          <cell r="C1688">
            <v>43578</v>
          </cell>
          <cell r="D1688" t="str">
            <v>KHF-00-104265-BA-6065-00657-0000</v>
          </cell>
          <cell r="E1688" t="str">
            <v>Welding Procedure Specification (WPS) PQR-057 (AI-WPS-M-744FW) (G18PM1008)</v>
          </cell>
          <cell r="F1688">
            <v>1</v>
          </cell>
          <cell r="G1688" t="str">
            <v>Code A</v>
          </cell>
        </row>
        <row r="1689">
          <cell r="A1689" t="str">
            <v>KHF-00-104265-AA-3341-01301-0000-1</v>
          </cell>
          <cell r="B1689" t="str">
            <v>KHF_AIP_D_EXT_01194</v>
          </cell>
          <cell r="C1689">
            <v>43578</v>
          </cell>
          <cell r="D1689" t="str">
            <v>KHF-00-104265-AA-3341-01301-0000</v>
          </cell>
          <cell r="E1689" t="str">
            <v>CV OF MR. KESAVAN - HSE ADVISOR</v>
          </cell>
          <cell r="F1689">
            <v>1</v>
          </cell>
          <cell r="G1689" t="str">
            <v>Code A</v>
          </cell>
        </row>
        <row r="1690">
          <cell r="A1690" t="str">
            <v>KHF-00-104265-BA-6065-00655-0000-1</v>
          </cell>
          <cell r="B1690" t="str">
            <v>KHF_AIP_D_EXT_01195</v>
          </cell>
          <cell r="C1690">
            <v>43578</v>
          </cell>
          <cell r="D1690" t="str">
            <v>KHF-00-104265-BA-6065-00655-0000</v>
          </cell>
          <cell r="E1690" t="str">
            <v>Welding Procedure Specification (WPS) PQR-055 (AI-WPS-M-742FW) (G18PM1008)</v>
          </cell>
          <cell r="F1690">
            <v>1</v>
          </cell>
          <cell r="G1690" t="str">
            <v>Code A</v>
          </cell>
        </row>
        <row r="1691">
          <cell r="A1691" t="str">
            <v>KHF-00-104265-BA-6065-00661-0000-1</v>
          </cell>
          <cell r="B1691" t="str">
            <v>KHF_AIP_D_EXT_01195</v>
          </cell>
          <cell r="C1691">
            <v>43578</v>
          </cell>
          <cell r="D1691" t="str">
            <v>KHF-00-104265-BA-6065-00661-0000</v>
          </cell>
          <cell r="E1691" t="str">
            <v>Welding Procedure Specification (WPS) PQR-061 (AI-WPS-T-740FW) (G8PM1008)</v>
          </cell>
          <cell r="F1691">
            <v>1</v>
          </cell>
          <cell r="G1691" t="str">
            <v>Code A</v>
          </cell>
        </row>
        <row r="1692">
          <cell r="A1692" t="str">
            <v>KHF-00-104265-BA-6065-00652-0000-1</v>
          </cell>
          <cell r="B1692" t="str">
            <v>KHF_AIP_D_EXT_01196</v>
          </cell>
          <cell r="C1692">
            <v>43578</v>
          </cell>
          <cell r="D1692" t="str">
            <v>KHF-00-104265-BA-6065-00652-0000</v>
          </cell>
          <cell r="E1692" t="str">
            <v>Welding Procedure Specification (WPS) PQR-052 (AI-WPS-T-739FW) (G8PM1008)</v>
          </cell>
          <cell r="F1692">
            <v>1</v>
          </cell>
          <cell r="G1692" t="str">
            <v>Code A</v>
          </cell>
        </row>
        <row r="1693">
          <cell r="A1693" t="str">
            <v>KHF-00-104265-BA-6065-00659-0000-1</v>
          </cell>
          <cell r="B1693" t="str">
            <v>KHF_AIP_D_EXT_01196</v>
          </cell>
          <cell r="C1693">
            <v>43578</v>
          </cell>
          <cell r="D1693" t="str">
            <v>KHF-00-104265-BA-6065-00659-0000</v>
          </cell>
          <cell r="E1693" t="str">
            <v>Welding Procedure Specification (WPS) PQR-059 (AI-WPS-T-738FW) (G8PM1008)</v>
          </cell>
          <cell r="F1693">
            <v>1</v>
          </cell>
          <cell r="G1693" t="str">
            <v>Code A</v>
          </cell>
        </row>
        <row r="1694">
          <cell r="A1694" t="str">
            <v>KHF-00-104265-BA-6065-00654-0000-1</v>
          </cell>
          <cell r="B1694" t="str">
            <v>KHF_AIP_D_EXT_01197</v>
          </cell>
          <cell r="C1694">
            <v>43578</v>
          </cell>
          <cell r="D1694" t="str">
            <v>KHF-00-104265-BA-6065-00654-0000</v>
          </cell>
          <cell r="E1694" t="str">
            <v>Welding Procedure Specification (WPS) PQR-054 (AI-WPS-T-742FW) (G17PM1008)</v>
          </cell>
          <cell r="F1694">
            <v>1</v>
          </cell>
          <cell r="G1694" t="str">
            <v>Code A</v>
          </cell>
        </row>
        <row r="1695">
          <cell r="A1695" t="str">
            <v>KHF-00-104265-BA-6065-00662-0000-1</v>
          </cell>
          <cell r="B1695" t="str">
            <v>KHF_AIP_D_EXT_01197</v>
          </cell>
          <cell r="C1695">
            <v>43578</v>
          </cell>
          <cell r="D1695" t="str">
            <v>KHF-00-104265-BA-6065-00662-0000</v>
          </cell>
          <cell r="E1695" t="str">
            <v>Welding Procedure Specification (WPS) PQR-062 (AI-WPS-M-740FW) (G18PM1008)</v>
          </cell>
          <cell r="F1695">
            <v>1</v>
          </cell>
          <cell r="G1695" t="str">
            <v>Code A</v>
          </cell>
        </row>
        <row r="1696">
          <cell r="A1696" t="str">
            <v>KHF-00-104265-BA-6065-00658-0000-1</v>
          </cell>
          <cell r="B1696" t="str">
            <v>KHF_AIP_D_EXT_01198</v>
          </cell>
          <cell r="C1696">
            <v>43578</v>
          </cell>
          <cell r="D1696" t="str">
            <v>KHF-00-104265-BA-6065-00658-0000</v>
          </cell>
          <cell r="E1696" t="str">
            <v>WPS Register - Piping Support WPS, AIM-WPSR-PS-00100</v>
          </cell>
          <cell r="F1696">
            <v>1</v>
          </cell>
          <cell r="G1696" t="str">
            <v>Code B</v>
          </cell>
        </row>
        <row r="1697">
          <cell r="A1697" t="str">
            <v>KHF-00-104265-BA-6065-00653-0000-1</v>
          </cell>
          <cell r="B1697" t="str">
            <v>KHF_AIP_D_EXT_01199</v>
          </cell>
          <cell r="C1697">
            <v>43578</v>
          </cell>
          <cell r="D1697" t="str">
            <v>KHF-00-104265-BA-6065-00653-0000</v>
          </cell>
          <cell r="E1697" t="str">
            <v>Welding Procedure Specification (WPS) / PQR-053 (AI-WPS-M-739FW) (G18PM1008)</v>
          </cell>
          <cell r="F1697">
            <v>1</v>
          </cell>
          <cell r="G1697" t="str">
            <v>Code A</v>
          </cell>
        </row>
        <row r="1698">
          <cell r="A1698" t="str">
            <v>KHF-00-104265-BA-6065-00660-0000-1</v>
          </cell>
          <cell r="B1698" t="str">
            <v>KHF_AIP_D_EXT_01199</v>
          </cell>
          <cell r="C1698">
            <v>43578</v>
          </cell>
          <cell r="D1698" t="str">
            <v>KHF-00-104265-BA-6065-00660-0000</v>
          </cell>
          <cell r="E1698" t="str">
            <v>Welding Procedure Specification (WPS) / PQR-060 (AI-WPS-M-738FW) (G18PM1008)</v>
          </cell>
          <cell r="F1698">
            <v>1</v>
          </cell>
          <cell r="G1698" t="str">
            <v>Code A</v>
          </cell>
        </row>
        <row r="1699">
          <cell r="A1699" t="str">
            <v>KHF-00-104265-QA-5733-24007-0000-2</v>
          </cell>
          <cell r="B1699" t="str">
            <v>KHF_AIP_D_EXT_01200</v>
          </cell>
          <cell r="C1699">
            <v>43578</v>
          </cell>
          <cell r="D1699" t="str">
            <v>KHF-00-104265-QA-5733-24007-0000</v>
          </cell>
          <cell r="E1699" t="str">
            <v>Inspection and Test Plan for Calibration of Valves (Control Valves, On-Off Valves &amp; MOVs</v>
          </cell>
          <cell r="F1699">
            <v>2</v>
          </cell>
          <cell r="G1699" t="str">
            <v>Code A</v>
          </cell>
        </row>
        <row r="1700">
          <cell r="A1700" t="str">
            <v>KHF-00-104265-BA-6065-01311-0000-2</v>
          </cell>
          <cell r="B1700" t="str">
            <v>KHF_AIP_D_EXT_01201</v>
          </cell>
          <cell r="C1700">
            <v>43578</v>
          </cell>
          <cell r="D1700" t="str">
            <v>KHF-00-104265-BA-6065-01311-0000</v>
          </cell>
          <cell r="E1700" t="str">
            <v>Welding Procedure Specification for Stainless Steel Welding WPS No-WPS 513 (Non-Sour Service)</v>
          </cell>
          <cell r="F1700">
            <v>2</v>
          </cell>
          <cell r="G1700" t="str">
            <v>Code B</v>
          </cell>
        </row>
        <row r="1701">
          <cell r="A1701" t="str">
            <v>KHF-00-104265-BA-6065-01313-0000-1</v>
          </cell>
          <cell r="B1701" t="str">
            <v>KHF_AIP_D_EXT_01202</v>
          </cell>
          <cell r="C1701">
            <v>43578</v>
          </cell>
          <cell r="D1701" t="str">
            <v>KHF-00-104265-BA-6065-01313-0000</v>
          </cell>
          <cell r="E1701" t="str">
            <v>WPS &amp; PQR Register - Non Boiler External and General Piping (Non Sour Service)</v>
          </cell>
          <cell r="F1701">
            <v>1</v>
          </cell>
          <cell r="G1701" t="str">
            <v>Code B</v>
          </cell>
        </row>
        <row r="1702">
          <cell r="A1702" t="str">
            <v>KHF-00-104265-AA-3341-60164-0000-1</v>
          </cell>
          <cell r="B1702" t="str">
            <v>KHF_AIP_D_EXT_01203</v>
          </cell>
          <cell r="C1702">
            <v>43579</v>
          </cell>
          <cell r="D1702" t="str">
            <v>KHF-00-104265-AA-3341-60164-0000</v>
          </cell>
          <cell r="E1702" t="str">
            <v>CV OF MR THIRAVIAM  RAYAPANDI (JUSTIN) - WELDING ENGINEER</v>
          </cell>
          <cell r="F1702">
            <v>1</v>
          </cell>
          <cell r="G1702" t="str">
            <v>Code D</v>
          </cell>
        </row>
        <row r="1703">
          <cell r="A1703" t="str">
            <v>KHF-00-104265-BA-6065-50013-0000-1</v>
          </cell>
          <cell r="B1703" t="str">
            <v>KHF_AIP_D_EXT_01204</v>
          </cell>
          <cell r="C1703">
            <v>43579</v>
          </cell>
          <cell r="D1703" t="str">
            <v>KHF-00-104265-BA-6065-50013-0000</v>
          </cell>
          <cell r="E1703" t="str">
            <v>WPS - Pipe Shoe Support to Wear Pad - Pipeline PL-1, PL-2, PL-3 &amp; PL-4 (AIP-WPS-PL-012)</v>
          </cell>
          <cell r="F1703">
            <v>1</v>
          </cell>
          <cell r="G1703" t="str">
            <v>Code A</v>
          </cell>
        </row>
        <row r="1704">
          <cell r="A1704" t="str">
            <v>KHF-00-104265-BA-6065-50014-0000-1</v>
          </cell>
          <cell r="B1704" t="str">
            <v>KHF_AIP_D_EXT_01204</v>
          </cell>
          <cell r="C1704">
            <v>43579</v>
          </cell>
          <cell r="D1704" t="str">
            <v>KHF-00-104265-BA-6065-50014-0000</v>
          </cell>
          <cell r="E1704" t="str">
            <v>WPS - Wear Pad to Pipe - Pipeline PL-1, PL-2, PL-3 &amp; PL-4 (AIP-WPS-PL-013)</v>
          </cell>
          <cell r="F1704">
            <v>1</v>
          </cell>
          <cell r="G1704" t="str">
            <v>Code A</v>
          </cell>
        </row>
        <row r="1705">
          <cell r="A1705" t="str">
            <v>KHF-00-104265-QA-6050-01301-0000-1</v>
          </cell>
          <cell r="B1705" t="str">
            <v>KHF_AIP_D_EXT_01205</v>
          </cell>
          <cell r="C1705">
            <v>43579</v>
          </cell>
          <cell r="D1705" t="str">
            <v>KHF-00-104265-QA-6050-01301-0000</v>
          </cell>
          <cell r="E1705" t="str">
            <v>WELDING CONSUMABLE CONTROL PROCEDURE - JEL - HRSG &amp; GTG SCOPE</v>
          </cell>
          <cell r="F1705">
            <v>1</v>
          </cell>
          <cell r="G1705" t="str">
            <v>Code B</v>
          </cell>
        </row>
        <row r="1706">
          <cell r="A1706" t="str">
            <v>KHF-00-104265-QA-5733-01311-0000-1</v>
          </cell>
          <cell r="B1706" t="str">
            <v>KHF_AIP_D_EXT_01206</v>
          </cell>
          <cell r="C1706">
            <v>43583</v>
          </cell>
          <cell r="D1706" t="str">
            <v>KHF-00-104265-QA-5733-01311-0000</v>
          </cell>
          <cell r="E1706" t="str">
            <v>ITP for Installation of Non Boiler External and General Piping - Stainless Steel</v>
          </cell>
          <cell r="F1706">
            <v>1</v>
          </cell>
          <cell r="G1706" t="str">
            <v>Code A</v>
          </cell>
        </row>
        <row r="1707">
          <cell r="A1707" t="str">
            <v>KHF-00-104265-RA-6038-01311-0000-1</v>
          </cell>
          <cell r="B1707" t="str">
            <v>KHF_AIP_D_EXT_01207</v>
          </cell>
          <cell r="C1707">
            <v>43583</v>
          </cell>
          <cell r="D1707" t="str">
            <v>KHF-00-104265-RA-6038-01311-0000</v>
          </cell>
          <cell r="E1707" t="str">
            <v>Waste Management Procedure by Hitech</v>
          </cell>
          <cell r="F1707">
            <v>1</v>
          </cell>
          <cell r="G1707" t="str">
            <v>Code A</v>
          </cell>
        </row>
        <row r="1708">
          <cell r="A1708" t="str">
            <v>KHF-00-104265-AA-3341-01302-0000-1</v>
          </cell>
          <cell r="B1708" t="str">
            <v>KHF_AIP_D_EXT_01208</v>
          </cell>
          <cell r="C1708">
            <v>43583</v>
          </cell>
          <cell r="D1708" t="str">
            <v>KHF-00-104265-AA-3341-01302-0000</v>
          </cell>
          <cell r="E1708" t="str">
            <v>CV of Mr. Ananta Kumar - HSE Advisor</v>
          </cell>
          <cell r="F1708">
            <v>1</v>
          </cell>
          <cell r="G1708" t="str">
            <v>Code A</v>
          </cell>
        </row>
        <row r="1709">
          <cell r="A1709" t="str">
            <v>KHF-00-104265-AA-3341-00157-0000-1</v>
          </cell>
          <cell r="B1709" t="str">
            <v>KHF_AIP_D_EXT_01209</v>
          </cell>
          <cell r="C1709">
            <v>43584</v>
          </cell>
          <cell r="D1709" t="str">
            <v>KHF-00-104265-AA-3341-00157-0000</v>
          </cell>
          <cell r="E1709" t="str">
            <v>CV OF MR. SHAILESH VASAVA - CATHODIC PROTECTION ENGINEER</v>
          </cell>
          <cell r="F1709">
            <v>1</v>
          </cell>
          <cell r="G1709" t="str">
            <v>Code D</v>
          </cell>
        </row>
        <row r="1710">
          <cell r="A1710" t="str">
            <v>KHF-00-104265-RA-6038-00918-0000-2</v>
          </cell>
          <cell r="B1710" t="str">
            <v>KHF_AIP_D_EXT_01210</v>
          </cell>
          <cell r="C1710">
            <v>43584</v>
          </cell>
          <cell r="D1710" t="str">
            <v>KHF-00-104265-RA-6038-00918-0000</v>
          </cell>
          <cell r="E1710" t="str">
            <v>Procedure for Visual Inspection  for piping using Boroscope</v>
          </cell>
          <cell r="F1710">
            <v>2</v>
          </cell>
          <cell r="G1710" t="str">
            <v>Code B</v>
          </cell>
        </row>
        <row r="1711">
          <cell r="A1711" t="str">
            <v>KHF-00-104265-AA-6944-10076-0000-1</v>
          </cell>
          <cell r="B1711" t="str">
            <v>KHF_AIP_D_EXT_01211</v>
          </cell>
          <cell r="C1711">
            <v>43585</v>
          </cell>
          <cell r="D1711" t="str">
            <v>KHF-00-104265-AA-6944-10076-0000</v>
          </cell>
          <cell r="E1711" t="str">
            <v>Weekly Progress Report No. 076</v>
          </cell>
          <cell r="F1711">
            <v>1</v>
          </cell>
          <cell r="G1711" t="str">
            <v>Code D</v>
          </cell>
        </row>
        <row r="1712">
          <cell r="A1712" t="str">
            <v>KHF-00-104265-AA-6944-10077-0000-1</v>
          </cell>
          <cell r="B1712" t="str">
            <v>KHF_AIP_D_EXT_01212</v>
          </cell>
          <cell r="C1712">
            <v>43585</v>
          </cell>
          <cell r="D1712" t="str">
            <v>KHF-00-104265-AA-6944-10077-0000</v>
          </cell>
          <cell r="E1712" t="str">
            <v>Weekly Progress Report No. 077</v>
          </cell>
          <cell r="F1712">
            <v>1</v>
          </cell>
          <cell r="G1712" t="str">
            <v>Code D</v>
          </cell>
        </row>
        <row r="1713">
          <cell r="A1713" t="str">
            <v>KHF-00-104265-BA-6070-01303-0000-1</v>
          </cell>
          <cell r="B1713" t="str">
            <v>KHF_AIP_D_EXT_01213</v>
          </cell>
          <cell r="C1713">
            <v>43586</v>
          </cell>
          <cell r="D1713" t="str">
            <v>KHF-00-104265-BA-6070-01303-0000</v>
          </cell>
          <cell r="E1713" t="str">
            <v>Method Statement for Mechanical Installation of HRSG pressure parts, piping, steam drum and HRSG auxiliaries</v>
          </cell>
          <cell r="F1713">
            <v>1</v>
          </cell>
          <cell r="G1713" t="str">
            <v>Code B</v>
          </cell>
        </row>
        <row r="1714">
          <cell r="A1714" t="str">
            <v>KHF-00-104265-BA-6070-01304-0000-1</v>
          </cell>
          <cell r="B1714" t="str">
            <v>KHF_AIP_D_EXT_01213</v>
          </cell>
          <cell r="C1714">
            <v>43586</v>
          </cell>
          <cell r="D1714" t="str">
            <v>KHF-00-104265-BA-6070-01304-0000</v>
          </cell>
          <cell r="E1714" t="str">
            <v>Method Statement for Mechanical installation of GTG and HRSG Steel Structure Installation Works</v>
          </cell>
          <cell r="F1714">
            <v>1</v>
          </cell>
          <cell r="G1714" t="str">
            <v>Code B</v>
          </cell>
        </row>
        <row r="1715">
          <cell r="A1715" t="str">
            <v>KHF-00-104265-RA-8241-51172-0000-2</v>
          </cell>
          <cell r="B1715" t="str">
            <v>KHF_AIP_D_EXT_01214</v>
          </cell>
          <cell r="C1715">
            <v>43586</v>
          </cell>
          <cell r="D1715" t="str">
            <v>KHF-00-104265-RA-8241-51172-0000</v>
          </cell>
          <cell r="E1715" t="str">
            <v>Material Approval Sheet for Water Heater</v>
          </cell>
          <cell r="F1715">
            <v>2</v>
          </cell>
          <cell r="G1715" t="str">
            <v>Code A</v>
          </cell>
        </row>
        <row r="1716">
          <cell r="A1716" t="str">
            <v>KHF-00-104265-RA-8241-51181-0000-2</v>
          </cell>
          <cell r="B1716" t="str">
            <v>KHF_AIP_D_EXT_01215</v>
          </cell>
          <cell r="C1716">
            <v>43586</v>
          </cell>
          <cell r="D1716" t="str">
            <v>KHF-00-104265-RA-8241-51181-0000</v>
          </cell>
          <cell r="E1716" t="str">
            <v>Material Approval Sheet for Fosroc Expancell Backup Cord</v>
          </cell>
          <cell r="F1716">
            <v>2</v>
          </cell>
          <cell r="G1716" t="str">
            <v>Code A</v>
          </cell>
        </row>
        <row r="1717">
          <cell r="B1717" t="str">
            <v>KHF_AIP_D_EXT_01216</v>
          </cell>
          <cell r="C1717">
            <v>43587</v>
          </cell>
          <cell r="D1717" t="str">
            <v>-</v>
          </cell>
          <cell r="E1717" t="str">
            <v>AFC Drawings</v>
          </cell>
          <cell r="F1717" t="str">
            <v>-</v>
          </cell>
          <cell r="G1717" t="str">
            <v>12 drawings</v>
          </cell>
        </row>
        <row r="1718">
          <cell r="A1718" t="str">
            <v>KHF-00-104265-AA-3341-60160-0000-1</v>
          </cell>
          <cell r="B1718" t="str">
            <v>KHF_AIP_D_EXT_01217</v>
          </cell>
          <cell r="C1718">
            <v>43587</v>
          </cell>
          <cell r="D1718" t="str">
            <v>KHF-00-104265-AA-3341-60160-0000</v>
          </cell>
          <cell r="E1718" t="str">
            <v>CV OF MR. MANJUNATHAN. A - LEAD QC ENGINEER</v>
          </cell>
          <cell r="F1718">
            <v>1</v>
          </cell>
          <cell r="G1718" t="str">
            <v>Code C</v>
          </cell>
        </row>
        <row r="1719">
          <cell r="A1719" t="str">
            <v>KHF-00-104265-RA-8241-51201-0000-1</v>
          </cell>
          <cell r="B1719" t="str">
            <v>KHF_AIP_D_EXT_01218</v>
          </cell>
          <cell r="C1719">
            <v>43587</v>
          </cell>
          <cell r="D1719" t="str">
            <v>KHF-00-104265-RA-8241-51201-0000</v>
          </cell>
          <cell r="E1719" t="str">
            <v>Material Approval Sheet for Electrical Safety Sign Boards</v>
          </cell>
          <cell r="F1719">
            <v>1</v>
          </cell>
          <cell r="G1719" t="str">
            <v>Code B</v>
          </cell>
        </row>
        <row r="1720">
          <cell r="A1720" t="str">
            <v>KHF-00-104265-FA-5765-10040-0000-7</v>
          </cell>
          <cell r="B1720" t="str">
            <v>KHF_AIP_D_EXT_01219</v>
          </cell>
          <cell r="C1720">
            <v>43591</v>
          </cell>
          <cell r="D1720" t="str">
            <v>KHF-00-104265-FA-5765-10040-0000</v>
          </cell>
          <cell r="E1720" t="str">
            <v>PROJECT SCHEDULE - LEVEL 04</v>
          </cell>
          <cell r="F1720">
            <v>7</v>
          </cell>
          <cell r="G1720" t="str">
            <v>Code D</v>
          </cell>
        </row>
        <row r="1721">
          <cell r="A1721" t="str">
            <v>KHF-00-104265-RA-8241-51192-0000-1</v>
          </cell>
          <cell r="B1721" t="str">
            <v>KHF_AIP_D_EXT_01220</v>
          </cell>
          <cell r="C1721">
            <v>43591</v>
          </cell>
          <cell r="D1721" t="str">
            <v>KHF-00-104265-RA-8241-51192-0000</v>
          </cell>
          <cell r="E1721" t="str">
            <v>Material Approval Sheet for Access Barrier Pipe-PL-6 (Produced Water Line)</v>
          </cell>
          <cell r="F1721">
            <v>1</v>
          </cell>
          <cell r="G1721" t="str">
            <v>Code A</v>
          </cell>
        </row>
        <row r="1722">
          <cell r="A1722" t="str">
            <v>KHF-00-104265-BA-6070-41017-0000-1</v>
          </cell>
          <cell r="B1722" t="str">
            <v>KHF_AIP_D_EXT_01221</v>
          </cell>
          <cell r="C1722">
            <v>43592</v>
          </cell>
          <cell r="D1722" t="str">
            <v>KHF-00-104265-BA-6070-41017-0000</v>
          </cell>
          <cell r="E1722" t="str">
            <v>Method Statement for Concrete Core Cutting Work @ Existing GGP Building Auxiliary Room Area - Offplot</v>
          </cell>
          <cell r="F1722">
            <v>1</v>
          </cell>
          <cell r="G1722" t="str">
            <v>Code C</v>
          </cell>
        </row>
        <row r="1723">
          <cell r="A1723" t="str">
            <v>---</v>
          </cell>
          <cell r="B1723" t="str">
            <v>KHF_AIP_D_EXT_01222</v>
          </cell>
          <cell r="C1723">
            <v>43592</v>
          </cell>
          <cell r="D1723" t="str">
            <v>-</v>
          </cell>
          <cell r="E1723" t="str">
            <v>AFC Drawings</v>
          </cell>
          <cell r="F1723" t="str">
            <v>-</v>
          </cell>
          <cell r="G1723" t="str">
            <v>64 drawings</v>
          </cell>
        </row>
        <row r="1724">
          <cell r="A1724" t="str">
            <v>KHF-00-104265-BA-6070-00153-0000-1</v>
          </cell>
          <cell r="B1724" t="str">
            <v>KHF_AIP_D_EXT_01223</v>
          </cell>
          <cell r="C1724">
            <v>43593</v>
          </cell>
          <cell r="D1724" t="str">
            <v>KHF-00-104265-BA-6070-00153-0000</v>
          </cell>
          <cell r="E1724" t="str">
            <v>Method Statement for Dewatering, Swabbing, Drying &amp; Preservation of CS Pipelines</v>
          </cell>
          <cell r="F1724">
            <v>1</v>
          </cell>
          <cell r="G1724" t="str">
            <v>Code B</v>
          </cell>
        </row>
        <row r="1725">
          <cell r="A1725" t="str">
            <v>KHF-00-104265-BA-6070-42028-0000-3</v>
          </cell>
          <cell r="B1725" t="str">
            <v>KHF_AIP_D_EXT_01224</v>
          </cell>
          <cell r="C1725">
            <v>43593</v>
          </cell>
          <cell r="D1725" t="str">
            <v>KHF-00-104265-BA-6070-42028-0000</v>
          </cell>
          <cell r="E1725" t="str">
            <v>Method Statement for Aboveground Sections Hydrotesting of CS Pipelines</v>
          </cell>
          <cell r="F1725">
            <v>3</v>
          </cell>
          <cell r="G1725" t="str">
            <v>Code B</v>
          </cell>
        </row>
        <row r="1726">
          <cell r="A1726" t="str">
            <v>KHF-00-104265-AA-6944-10078-0000-1</v>
          </cell>
          <cell r="B1726" t="str">
            <v>KHF_AIP_D_EXT_01225</v>
          </cell>
          <cell r="C1726">
            <v>43594</v>
          </cell>
          <cell r="D1726" t="str">
            <v>KHF-00-104265-AA-6944-10078-0000</v>
          </cell>
          <cell r="E1726" t="str">
            <v>Weekly Progress Report No. 078</v>
          </cell>
          <cell r="F1726">
            <v>1</v>
          </cell>
          <cell r="G1726" t="str">
            <v>Code D</v>
          </cell>
        </row>
        <row r="1727">
          <cell r="A1727" t="str">
            <v>KHF-00-104265-AA-6944-20019-0000-1</v>
          </cell>
          <cell r="B1727" t="str">
            <v>KHF_AIP_D_EXT_01226</v>
          </cell>
          <cell r="C1727">
            <v>43594</v>
          </cell>
          <cell r="D1727" t="str">
            <v>KHF-00-104265-AA-6944-20019-0000</v>
          </cell>
          <cell r="E1727" t="str">
            <v>MONTHLY PROGRESS REPORT NO.019 (MARCH 2019)</v>
          </cell>
          <cell r="F1727">
            <v>1</v>
          </cell>
          <cell r="G1727" t="str">
            <v>Code D</v>
          </cell>
        </row>
        <row r="1728">
          <cell r="A1728" t="str">
            <v>KHF-00-104265-RA-6038-01305-0000-2</v>
          </cell>
          <cell r="B1728" t="str">
            <v>KHF_AIP_D_EXT_01227</v>
          </cell>
          <cell r="C1728">
            <v>43594</v>
          </cell>
          <cell r="D1728" t="str">
            <v>KHF-00-104265-RA-6038-01305-0000</v>
          </cell>
          <cell r="E1728" t="str">
            <v>Procedure for Hardness Testing</v>
          </cell>
          <cell r="F1728">
            <v>2</v>
          </cell>
          <cell r="G1728" t="str">
            <v>Code A</v>
          </cell>
        </row>
        <row r="1729">
          <cell r="A1729" t="str">
            <v>KHF-00-104265-RA-6038-01310-0000-2</v>
          </cell>
          <cell r="B1729" t="str">
            <v>KHF_AIP_D_EXT_01227</v>
          </cell>
          <cell r="C1729">
            <v>43594</v>
          </cell>
          <cell r="D1729" t="str">
            <v>KHF-00-104265-RA-6038-01310-0000</v>
          </cell>
          <cell r="E1729" t="str">
            <v>Pre-Heating Procedure for Piping</v>
          </cell>
          <cell r="F1729">
            <v>2</v>
          </cell>
          <cell r="G1729" t="str">
            <v>Code A</v>
          </cell>
        </row>
        <row r="1730">
          <cell r="A1730" t="str">
            <v>KHF-00-104265-AA-3341-60117-0000-2</v>
          </cell>
          <cell r="B1730" t="str">
            <v>KHF_AIP_D_EXT_01228</v>
          </cell>
          <cell r="C1730">
            <v>43598</v>
          </cell>
          <cell r="D1730" t="str">
            <v>KHF-00-104265-AA-3341-60117-0000</v>
          </cell>
          <cell r="E1730" t="str">
            <v>CV OF MR. MOHAMED MANSOOR - QC INSPECTOR - INSTRUMENT &amp; TELECOM</v>
          </cell>
          <cell r="F1730">
            <v>2</v>
          </cell>
          <cell r="G1730" t="str">
            <v>Code B</v>
          </cell>
        </row>
        <row r="1731">
          <cell r="A1731" t="str">
            <v>KHF-00-104265-AA-3341-60169-0000-1</v>
          </cell>
          <cell r="B1731" t="str">
            <v>KHF_AIP_D_EXT_01229</v>
          </cell>
          <cell r="C1731">
            <v>43598</v>
          </cell>
          <cell r="D1731" t="str">
            <v>KHF-00-104265-AA-3341-60169-0000</v>
          </cell>
          <cell r="E1731" t="str">
            <v>CV OF MR. A. BALASUBRAMANIA PANDIAN - QCI INSTRUMENTATION</v>
          </cell>
          <cell r="F1731">
            <v>1</v>
          </cell>
          <cell r="G1731" t="str">
            <v>Code D</v>
          </cell>
        </row>
        <row r="1732">
          <cell r="A1732" t="str">
            <v>KHF-00-104265-BA-6065-01314-0000-1</v>
          </cell>
          <cell r="B1732" t="str">
            <v>KHF_AIP_D_EXT_01230</v>
          </cell>
          <cell r="C1732">
            <v>43599</v>
          </cell>
          <cell r="D1732" t="str">
            <v>KHF-00-104265-BA-6065-01314-0000</v>
          </cell>
          <cell r="E1732" t="str">
            <v>Welding Procedure Specification - Pipe Support Welding JWPS-544 &amp; JPQR-544 (Non-Sour Service)</v>
          </cell>
          <cell r="F1732">
            <v>1</v>
          </cell>
          <cell r="G1732" t="str">
            <v>Code A</v>
          </cell>
        </row>
        <row r="1733">
          <cell r="A1733" t="str">
            <v>KHF-00-104265-RA-8241-51199-0000-1</v>
          </cell>
          <cell r="B1733" t="str">
            <v>KHF_AIP_D_EXT_01231</v>
          </cell>
          <cell r="C1733">
            <v>43599</v>
          </cell>
          <cell r="D1733" t="str">
            <v>KHF-00-104265-RA-8241-51199-0000</v>
          </cell>
          <cell r="E1733" t="str">
            <v>Material Approval Sheet for Sanitary Ware &amp; CP Fittings (Ideal Standard Products) for GTG Building Toilet &amp; Pantry - Part 1</v>
          </cell>
          <cell r="F1733">
            <v>1</v>
          </cell>
          <cell r="G1733" t="str">
            <v>Code D</v>
          </cell>
        </row>
        <row r="1734">
          <cell r="A1734" t="str">
            <v>KHF-00-104265-AA-3341-60120-0000-3</v>
          </cell>
          <cell r="B1734" t="str">
            <v>KHF_AIP_D_EXT_01232</v>
          </cell>
          <cell r="C1734">
            <v>43600</v>
          </cell>
          <cell r="D1734" t="str">
            <v>KHF-00-104265-AA-3341-60120-0000</v>
          </cell>
          <cell r="E1734" t="str">
            <v>CV for Mr. Ashwinkumar, QC Inspector - Welding (Piping &amp; Pipeline)</v>
          </cell>
          <cell r="F1734">
            <v>3</v>
          </cell>
          <cell r="G1734" t="str">
            <v>Code A</v>
          </cell>
        </row>
        <row r="1735">
          <cell r="A1735" t="str">
            <v>KHF-00-104265-AA-6944-10079-0000-1</v>
          </cell>
          <cell r="B1735" t="str">
            <v>KHF_AIP_D_EXT_01233</v>
          </cell>
          <cell r="C1735">
            <v>43601</v>
          </cell>
          <cell r="D1735" t="str">
            <v>KHF-00-104265-AA-6944-10079-0000</v>
          </cell>
          <cell r="E1735" t="str">
            <v>Weekly Progress Report No.079</v>
          </cell>
          <cell r="F1735">
            <v>1</v>
          </cell>
          <cell r="G1735" t="str">
            <v>Code D</v>
          </cell>
        </row>
        <row r="1736">
          <cell r="A1736" t="str">
            <v>---</v>
          </cell>
          <cell r="B1736" t="str">
            <v>KHF_AIP_D_EXT_01234</v>
          </cell>
          <cell r="C1736">
            <v>43601</v>
          </cell>
          <cell r="D1736" t="str">
            <v>-</v>
          </cell>
          <cell r="E1736" t="str">
            <v>AFC Drawings</v>
          </cell>
          <cell r="F1736" t="str">
            <v>-</v>
          </cell>
          <cell r="G1736" t="str">
            <v>19 drawings</v>
          </cell>
        </row>
        <row r="1737">
          <cell r="A1737" t="str">
            <v>KHF-00-104265-BA-6065-00148-0000-2</v>
          </cell>
          <cell r="B1737" t="str">
            <v>KHF_AIP_D_EXT_01235</v>
          </cell>
          <cell r="C1737">
            <v>43604</v>
          </cell>
          <cell r="D1737" t="str">
            <v>KHF-00-104265-BA-6065-00148-0000</v>
          </cell>
          <cell r="E1737" t="str">
            <v>Welding Procedure Specification (Tie-in, 16inch PL-5) Pipe to Isolation Joint</v>
          </cell>
          <cell r="F1737">
            <v>2</v>
          </cell>
          <cell r="G1737" t="str">
            <v>Code A</v>
          </cell>
        </row>
        <row r="1738">
          <cell r="A1738" t="str">
            <v>KHF-00-104265-BA-6065-01307-0000-2</v>
          </cell>
          <cell r="B1738" t="str">
            <v>KHF_AIP_D_EXT_01236</v>
          </cell>
          <cell r="C1738">
            <v>43604</v>
          </cell>
          <cell r="D1738" t="str">
            <v>KHF-00-104265-BA-6065-01307-0000</v>
          </cell>
          <cell r="E1738" t="str">
            <v>Welding Procedure Specification - Carbon Steel JWPS-95 &amp; JPQR-95 (Non-Sour Service)</v>
          </cell>
          <cell r="F1738">
            <v>2</v>
          </cell>
          <cell r="G1738" t="str">
            <v>Code A</v>
          </cell>
        </row>
        <row r="1739">
          <cell r="A1739" t="str">
            <v>KHF-00-104265-BA-6065-01308-0000-2</v>
          </cell>
          <cell r="B1739" t="str">
            <v>KHF_AIP_D_EXT_01236</v>
          </cell>
          <cell r="C1739">
            <v>43604</v>
          </cell>
          <cell r="D1739" t="str">
            <v>KHF-00-104265-BA-6065-01308-0000</v>
          </cell>
          <cell r="E1739" t="str">
            <v>Welding Procedure Specification - Carbon Steel JWPS-96 &amp; JPQR-96 (Non-Sour Service)</v>
          </cell>
          <cell r="F1739">
            <v>2</v>
          </cell>
          <cell r="G1739" t="str">
            <v>Code A</v>
          </cell>
        </row>
        <row r="1740">
          <cell r="A1740" t="str">
            <v>KHF-00-104265-BA-6065-01311-0000-3</v>
          </cell>
          <cell r="B1740" t="str">
            <v>KHF_AIP_D_EXT_01237</v>
          </cell>
          <cell r="C1740">
            <v>43604</v>
          </cell>
          <cell r="D1740" t="str">
            <v>KHF-00-104265-BA-6065-01311-0000</v>
          </cell>
          <cell r="E1740" t="str">
            <v>Welding Procedure Specification for Stainless Steel Welding WPS-513 &amp; JPQR-542</v>
          </cell>
          <cell r="F1740">
            <v>3</v>
          </cell>
          <cell r="G1740" t="str">
            <v>Code A</v>
          </cell>
        </row>
        <row r="1741">
          <cell r="A1741" t="str">
            <v>KHF-00-104265-BA-6065-01313-0000-3</v>
          </cell>
          <cell r="B1741" t="str">
            <v>KHF_AIP_D_EXT_01238</v>
          </cell>
          <cell r="C1741">
            <v>43604</v>
          </cell>
          <cell r="D1741" t="str">
            <v>KHF-00-104265-BA-6065-01313-0000</v>
          </cell>
          <cell r="E1741" t="str">
            <v>WPS &amp; PQR register for Non Boiler External &amp; General Piping (Non-Sour Service)</v>
          </cell>
          <cell r="F1741">
            <v>3</v>
          </cell>
          <cell r="G1741" t="str">
            <v>Code B</v>
          </cell>
        </row>
        <row r="1742">
          <cell r="A1742" t="str">
            <v>KHF-00-104265-BA-6065-01315-0000-1</v>
          </cell>
          <cell r="B1742" t="str">
            <v>KHF_AIP_D_EXT_01239</v>
          </cell>
          <cell r="C1742">
            <v>43604</v>
          </cell>
          <cell r="D1742" t="str">
            <v>KHF-00-104265-BA-6065-01315-0000</v>
          </cell>
          <cell r="E1742" t="str">
            <v>Welding Procedure Specification - Dissimilar (P4-P8) Support Welding (A312TP316L Wear Pad to A387Gr11 Shoe/Siffner Plate Welding) JWPS-141 &amp; JPQR-141 (Non-Sour Service)</v>
          </cell>
          <cell r="F1742">
            <v>1</v>
          </cell>
          <cell r="G1742" t="str">
            <v>Code A</v>
          </cell>
        </row>
        <row r="1743">
          <cell r="A1743" t="str">
            <v>KHF-00-104265-BA-6065-01316-0000-1</v>
          </cell>
          <cell r="B1743" t="str">
            <v>KHF_AIP_D_EXT_01239</v>
          </cell>
          <cell r="C1743">
            <v>43604</v>
          </cell>
          <cell r="D1743" t="str">
            <v>KHF-00-104265-BA-6065-01316-0000</v>
          </cell>
          <cell r="E1743" t="str">
            <v>Welding Procedure Specification - Structural Welding JWPS-410S &amp; JEL-PQR-SBRP1-SS409-01 (Non-Sour Service)</v>
          </cell>
          <cell r="F1743">
            <v>1</v>
          </cell>
          <cell r="G1743" t="str">
            <v>Code B</v>
          </cell>
        </row>
        <row r="1744">
          <cell r="A1744" t="str">
            <v>KHF-00-104265-QA-6050-01301-0000-2</v>
          </cell>
          <cell r="B1744" t="str">
            <v>KHF_AIP_D_EXT_01240</v>
          </cell>
          <cell r="C1744">
            <v>43604</v>
          </cell>
          <cell r="D1744" t="str">
            <v>KHF-00-104265-QA-6050-01301-0000</v>
          </cell>
          <cell r="E1744" t="str">
            <v>Welding Consumable Control Procedure</v>
          </cell>
          <cell r="F1744">
            <v>2</v>
          </cell>
          <cell r="G1744" t="str">
            <v>Code A</v>
          </cell>
        </row>
        <row r="1745">
          <cell r="A1745" t="str">
            <v>KHF-00-104265-QA-6050-01302-0000-1</v>
          </cell>
          <cell r="B1745" t="str">
            <v>KHF_AIP_D_EXT_01241</v>
          </cell>
          <cell r="C1745">
            <v>43604</v>
          </cell>
          <cell r="D1745" t="str">
            <v>KHF-00-104265-QA-6050-01302-0000</v>
          </cell>
          <cell r="E1745" t="str">
            <v>Weld Repair Procedure</v>
          </cell>
          <cell r="F1745">
            <v>1</v>
          </cell>
          <cell r="G1745" t="str">
            <v>Code D</v>
          </cell>
        </row>
        <row r="1746">
          <cell r="A1746" t="str">
            <v>KHF-00-104265-RA-8241-00803-0000-1</v>
          </cell>
          <cell r="B1746" t="str">
            <v>KHF_AIP_D_EXT_01242</v>
          </cell>
          <cell r="C1746">
            <v>43607</v>
          </cell>
          <cell r="D1746" t="str">
            <v>KHF-00-104265-RA-8241-00803-0000</v>
          </cell>
          <cell r="E1746" t="str">
            <v>Material Approval Submittal for Concentric Reducer 4x 2 SCH 80</v>
          </cell>
          <cell r="F1746">
            <v>1</v>
          </cell>
          <cell r="G1746" t="str">
            <v>Code B</v>
          </cell>
        </row>
        <row r="1747">
          <cell r="A1747" t="str">
            <v>KHF-00-104265-AA-3341-60171-0000-1</v>
          </cell>
          <cell r="B1747" t="str">
            <v>KHF_AIP_D_EXT_01243</v>
          </cell>
          <cell r="C1747">
            <v>43611</v>
          </cell>
          <cell r="D1747" t="str">
            <v>KHF-00-104265-AA-3341-60171-0000</v>
          </cell>
          <cell r="E1747" t="str">
            <v>CV OF MR. HARTER BEN A - QCI INSTRUMENTATION</v>
          </cell>
          <cell r="F1747">
            <v>1</v>
          </cell>
          <cell r="G1747" t="str">
            <v>Code B</v>
          </cell>
        </row>
        <row r="1748">
          <cell r="A1748" t="str">
            <v>KHF-00-104265-AA-3341-60168-0000-1</v>
          </cell>
          <cell r="B1748" t="str">
            <v>KHF_AIP_D_EXT_01244</v>
          </cell>
          <cell r="C1748">
            <v>43611</v>
          </cell>
          <cell r="D1748" t="str">
            <v>KHF-00-104265-AA-3341-60168-0000</v>
          </cell>
          <cell r="E1748" t="str">
            <v>CV of Mr.Naveen D Souza QCI Electrical</v>
          </cell>
          <cell r="F1748">
            <v>1</v>
          </cell>
          <cell r="G1748" t="str">
            <v>Code B</v>
          </cell>
        </row>
        <row r="1749">
          <cell r="A1749" t="str">
            <v>---</v>
          </cell>
          <cell r="B1749" t="str">
            <v>KHF_AIP_D_EXT_01245</v>
          </cell>
          <cell r="C1749">
            <v>43611</v>
          </cell>
          <cell r="D1749" t="str">
            <v>-</v>
          </cell>
          <cell r="E1749" t="str">
            <v>AFC Drawings</v>
          </cell>
          <cell r="F1749" t="str">
            <v>-</v>
          </cell>
          <cell r="G1749" t="str">
            <v>01 drawing</v>
          </cell>
        </row>
        <row r="1750">
          <cell r="A1750" t="str">
            <v>KHF-00-104265-RA-8241-00803-0000-2</v>
          </cell>
          <cell r="B1750" t="str">
            <v>KHF_AIP_D_EXT_01246</v>
          </cell>
          <cell r="C1750">
            <v>43615</v>
          </cell>
          <cell r="D1750" t="str">
            <v>KHF-00-104265-RA-8241-00803-0000</v>
          </cell>
          <cell r="E1750" t="str">
            <v>Material Approval Submittal for Concentric Reducer 4INx 2IN SCH 80</v>
          </cell>
          <cell r="F1750">
            <v>2</v>
          </cell>
          <cell r="G1750" t="str">
            <v>Code A</v>
          </cell>
        </row>
        <row r="1751">
          <cell r="A1751" t="str">
            <v>KHF-00-104265-BA-6065-01302-0000-1</v>
          </cell>
          <cell r="B1751" t="str">
            <v>KHF_AIP_D_EXT_01247</v>
          </cell>
          <cell r="C1751">
            <v>43618</v>
          </cell>
          <cell r="D1751" t="str">
            <v>KHF-00-104265-BA-6065-01302-0000</v>
          </cell>
          <cell r="E1751" t="str">
            <v>Non Sour Service  - Welding Procedure specification - JWPS-543 &amp; JPQR-543 - Grade P11</v>
          </cell>
          <cell r="F1751">
            <v>1</v>
          </cell>
          <cell r="G1751" t="str">
            <v>Code D</v>
          </cell>
        </row>
        <row r="1752">
          <cell r="A1752" t="str">
            <v>KHF-00-104265-BA-6065-01304-0000-1</v>
          </cell>
          <cell r="B1752" t="str">
            <v>KHF_AIP_D_EXT_01247</v>
          </cell>
          <cell r="C1752">
            <v>43618</v>
          </cell>
          <cell r="D1752" t="str">
            <v>KHF-00-104265-BA-6065-01304-0000</v>
          </cell>
          <cell r="E1752" t="str">
            <v>Non Sour Service  - Welding Procedure specification for P1-P4 Dissimilar Welding JWPS - 06 &amp; JPQR - 06</v>
          </cell>
          <cell r="F1752">
            <v>1</v>
          </cell>
          <cell r="G1752" t="str">
            <v>Code B</v>
          </cell>
        </row>
        <row r="1753">
          <cell r="A1753" t="str">
            <v>KHF-00-104265-BA-6065-01317-0000-1</v>
          </cell>
          <cell r="B1753" t="str">
            <v>KHF_AIP_D_EXT_01247</v>
          </cell>
          <cell r="C1753">
            <v>43618</v>
          </cell>
          <cell r="D1753" t="str">
            <v>KHF-00-104265-BA-6065-01317-0000</v>
          </cell>
          <cell r="E1753" t="str">
            <v>WPS &amp; PQR Register - Boiler and Boiler External Piping - Non Sour Service</v>
          </cell>
          <cell r="F1753">
            <v>1</v>
          </cell>
          <cell r="G1753" t="str">
            <v>Code C</v>
          </cell>
        </row>
        <row r="1754">
          <cell r="A1754" t="str">
            <v>KHF-00-104265-BA-6065-01318-0000-1</v>
          </cell>
          <cell r="B1754" t="str">
            <v>KHF_AIP_D_EXT_01247</v>
          </cell>
          <cell r="C1754">
            <v>43618</v>
          </cell>
          <cell r="D1754" t="str">
            <v>KHF-00-104265-BA-6065-01318-0000</v>
          </cell>
          <cell r="E1754" t="str">
            <v>Non Sour Service  - Welding Procedure specification - Pipe Support Welding (SMAW) JWPS-544A &amp; JPQR-544</v>
          </cell>
          <cell r="F1754">
            <v>1</v>
          </cell>
          <cell r="G1754" t="str">
            <v>Code A</v>
          </cell>
        </row>
        <row r="1755">
          <cell r="A1755" t="str">
            <v>KHF-00-104265-RA-8241-51203-0000-1</v>
          </cell>
          <cell r="B1755" t="str">
            <v>KHF_AIP_D_EXT_01248</v>
          </cell>
          <cell r="C1755">
            <v>43618</v>
          </cell>
          <cell r="D1755" t="str">
            <v>KHF-00-104265-RA-8241-51203-0000</v>
          </cell>
          <cell r="E1755" t="str">
            <v>Material Approval Sheet for Wooden False Ceiling with OAK Veneer Finish to Control Room in GTG Substation</v>
          </cell>
          <cell r="F1755">
            <v>1</v>
          </cell>
          <cell r="G1755" t="str">
            <v>Code B</v>
          </cell>
        </row>
        <row r="1756">
          <cell r="A1756" t="str">
            <v>KHF-00-104265-RA-8241-51205-0000-1</v>
          </cell>
          <cell r="B1756" t="str">
            <v>KHF_AIP_D_EXT_01249</v>
          </cell>
          <cell r="C1756">
            <v>43618</v>
          </cell>
          <cell r="D1756" t="str">
            <v>KHF-00-104265-RA-8241-51205-0000</v>
          </cell>
          <cell r="E1756" t="str">
            <v>Material Approval Sheet for Thermal Insulation of Copper Pipe Line</v>
          </cell>
          <cell r="F1756">
            <v>1</v>
          </cell>
          <cell r="G1756" t="str">
            <v>Code C</v>
          </cell>
        </row>
        <row r="1757">
          <cell r="A1757" t="str">
            <v>---</v>
          </cell>
          <cell r="B1757" t="str">
            <v>KHF_AIP_D_EXT_01250</v>
          </cell>
          <cell r="C1757">
            <v>43618</v>
          </cell>
          <cell r="D1757" t="str">
            <v>-</v>
          </cell>
          <cell r="E1757" t="str">
            <v>AFC Drawings</v>
          </cell>
          <cell r="F1757" t="str">
            <v>-</v>
          </cell>
          <cell r="G1757" t="str">
            <v>05 drawings</v>
          </cell>
        </row>
        <row r="1758">
          <cell r="A1758" t="str">
            <v>---</v>
          </cell>
          <cell r="B1758" t="str">
            <v>KHF_AIP_D_EXT_01251</v>
          </cell>
          <cell r="C1758">
            <v>43625</v>
          </cell>
          <cell r="D1758" t="str">
            <v>-</v>
          </cell>
          <cell r="E1758" t="str">
            <v>AFC Drawing</v>
          </cell>
          <cell r="F1758" t="str">
            <v>-</v>
          </cell>
          <cell r="G1758" t="str">
            <v>01 drawing</v>
          </cell>
        </row>
        <row r="1759">
          <cell r="A1759" t="str">
            <v>KHF-00-104265-AA-3341-00159-0000-1</v>
          </cell>
          <cell r="B1759" t="str">
            <v>KHF_AIP_D_EXT_01252</v>
          </cell>
          <cell r="C1759">
            <v>43626</v>
          </cell>
          <cell r="D1759" t="str">
            <v>KHF-00-104265-AA-3341-00159-0000</v>
          </cell>
          <cell r="E1759" t="str">
            <v>CV OF MR. U. SHANKAR ANAND - HSE ADVISOR</v>
          </cell>
          <cell r="F1759">
            <v>1</v>
          </cell>
          <cell r="G1759" t="str">
            <v>Code D</v>
          </cell>
        </row>
        <row r="1760">
          <cell r="A1760" t="str">
            <v>KHF-00-104265-AA-3341-60170-0000-1</v>
          </cell>
          <cell r="B1760" t="str">
            <v>KHF_AIP_D_EXT_01253</v>
          </cell>
          <cell r="C1760">
            <v>43626</v>
          </cell>
          <cell r="D1760" t="str">
            <v>KHF-00-104265-AA-3341-60170-0000</v>
          </cell>
          <cell r="E1760" t="str">
            <v>CV OF MR. S. ALAGAPPAN - QCI CIVIL</v>
          </cell>
          <cell r="F1760">
            <v>1</v>
          </cell>
          <cell r="G1760" t="str">
            <v>Code A</v>
          </cell>
        </row>
        <row r="1761">
          <cell r="A1761" t="str">
            <v>KHF-00-104265-BA-6070-43014-0000-1</v>
          </cell>
          <cell r="B1761" t="str">
            <v>KHF_AIP_D_EXT_01254</v>
          </cell>
          <cell r="C1761">
            <v>43626</v>
          </cell>
          <cell r="D1761" t="str">
            <v>KHF-00-104265-BA-6070-43014-0000</v>
          </cell>
          <cell r="E1761" t="str">
            <v>METHOD STATEMENT FOR 33KV SINGLE ELM OHL CONSTRUCTION (CONCRETE POLE)</v>
          </cell>
          <cell r="F1761">
            <v>1</v>
          </cell>
          <cell r="G1761" t="str">
            <v>Code B</v>
          </cell>
        </row>
        <row r="1762">
          <cell r="A1762" t="str">
            <v>KHF-00-104265-QA-5733-23009-0000-1</v>
          </cell>
          <cell r="B1762" t="str">
            <v>KHF_AIP_D_EXT_01255</v>
          </cell>
          <cell r="C1762">
            <v>43626</v>
          </cell>
          <cell r="D1762" t="str">
            <v>KHF-00-104265-QA-5733-23009-0000</v>
          </cell>
          <cell r="E1762" t="str">
            <v>Inspection Test Plan for 33KV OHL Installation (Concrete Pole)</v>
          </cell>
          <cell r="F1762">
            <v>1</v>
          </cell>
          <cell r="G1762" t="str">
            <v>Code B</v>
          </cell>
        </row>
        <row r="1763">
          <cell r="A1763" t="str">
            <v>KHF-00-104265-RA-8241-51199-0000-2</v>
          </cell>
          <cell r="B1763" t="str">
            <v>KHF_AIP_D_EXT_01256</v>
          </cell>
          <cell r="C1763">
            <v>43626</v>
          </cell>
          <cell r="D1763" t="str">
            <v>KHF-00-104265-RA-8241-51199-0000</v>
          </cell>
          <cell r="E1763" t="str">
            <v>Material Approval Sheet for Sanitary Ware &amp; CP Fittings (Deal Standard, Blanco, Viega &amp; Eumel Products) for GTG Building Toilet and Pantry</v>
          </cell>
          <cell r="F1763">
            <v>2</v>
          </cell>
          <cell r="G1763" t="str">
            <v>Code A</v>
          </cell>
        </row>
        <row r="1764">
          <cell r="A1764" t="str">
            <v>KHF-00-104265-RA-8241-51208-0000-1</v>
          </cell>
          <cell r="B1764" t="str">
            <v>KHF_AIP_D_EXT_01257</v>
          </cell>
          <cell r="C1764">
            <v>43626</v>
          </cell>
          <cell r="D1764" t="str">
            <v>KHF-00-104265-RA-8241-51208-0000</v>
          </cell>
          <cell r="E1764" t="str">
            <v>Material Approval Sheet for Insulation of Condensate Pipe Line</v>
          </cell>
          <cell r="F1764">
            <v>1</v>
          </cell>
          <cell r="G1764" t="str">
            <v>Code A</v>
          </cell>
        </row>
        <row r="1765">
          <cell r="A1765" t="str">
            <v>---</v>
          </cell>
          <cell r="B1765" t="str">
            <v>KHF_AIP_D_EXT_01258</v>
          </cell>
          <cell r="C1765">
            <v>43627</v>
          </cell>
          <cell r="D1765" t="str">
            <v>-</v>
          </cell>
          <cell r="E1765" t="str">
            <v>AFC Drawing</v>
          </cell>
          <cell r="F1765" t="str">
            <v>-</v>
          </cell>
          <cell r="G1765" t="str">
            <v>01 drawing</v>
          </cell>
        </row>
        <row r="1766">
          <cell r="A1766" t="str">
            <v>KHF-00-104265-HX-6180-10012-0000-7</v>
          </cell>
          <cell r="B1766" t="str">
            <v>KHF_AIP_D_EXT_01259</v>
          </cell>
          <cell r="C1766">
            <v>43628</v>
          </cell>
          <cell r="D1766" t="str">
            <v>KHF-00-104265-HX-6180-10012-0000</v>
          </cell>
          <cell r="E1766" t="str">
            <v>Permit to Work Procedure (Greenfield)</v>
          </cell>
          <cell r="F1766">
            <v>7</v>
          </cell>
          <cell r="G1766" t="str">
            <v>Code B</v>
          </cell>
        </row>
        <row r="1767">
          <cell r="A1767" t="str">
            <v>KHF-00-104265-HX-6613-10015-0000-4</v>
          </cell>
          <cell r="B1767" t="str">
            <v>KHF_AIP_D_EXT_01260</v>
          </cell>
          <cell r="C1767">
            <v>43628</v>
          </cell>
          <cell r="D1767" t="str">
            <v>KHF-00-104265-HX-6613-10015-0000</v>
          </cell>
          <cell r="E1767" t="str">
            <v>Construction Services for Yibal Khuff Project HEMP Register</v>
          </cell>
          <cell r="F1767">
            <v>4</v>
          </cell>
          <cell r="G1767" t="str">
            <v>Code B</v>
          </cell>
        </row>
        <row r="1768">
          <cell r="A1768" t="str">
            <v>KHF-00-104265-RA-6038-00609-0000-2</v>
          </cell>
          <cell r="B1768" t="str">
            <v>KHF_AIP_D_EXT_01261</v>
          </cell>
          <cell r="C1768">
            <v>43628</v>
          </cell>
          <cell r="D1768" t="str">
            <v>KHF-00-104265-RA-6038-00609-0000</v>
          </cell>
          <cell r="E1768" t="str">
            <v>Visual Examination Procedure for CS / LTCS Piping Spools</v>
          </cell>
          <cell r="F1768">
            <v>2</v>
          </cell>
          <cell r="G1768" t="str">
            <v>Code B</v>
          </cell>
        </row>
        <row r="1769">
          <cell r="A1769" t="str">
            <v>KHF-00-104265-RA-6038-01312-0000-1</v>
          </cell>
          <cell r="B1769" t="str">
            <v>KHF_AIP_D_EXT_01262</v>
          </cell>
          <cell r="C1769">
            <v>43628</v>
          </cell>
          <cell r="D1769" t="str">
            <v>KHF-00-104265-RA-6038-01312-0000</v>
          </cell>
          <cell r="E1769" t="str">
            <v>Visual Testing Procedure By M/s HI TECH</v>
          </cell>
          <cell r="F1769">
            <v>1</v>
          </cell>
          <cell r="G1769" t="str">
            <v>Code B</v>
          </cell>
        </row>
        <row r="1770">
          <cell r="A1770" t="str">
            <v>KHF-00-104265-RA-6038-10076-0000-1</v>
          </cell>
          <cell r="B1770" t="str">
            <v>KHF_AIP_D_EXT_01263</v>
          </cell>
          <cell r="C1770">
            <v>43628</v>
          </cell>
          <cell r="D1770" t="str">
            <v>KHF-00-104265-RA-6038-10076-0000</v>
          </cell>
          <cell r="E1770" t="str">
            <v>Procedure for Visual Inspection of Piping using Boroscope by M/s GTIS</v>
          </cell>
          <cell r="F1770">
            <v>1</v>
          </cell>
          <cell r="G1770" t="str">
            <v>Code B</v>
          </cell>
        </row>
        <row r="1771">
          <cell r="A1771" t="str">
            <v>KHF-00-104265-BA-6065-01701-0000-1</v>
          </cell>
          <cell r="B1771" t="str">
            <v>KHF_AIP_D_EXT_01264</v>
          </cell>
          <cell r="C1771">
            <v>43632</v>
          </cell>
          <cell r="D1771" t="str">
            <v>KHF-00-104265-BA-6065-01701-0000</v>
          </cell>
          <cell r="E1771" t="str">
            <v>WPS / Weld Map</v>
          </cell>
          <cell r="F1771">
            <v>1</v>
          </cell>
          <cell r="G1771" t="str">
            <v>Code B</v>
          </cell>
        </row>
        <row r="1772">
          <cell r="A1772" t="str">
            <v>KHF-00-104265-BA-6065-01703-0000-1</v>
          </cell>
          <cell r="B1772" t="str">
            <v>KHF_AIP_D_EXT_01265</v>
          </cell>
          <cell r="C1772">
            <v>43632</v>
          </cell>
          <cell r="D1772" t="str">
            <v>KHF-00-104265-BA-6065-01703-0000</v>
          </cell>
          <cell r="E1772" t="str">
            <v>WELDING PROCEDURE SPECIFICATIONS (AI-WPS-M-542)</v>
          </cell>
          <cell r="F1772">
            <v>1</v>
          </cell>
          <cell r="G1772" t="str">
            <v>Code B</v>
          </cell>
        </row>
        <row r="1773">
          <cell r="A1773" t="str">
            <v>KHF-00-104265-BA-6065-01704-0000-1</v>
          </cell>
          <cell r="B1773" t="str">
            <v>KHF_AIP_D_EXT_01265</v>
          </cell>
          <cell r="C1773">
            <v>43632</v>
          </cell>
          <cell r="D1773" t="str">
            <v>KHF-00-104265-BA-6065-01704-0000</v>
          </cell>
          <cell r="E1773" t="str">
            <v>WELDING PROCEDURE SPECIFICATIONS (AI-WPS-M-542FW)</v>
          </cell>
          <cell r="F1773">
            <v>1</v>
          </cell>
          <cell r="G1773" t="str">
            <v>Code B</v>
          </cell>
        </row>
        <row r="1774">
          <cell r="A1774" t="str">
            <v>KHF-00-104265-BA-6070-43015-0000-1</v>
          </cell>
          <cell r="B1774" t="str">
            <v>KHF_AIP_D_EXT_01266</v>
          </cell>
          <cell r="C1774">
            <v>43632</v>
          </cell>
          <cell r="D1774" t="str">
            <v>KHF-00-104265-BA-6070-43015-0000</v>
          </cell>
          <cell r="E1774" t="str">
            <v>Method Statement for High Voltage Testing and Commissioning Procedure for 132 KV XLPE Cables</v>
          </cell>
          <cell r="F1774">
            <v>1</v>
          </cell>
          <cell r="G1774" t="str">
            <v>Code C</v>
          </cell>
        </row>
        <row r="1775">
          <cell r="A1775" t="str">
            <v>---</v>
          </cell>
          <cell r="B1775" t="str">
            <v>KHF_AIP_D_EXT_01267</v>
          </cell>
          <cell r="C1775">
            <v>43633</v>
          </cell>
          <cell r="D1775" t="str">
            <v>-</v>
          </cell>
          <cell r="E1775" t="str">
            <v>AFC Drawing</v>
          </cell>
          <cell r="F1775" t="str">
            <v>-</v>
          </cell>
          <cell r="G1775" t="str">
            <v>01 drawing</v>
          </cell>
        </row>
        <row r="1776">
          <cell r="A1776" t="str">
            <v>---</v>
          </cell>
          <cell r="B1776" t="str">
            <v>KHF_AIP_D_EXT_01268</v>
          </cell>
          <cell r="C1776">
            <v>43633</v>
          </cell>
          <cell r="D1776" t="str">
            <v>-</v>
          </cell>
          <cell r="E1776" t="str">
            <v>AFC Drawings</v>
          </cell>
          <cell r="F1776" t="str">
            <v>-</v>
          </cell>
          <cell r="G1776" t="str">
            <v>02 drawings</v>
          </cell>
        </row>
        <row r="1777">
          <cell r="A1777" t="str">
            <v>KHF-00-000000-OA-7180-00012-0000-1</v>
          </cell>
          <cell r="B1777" t="str">
            <v>KHF_AIP_D_EXT_01269</v>
          </cell>
          <cell r="C1777">
            <v>43634</v>
          </cell>
          <cell r="D1777" t="str">
            <v>KHF-00-000000-OA-7180-00012-0000</v>
          </cell>
          <cell r="E1777" t="str">
            <v>YKP Signatory Detailed Matrix</v>
          </cell>
          <cell r="F1777">
            <v>1</v>
          </cell>
          <cell r="G1777" t="str">
            <v>IFI</v>
          </cell>
        </row>
        <row r="1778">
          <cell r="A1778" t="str">
            <v>KHF-00-104265-JA-5798-10080-0000-1</v>
          </cell>
          <cell r="B1778" t="str">
            <v>KHF_AIP_D_EXT_01270</v>
          </cell>
          <cell r="C1778">
            <v>43634</v>
          </cell>
          <cell r="D1778" t="str">
            <v>KHF-00-104265-JA-5798-10080-0000</v>
          </cell>
          <cell r="E1778" t="str">
            <v>RED LINE &amp; GREEN LINE MARK-UP MANAGEMENT PLAN</v>
          </cell>
          <cell r="F1778">
            <v>1</v>
          </cell>
          <cell r="G1778" t="str">
            <v>Code B</v>
          </cell>
        </row>
        <row r="1779">
          <cell r="A1779" t="str">
            <v>KHF-00-104265-QA-5733-01701-0000-1</v>
          </cell>
          <cell r="B1779" t="str">
            <v>KHF_AIP_D_EXT_01271</v>
          </cell>
          <cell r="C1779">
            <v>43634</v>
          </cell>
          <cell r="D1779" t="str">
            <v>KHF-00-104265-QA-5733-01701-0000</v>
          </cell>
          <cell r="E1779" t="str">
            <v>Inspection Test Plan for Fabrication of Corrosion Inhibitor Chemical Storage Tanks (SS)</v>
          </cell>
          <cell r="F1779">
            <v>1</v>
          </cell>
          <cell r="G1779" t="str">
            <v>Code B</v>
          </cell>
        </row>
        <row r="1780">
          <cell r="A1780" t="str">
            <v>KHF-00-104265-BA-6070-42033-0000-1</v>
          </cell>
          <cell r="B1780" t="str">
            <v>KHF_AIP_D_EXT_01272</v>
          </cell>
          <cell r="C1780">
            <v>43635</v>
          </cell>
          <cell r="D1780" t="str">
            <v>KHF-00-104265-BA-6070-42033-0000</v>
          </cell>
          <cell r="E1780" t="str">
            <v>Method Statement for Lifting &amp; Erection of Equipment Vessels Tanks Electrical Panels Below 11 Ton</v>
          </cell>
          <cell r="F1780">
            <v>1</v>
          </cell>
          <cell r="G1780" t="str">
            <v>Code A</v>
          </cell>
        </row>
        <row r="1781">
          <cell r="A1781" t="str">
            <v>KHF-00-104265-BA-6065-01706-0000-1</v>
          </cell>
          <cell r="B1781" t="str">
            <v>KHF_AIP_D_EXT_01273</v>
          </cell>
          <cell r="C1781">
            <v>43635</v>
          </cell>
          <cell r="D1781" t="str">
            <v>KHF-00-104265-BA-6065-01706-0000</v>
          </cell>
          <cell r="E1781" t="str">
            <v>WELDING PROCEDURE SPECIFICATIONS (AI-WPS-T-196)</v>
          </cell>
          <cell r="F1781">
            <v>1</v>
          </cell>
          <cell r="G1781" t="str">
            <v>Code D</v>
          </cell>
        </row>
        <row r="1782">
          <cell r="A1782" t="str">
            <v>KHF-00-104265-BA-6065-01707-0000-1</v>
          </cell>
          <cell r="B1782" t="str">
            <v>KHF_AIP_D_EXT_01273</v>
          </cell>
          <cell r="C1782">
            <v>43635</v>
          </cell>
          <cell r="D1782" t="str">
            <v>KHF-00-104265-BA-6065-01707-0000</v>
          </cell>
          <cell r="E1782" t="str">
            <v>WELDING PROCEDURE SPECIFICATIONS (AI-WPS-TM-196)</v>
          </cell>
          <cell r="F1782">
            <v>1</v>
          </cell>
          <cell r="G1782" t="str">
            <v>Code B</v>
          </cell>
        </row>
        <row r="1783">
          <cell r="A1783" t="str">
            <v>KHF-00-104265-QA-6050-01302-0000-2</v>
          </cell>
          <cell r="B1783" t="str">
            <v>KHF_AIP_D_EXT_01274</v>
          </cell>
          <cell r="C1783">
            <v>43635</v>
          </cell>
          <cell r="D1783" t="str">
            <v>KHF-00-104265-QA-6050-01302-0000</v>
          </cell>
          <cell r="E1783" t="str">
            <v>Weld Repair Procedure</v>
          </cell>
          <cell r="F1783">
            <v>2</v>
          </cell>
          <cell r="G1783" t="str">
            <v>Code B</v>
          </cell>
        </row>
        <row r="1784">
          <cell r="A1784" t="str">
            <v>KHF-00-104265-BA-6065-01702-0000-1</v>
          </cell>
          <cell r="B1784" t="str">
            <v>KHF_AIP_D_EXT_01275</v>
          </cell>
          <cell r="C1784">
            <v>43635</v>
          </cell>
          <cell r="D1784" t="str">
            <v>KHF-00-104265-BA-6065-01702-0000</v>
          </cell>
          <cell r="E1784" t="str">
            <v>WELDING PROCEDURE SPECIFICATIONS (AI-WPS-M-232)</v>
          </cell>
          <cell r="F1784">
            <v>1</v>
          </cell>
          <cell r="G1784" t="str">
            <v>Code A</v>
          </cell>
        </row>
        <row r="1785">
          <cell r="A1785" t="str">
            <v>KHF-00-104265-BA-6065-01705-0000-1</v>
          </cell>
          <cell r="B1785" t="str">
            <v>KHF_AIP_D_EXT_01275</v>
          </cell>
          <cell r="C1785">
            <v>43635</v>
          </cell>
          <cell r="D1785" t="str">
            <v>KHF-00-104265-BA-6065-01705-0000</v>
          </cell>
          <cell r="E1785" t="str">
            <v>WELDING PROCEDURE SPECIFICATIONS (AI-WPS-T-065)</v>
          </cell>
          <cell r="F1785">
            <v>1</v>
          </cell>
          <cell r="G1785" t="str">
            <v>Code B</v>
          </cell>
        </row>
        <row r="1786">
          <cell r="A1786" t="str">
            <v>KHF-00-104265-AA-3341-60172-0000-1</v>
          </cell>
          <cell r="B1786" t="str">
            <v>KHF_AIP_D_EXT_01276</v>
          </cell>
          <cell r="C1786">
            <v>43636</v>
          </cell>
          <cell r="D1786" t="str">
            <v>KHF-00-104265-AA-3341-60172-0000</v>
          </cell>
          <cell r="E1786" t="str">
            <v>CV OF MR. M. SOMASUNDARAM  - GRE INSPECTOR - HIGH PRESSURE GRE FLOWLINE</v>
          </cell>
          <cell r="F1786">
            <v>1</v>
          </cell>
          <cell r="G1786" t="str">
            <v>Code A</v>
          </cell>
        </row>
        <row r="1787">
          <cell r="A1787" t="str">
            <v>KHF-00-104265-BA-6008-10078-0000-1</v>
          </cell>
          <cell r="B1787" t="str">
            <v>KHF_AIP_D_EXT_01277</v>
          </cell>
          <cell r="C1787">
            <v>43639</v>
          </cell>
          <cell r="D1787" t="str">
            <v>KHF-00-104265-BA-6008-10078-0000</v>
          </cell>
          <cell r="E1787" t="str">
            <v>Pre-Commissioning Procedure for HVAC</v>
          </cell>
          <cell r="F1787">
            <v>1</v>
          </cell>
          <cell r="G1787" t="str">
            <v>Code B</v>
          </cell>
        </row>
        <row r="1788">
          <cell r="A1788" t="str">
            <v>KHF-00-104265-BA-6070-41018-0000-1</v>
          </cell>
          <cell r="B1788" t="str">
            <v>KHF_AIP_D_EXT_01278</v>
          </cell>
          <cell r="C1788">
            <v>43639</v>
          </cell>
          <cell r="D1788" t="str">
            <v>KHF-00-104265-BA-6070-41018-0000</v>
          </cell>
          <cell r="E1788" t="str">
            <v>Method Statement for the Repairing Procedure for Granolitic Flooring of Both Power Plant &amp; Off Plot</v>
          </cell>
          <cell r="F1788">
            <v>1</v>
          </cell>
          <cell r="G1788" t="str">
            <v>Code B</v>
          </cell>
        </row>
        <row r="1789">
          <cell r="A1789" t="str">
            <v>KHF-00-104265-BA-6070-41019-0000-1</v>
          </cell>
          <cell r="B1789" t="str">
            <v>KHF_AIP_D_EXT_01279</v>
          </cell>
          <cell r="C1789">
            <v>43639</v>
          </cell>
          <cell r="D1789" t="str">
            <v>KHF-00-104265-BA-6070-41019-0000</v>
          </cell>
          <cell r="E1789" t="str">
            <v>Method Statement for the Installation of Raised Flooring at GTG Substation Building</v>
          </cell>
          <cell r="F1789">
            <v>1</v>
          </cell>
          <cell r="G1789" t="str">
            <v>Code B</v>
          </cell>
        </row>
        <row r="1790">
          <cell r="A1790" t="str">
            <v>KHF-00-104265-BA-6070-41020-0000-1</v>
          </cell>
          <cell r="B1790" t="str">
            <v>KHF_AIP_D_EXT_01280</v>
          </cell>
          <cell r="C1790">
            <v>43639</v>
          </cell>
          <cell r="D1790" t="str">
            <v>KHF-00-104265-BA-6070-41020-0000</v>
          </cell>
          <cell r="E1790" t="str">
            <v>Method Statement for Suspended Ceilings</v>
          </cell>
          <cell r="F1790">
            <v>1</v>
          </cell>
          <cell r="G1790" t="str">
            <v>Code B</v>
          </cell>
        </row>
        <row r="1791">
          <cell r="A1791" t="str">
            <v>KHF-00-104265-BA-6070-42036-0000-1</v>
          </cell>
          <cell r="B1791" t="str">
            <v>KHF_AIP_D_EXT_01281</v>
          </cell>
          <cell r="C1791">
            <v>43639</v>
          </cell>
          <cell r="D1791" t="str">
            <v>KHF-00-104265-BA-6070-42036-0000</v>
          </cell>
          <cell r="E1791" t="str">
            <v>Method Statement for Commissioning of HVAC System</v>
          </cell>
          <cell r="F1791">
            <v>1</v>
          </cell>
          <cell r="G1791" t="str">
            <v>Code D</v>
          </cell>
        </row>
        <row r="1792">
          <cell r="A1792" t="str">
            <v>KHF-00-104265-QA-6050-00606-0000-2</v>
          </cell>
          <cell r="B1792" t="str">
            <v>KHF_AIP_D_EXT_01282</v>
          </cell>
          <cell r="C1792">
            <v>43639</v>
          </cell>
          <cell r="D1792" t="str">
            <v>KHF-00-104265-QA-6050-00606-0000</v>
          </cell>
          <cell r="E1792" t="str">
            <v>Piping Fabrication Procedure</v>
          </cell>
          <cell r="F1792">
            <v>2</v>
          </cell>
          <cell r="G1792" t="str">
            <v>Code A</v>
          </cell>
        </row>
        <row r="1793">
          <cell r="A1793" t="str">
            <v>KHF-00-104265-RA-8241-51200-0000-1</v>
          </cell>
          <cell r="B1793" t="str">
            <v>KHF_AIP_D_EXT_01283</v>
          </cell>
          <cell r="C1793">
            <v>43639</v>
          </cell>
          <cell r="D1793" t="str">
            <v>KHF-00-104265-RA-8241-51200-0000</v>
          </cell>
          <cell r="E1793" t="str">
            <v>Material Approval Sheet for Bobrick, Blanco &amp; RAK Products for Toilet &amp; Pantry</v>
          </cell>
          <cell r="F1793">
            <v>1</v>
          </cell>
          <cell r="G1793" t="str">
            <v>Code B</v>
          </cell>
        </row>
        <row r="1794">
          <cell r="A1794" t="str">
            <v>KHF-00-104265-RA-8241-51202-0000-1</v>
          </cell>
          <cell r="B1794" t="str">
            <v>KHF_AIP_D_EXT_01284</v>
          </cell>
          <cell r="C1794">
            <v>43639</v>
          </cell>
          <cell r="D1794" t="str">
            <v>KHF-00-104265-RA-8241-51202-0000</v>
          </cell>
          <cell r="E1794" t="str">
            <v>Material Approval Sheet of Carbon Steel Pipes (21 2 3 &amp; 5) for Safety Post Fire Extinguisher Post &amp; Roof Mounted Lighting Protection (Power Plant &amp; Off Plot)</v>
          </cell>
          <cell r="F1794">
            <v>1</v>
          </cell>
          <cell r="G1794" t="str">
            <v>Code B</v>
          </cell>
        </row>
        <row r="1795">
          <cell r="A1795" t="str">
            <v>KHF-00-104265-RA-8241-51204-0000-1</v>
          </cell>
          <cell r="B1795" t="str">
            <v>KHF_AIP_D_EXT_01285</v>
          </cell>
          <cell r="C1795">
            <v>43639</v>
          </cell>
          <cell r="D1795" t="str">
            <v>KHF-00-104265-RA-8241-51204-0000</v>
          </cell>
          <cell r="E1795" t="str">
            <v>Material Approval Sheet for FOSROC NITOSEAL PU40 - CS</v>
          </cell>
          <cell r="F1795">
            <v>1</v>
          </cell>
          <cell r="G1795" t="str">
            <v>Code D</v>
          </cell>
        </row>
        <row r="1796">
          <cell r="A1796" t="str">
            <v>KHF-00-104265-RA-8241-51214-0000-1</v>
          </cell>
          <cell r="B1796" t="str">
            <v>KHF_AIP_D_EXT_01286</v>
          </cell>
          <cell r="C1796">
            <v>43639</v>
          </cell>
          <cell r="D1796" t="str">
            <v>KHF-00-104265-RA-8241-51214-0000</v>
          </cell>
          <cell r="E1796" t="str">
            <v>MATERIAL APPROVAL SHEET FOR ROUND EDGE PVC CORNER PROFILE FOR EXTERNAL CORNERS AND EDGES OF TILES</v>
          </cell>
          <cell r="F1796">
            <v>1</v>
          </cell>
          <cell r="G1796" t="str">
            <v>Code C</v>
          </cell>
        </row>
        <row r="1797">
          <cell r="A1797" t="str">
            <v>KHF-00-104265-RA-8241-51215-0000-1</v>
          </cell>
          <cell r="B1797" t="str">
            <v>KHF_AIP_D_EXT_01287</v>
          </cell>
          <cell r="C1797">
            <v>43639</v>
          </cell>
          <cell r="D1797" t="str">
            <v>KHF-00-104265-RA-8241-51215-0000</v>
          </cell>
          <cell r="E1797" t="str">
            <v>Material Approval Sheet for Damp Tolerant Epoxy Floor Coating to External Corridor in 132KV GIS Substation</v>
          </cell>
          <cell r="F1797">
            <v>1</v>
          </cell>
          <cell r="G1797" t="str">
            <v>Code B</v>
          </cell>
        </row>
        <row r="1798">
          <cell r="A1798" t="str">
            <v>KHF-00-104265-RA-8241-51218-0000-1</v>
          </cell>
          <cell r="B1798" t="str">
            <v>KHF_AIP_D_EXT_01288</v>
          </cell>
          <cell r="C1798">
            <v>43639</v>
          </cell>
          <cell r="D1798" t="str">
            <v>KHF-00-104265-RA-8241-51218-0000</v>
          </cell>
          <cell r="E1798" t="str">
            <v>MATERIAL APPROVAL SHEET FOR SANITARY FITTINGS TO GTG SUBSTATION TOILETS (AUTOMATED TISSUE PAPER DISPENSER &amp; WASTE BIN)</v>
          </cell>
          <cell r="F1798">
            <v>1</v>
          </cell>
          <cell r="G1798" t="str">
            <v>Code D</v>
          </cell>
        </row>
        <row r="1799">
          <cell r="A1799" t="str">
            <v>---</v>
          </cell>
          <cell r="B1799" t="str">
            <v>KHF_AIP_D_EXT_01289</v>
          </cell>
          <cell r="C1799">
            <v>43640</v>
          </cell>
          <cell r="D1799" t="str">
            <v>-</v>
          </cell>
          <cell r="E1799" t="str">
            <v>AFC Drawings</v>
          </cell>
          <cell r="F1799" t="str">
            <v>-</v>
          </cell>
          <cell r="G1799" t="str">
            <v>26 drawings</v>
          </cell>
        </row>
        <row r="1800">
          <cell r="A1800" t="str">
            <v>KHF-00-104265-AA-3341-60168-0000-2</v>
          </cell>
          <cell r="B1800" t="str">
            <v>KHF_AIP_D_EXT_01290</v>
          </cell>
          <cell r="C1800">
            <v>43640</v>
          </cell>
          <cell r="D1800" t="str">
            <v>KHF-00-104265-AA-3341-60168-0000</v>
          </cell>
          <cell r="E1800" t="str">
            <v>CV of Mr. Naveen D Souza - QCI Electrical</v>
          </cell>
          <cell r="F1800">
            <v>2</v>
          </cell>
          <cell r="G1800" t="str">
            <v>Code A</v>
          </cell>
        </row>
        <row r="1801">
          <cell r="A1801" t="str">
            <v>KHF-00-104265-AA-6944-20020-0000-1</v>
          </cell>
          <cell r="B1801" t="str">
            <v>KHF_AIP_D_EXT_01291</v>
          </cell>
          <cell r="C1801">
            <v>43640</v>
          </cell>
          <cell r="D1801" t="str">
            <v>KHF-00-104265-AA-6944-20020-0000</v>
          </cell>
          <cell r="E1801" t="str">
            <v>MONTHLY PROGRESS REPORT NO.020 (MAY 2019)</v>
          </cell>
          <cell r="F1801">
            <v>1</v>
          </cell>
          <cell r="G1801" t="str">
            <v>Code D</v>
          </cell>
        </row>
        <row r="1802">
          <cell r="A1802" t="str">
            <v>KHF-00-104265-BA-6065-01302-0000-2</v>
          </cell>
          <cell r="B1802" t="str">
            <v>KHF_AIP_D_EXT_01292</v>
          </cell>
          <cell r="C1802">
            <v>43640</v>
          </cell>
          <cell r="D1802" t="str">
            <v>KHF-00-104265-BA-6065-01302-0000</v>
          </cell>
          <cell r="E1802" t="str">
            <v>WELDING PROCEDURE SPECIFICATION - GRADE P11 JWPS-543 &amp; JPQR-543 (Non Sour Service)</v>
          </cell>
          <cell r="F1802">
            <v>2</v>
          </cell>
          <cell r="G1802" t="str">
            <v>Code A</v>
          </cell>
        </row>
        <row r="1803">
          <cell r="A1803" t="str">
            <v>KHF-00-104265-RA-6038-01702-0000-1</v>
          </cell>
          <cell r="B1803" t="str">
            <v>KHF_AIP_D_EXT_01293</v>
          </cell>
          <cell r="C1803">
            <v>43640</v>
          </cell>
          <cell r="D1803" t="str">
            <v>KHF-00-104265-RA-6038-01702-0000</v>
          </cell>
          <cell r="E1803" t="str">
            <v>Vacuum Box Text Procedure for Corrosion Inhibitor Chemical Storage Tanks</v>
          </cell>
          <cell r="F1803">
            <v>1</v>
          </cell>
          <cell r="G1803" t="str">
            <v>Code D</v>
          </cell>
        </row>
        <row r="1804">
          <cell r="A1804" t="str">
            <v>KHF-00-104265-RA-6038-01703-0000-1</v>
          </cell>
          <cell r="B1804" t="str">
            <v>KHF_AIP_D_EXT_01293</v>
          </cell>
          <cell r="C1804">
            <v>43640</v>
          </cell>
          <cell r="D1804" t="str">
            <v>KHF-00-104265-RA-6038-01703-0000</v>
          </cell>
          <cell r="E1804" t="str">
            <v>Penetrant Oil (Diesel) Test Procedure for Corrosion Inhibitor Chemical Storage Tanks</v>
          </cell>
          <cell r="F1804">
            <v>1</v>
          </cell>
          <cell r="G1804" t="str">
            <v>Code D</v>
          </cell>
        </row>
        <row r="1805">
          <cell r="A1805" t="str">
            <v>KHF-00-104265-RA-6038-01705-0000-1</v>
          </cell>
          <cell r="B1805" t="str">
            <v>KHF_AIP_D_EXT_01294</v>
          </cell>
          <cell r="C1805">
            <v>43640</v>
          </cell>
          <cell r="D1805" t="str">
            <v>KHF-00-104265-RA-6038-01705-0000</v>
          </cell>
          <cell r="E1805" t="str">
            <v>Liquid Penetrant Examination Procedure for Corrosion Inhibitor Chemical Storage Tanks</v>
          </cell>
          <cell r="F1805">
            <v>1</v>
          </cell>
          <cell r="G1805" t="str">
            <v>Code B</v>
          </cell>
        </row>
        <row r="1806">
          <cell r="A1806" t="str">
            <v>---</v>
          </cell>
          <cell r="B1806" t="str">
            <v>KHF_AIP_D_EXT_01295</v>
          </cell>
          <cell r="C1806">
            <v>43640</v>
          </cell>
          <cell r="D1806" t="str">
            <v>-</v>
          </cell>
          <cell r="E1806" t="str">
            <v>AFC Drawings</v>
          </cell>
          <cell r="F1806" t="str">
            <v>-</v>
          </cell>
          <cell r="G1806" t="str">
            <v>51 drawings</v>
          </cell>
        </row>
        <row r="1807">
          <cell r="A1807" t="str">
            <v>---</v>
          </cell>
          <cell r="B1807" t="str">
            <v>KHF_AIP_D_EXT_01296</v>
          </cell>
          <cell r="C1807">
            <v>43641</v>
          </cell>
          <cell r="D1807" t="str">
            <v>-</v>
          </cell>
          <cell r="E1807" t="str">
            <v>AFC Drawings</v>
          </cell>
          <cell r="F1807" t="str">
            <v>-</v>
          </cell>
          <cell r="G1807" t="str">
            <v>01 drawing</v>
          </cell>
        </row>
        <row r="1808">
          <cell r="A1808" t="str">
            <v>KHF-00-104265-AA-3341-60165-0000-1</v>
          </cell>
          <cell r="B1808" t="str">
            <v>KHF_AIP_D_EXT_01297</v>
          </cell>
          <cell r="C1808">
            <v>43641</v>
          </cell>
          <cell r="D1808" t="str">
            <v>KHF-00-104265-AA-3341-60165-0000</v>
          </cell>
          <cell r="E1808" t="str">
            <v>CV OF MR. MANIAR PAVAN ASHOKKUMAR - WELDING ENGINEER</v>
          </cell>
          <cell r="F1808">
            <v>1</v>
          </cell>
          <cell r="G1808" t="str">
            <v>Code D</v>
          </cell>
        </row>
        <row r="1809">
          <cell r="A1809" t="str">
            <v>KHF-00-104265-AA-3341-60166-0000-1</v>
          </cell>
          <cell r="B1809" t="str">
            <v>KHF_AIP_D_EXT_01297</v>
          </cell>
          <cell r="C1809">
            <v>43641</v>
          </cell>
          <cell r="D1809" t="str">
            <v>KHF-00-104265-AA-3341-60166-0000</v>
          </cell>
          <cell r="E1809" t="str">
            <v>CV OF MR. SUNIL SHINGE - WELDING ENGINEER</v>
          </cell>
          <cell r="F1809">
            <v>1</v>
          </cell>
          <cell r="G1809" t="str">
            <v>Code D</v>
          </cell>
        </row>
        <row r="1810">
          <cell r="A1810" t="str">
            <v>KHF-00-104265-AA-3341-60167-0000-1</v>
          </cell>
          <cell r="B1810" t="str">
            <v>KHF_AIP_D_EXT_01297</v>
          </cell>
          <cell r="C1810">
            <v>43641</v>
          </cell>
          <cell r="D1810" t="str">
            <v>KHF-00-104265-AA-3341-60167-0000</v>
          </cell>
          <cell r="E1810" t="str">
            <v>CV OF MR. AKASH SHASHIKANT DANGE - WELDING ENGINEER</v>
          </cell>
          <cell r="F1810">
            <v>1</v>
          </cell>
          <cell r="G1810" t="str">
            <v>Code B</v>
          </cell>
        </row>
        <row r="1811">
          <cell r="A1811" t="str">
            <v>KHF-00-104265-QA-6050-01705-0000-1</v>
          </cell>
          <cell r="B1811" t="str">
            <v>KHF_AIP_D_EXT_01298</v>
          </cell>
          <cell r="C1811">
            <v>43641</v>
          </cell>
          <cell r="D1811" t="str">
            <v>KHF-00-104265-QA-6050-01705-0000</v>
          </cell>
          <cell r="E1811" t="str">
            <v>Ferrite Check Procedure for Corrosion Inhibitor Chemical Storage Tank</v>
          </cell>
          <cell r="F1811">
            <v>1</v>
          </cell>
          <cell r="G1811" t="str">
            <v>Code A</v>
          </cell>
        </row>
        <row r="1812">
          <cell r="A1812" t="str">
            <v>KHF-00-104265-RA-6038-01314-0000-1</v>
          </cell>
          <cell r="B1812" t="str">
            <v>KHF_AIP_D_EXT_01299</v>
          </cell>
          <cell r="C1812">
            <v>43641</v>
          </cell>
          <cell r="D1812" t="str">
            <v>KHF-00-104265-RA-6038-01314-0000</v>
          </cell>
          <cell r="E1812" t="str">
            <v>Ferrite Testing Procedure By M/s HI TECH</v>
          </cell>
          <cell r="F1812">
            <v>1</v>
          </cell>
          <cell r="G1812" t="str">
            <v>Code B</v>
          </cell>
        </row>
        <row r="1813">
          <cell r="A1813" t="str">
            <v>KHF-00-104265-RA-6038-01704-0000-1</v>
          </cell>
          <cell r="B1813" t="str">
            <v>KHF_AIP_D_EXT_01300</v>
          </cell>
          <cell r="C1813">
            <v>43641</v>
          </cell>
          <cell r="D1813" t="str">
            <v>KHF-00-104265-RA-6038-01704-0000</v>
          </cell>
          <cell r="E1813" t="str">
            <v>Radiographic Examination Procedure for Corrosion Chemical Inhibitor Storage Tank</v>
          </cell>
          <cell r="F1813">
            <v>1</v>
          </cell>
          <cell r="G1813" t="str">
            <v>Code D</v>
          </cell>
        </row>
        <row r="1814">
          <cell r="A1814" t="str">
            <v>KHF-00-104265-RA-8241-51220-0000-1</v>
          </cell>
          <cell r="B1814" t="str">
            <v>KHF_AIP_D_EXT_01301</v>
          </cell>
          <cell r="C1814">
            <v>43641</v>
          </cell>
          <cell r="D1814" t="str">
            <v>KHF-00-104265-RA-8241-51220-0000</v>
          </cell>
          <cell r="E1814" t="str">
            <v>Material Approval Sheet for Anchor Bracket using in Flange Pit</v>
          </cell>
          <cell r="F1814">
            <v>1</v>
          </cell>
          <cell r="G1814" t="str">
            <v>Code B</v>
          </cell>
        </row>
        <row r="1815">
          <cell r="A1815" t="str">
            <v>KHF-00-104265-BA-6065-01304-0000-2</v>
          </cell>
          <cell r="B1815" t="str">
            <v>KHF_AIP_D_EXT_01302</v>
          </cell>
          <cell r="C1815">
            <v>43641</v>
          </cell>
          <cell r="D1815" t="str">
            <v>KHF-00-104265-BA-6065-01304-0000</v>
          </cell>
          <cell r="E1815" t="str">
            <v>Non Sour Service - Welding Procedure specification for P1-P4 Dissimilar Welding JWPS - 06 &amp; JPQR - 06</v>
          </cell>
          <cell r="F1815">
            <v>2</v>
          </cell>
          <cell r="G1815" t="str">
            <v>Code D</v>
          </cell>
        </row>
        <row r="1816">
          <cell r="A1816" t="str">
            <v>KHF-00-104265-QA-6050-01702-0000-1</v>
          </cell>
          <cell r="B1816" t="str">
            <v>KHF_AIP_D_EXT_01303</v>
          </cell>
          <cell r="C1816">
            <v>43643</v>
          </cell>
          <cell r="D1816" t="str">
            <v>KHF-00-104265-QA-6050-01702-0000</v>
          </cell>
          <cell r="E1816" t="str">
            <v>Pickling and Passivation Procedure for Corrosion Inhibitor Chemical Storage Tank</v>
          </cell>
          <cell r="F1816">
            <v>1</v>
          </cell>
          <cell r="G1816" t="str">
            <v>Code A</v>
          </cell>
        </row>
        <row r="1817">
          <cell r="A1817" t="str">
            <v>KHF-00-104265-RA-8241-51206-0000-1</v>
          </cell>
          <cell r="B1817" t="str">
            <v>KHF_AIP_D_EXT_01304</v>
          </cell>
          <cell r="C1817">
            <v>43643</v>
          </cell>
          <cell r="D1817" t="str">
            <v>KHF-00-104265-RA-8241-51206-0000</v>
          </cell>
          <cell r="E1817" t="str">
            <v>Material Approval Sheet - Ladder for Accessing LV Components on HV Switchgear and Changing Light Fittings Lamps etc for Power Plant</v>
          </cell>
          <cell r="F1817">
            <v>1</v>
          </cell>
          <cell r="G1817" t="str">
            <v>Code A</v>
          </cell>
        </row>
        <row r="1818">
          <cell r="A1818" t="str">
            <v>KHF-00-104265-RA-8241-51207-0000-1</v>
          </cell>
          <cell r="B1818" t="str">
            <v>KHF_AIP_D_EXT_01304</v>
          </cell>
          <cell r="C1818">
            <v>43643</v>
          </cell>
          <cell r="D1818" t="str">
            <v>KHF-00-104265-RA-8241-51207-0000</v>
          </cell>
          <cell r="E1818" t="str">
            <v>Material Approval Sheet for Electrocuted Person Rescue Kits</v>
          </cell>
          <cell r="F1818">
            <v>1</v>
          </cell>
          <cell r="G1818" t="str">
            <v>Code A</v>
          </cell>
        </row>
        <row r="1819">
          <cell r="A1819" t="str">
            <v>KHF-00-104265-RA-8241-51209-0000-1</v>
          </cell>
          <cell r="B1819" t="str">
            <v>KHF_AIP_D_EXT_01304</v>
          </cell>
          <cell r="C1819">
            <v>43643</v>
          </cell>
          <cell r="D1819" t="str">
            <v>KHF-00-104265-RA-8241-51209-0000</v>
          </cell>
          <cell r="E1819" t="str">
            <v>Material Approval Sheet for Safety Rubber Mats</v>
          </cell>
          <cell r="F1819">
            <v>1</v>
          </cell>
          <cell r="G1819" t="str">
            <v>Code A</v>
          </cell>
        </row>
        <row r="1820">
          <cell r="A1820" t="str">
            <v>KHF-00-104265-RA-8241-51210-0000-1</v>
          </cell>
          <cell r="B1820" t="str">
            <v>KHF_AIP_D_EXT_01305</v>
          </cell>
          <cell r="C1820">
            <v>43643</v>
          </cell>
          <cell r="D1820" t="str">
            <v>KHF-00-104265-RA-8241-51210-0000</v>
          </cell>
          <cell r="E1820" t="str">
            <v>Material Approval Sheet for High Voltage Electrical Rubber Gloves</v>
          </cell>
          <cell r="F1820">
            <v>1</v>
          </cell>
          <cell r="G1820" t="str">
            <v>Code A</v>
          </cell>
        </row>
        <row r="1821">
          <cell r="A1821" t="str">
            <v>KHF-00-104265-RA-8241-51211-0000-1</v>
          </cell>
          <cell r="B1821" t="str">
            <v>KHF_AIP_D_EXT_01306</v>
          </cell>
          <cell r="C1821">
            <v>43643</v>
          </cell>
          <cell r="D1821" t="str">
            <v>KHF-00-104265-RA-8241-51211-0000</v>
          </cell>
          <cell r="E1821" t="str">
            <v>Material Approval Sheet for Drawing Hangers, Notice Board and Magnetic White Board at GIS &amp; GTG Building</v>
          </cell>
          <cell r="F1821">
            <v>1</v>
          </cell>
          <cell r="G1821" t="str">
            <v>Code A</v>
          </cell>
        </row>
        <row r="1822">
          <cell r="A1822" t="str">
            <v>---</v>
          </cell>
          <cell r="B1822" t="str">
            <v>KHF_AIP_D_EXT_01307</v>
          </cell>
          <cell r="C1822">
            <v>43646</v>
          </cell>
          <cell r="D1822" t="str">
            <v>-</v>
          </cell>
          <cell r="E1822" t="str">
            <v>AFC Drawings</v>
          </cell>
          <cell r="F1822" t="str">
            <v>-</v>
          </cell>
          <cell r="G1822" t="str">
            <v>03 drawings</v>
          </cell>
        </row>
        <row r="1823">
          <cell r="A1823" t="str">
            <v>KHF-00-104265-QA-6050-01706-0000-1</v>
          </cell>
          <cell r="B1823" t="str">
            <v>KHF_AIP_D_EXT_01308</v>
          </cell>
          <cell r="C1823">
            <v>43646</v>
          </cell>
          <cell r="D1823" t="str">
            <v>KHF-00-104265-QA-6050-01706-0000</v>
          </cell>
          <cell r="E1823" t="str">
            <v>Positive Material Identification Procedure for Corrosion Inhibitor Chemical Storage Tank</v>
          </cell>
          <cell r="F1823">
            <v>1</v>
          </cell>
          <cell r="G1823" t="str">
            <v>Code B</v>
          </cell>
        </row>
        <row r="1824">
          <cell r="A1824" t="str">
            <v>KHF-00-104265-RA-8241-51201-0000-2</v>
          </cell>
          <cell r="B1824" t="str">
            <v>KHF_AIP_D_EXT_01309</v>
          </cell>
          <cell r="C1824">
            <v>43646</v>
          </cell>
          <cell r="D1824" t="str">
            <v>KHF-00-104265-RA-8241-51201-0000</v>
          </cell>
          <cell r="E1824" t="str">
            <v>Material Approval Sheet for Electrical Safety Sign Boards</v>
          </cell>
          <cell r="F1824">
            <v>2</v>
          </cell>
          <cell r="G1824" t="str">
            <v>Code A</v>
          </cell>
        </row>
        <row r="1825">
          <cell r="A1825" t="str">
            <v>KHF-00-104265-RA-8241-51212-0000-1</v>
          </cell>
          <cell r="B1825" t="str">
            <v>KHF_AIP_D_EXT_01310</v>
          </cell>
          <cell r="C1825">
            <v>43646</v>
          </cell>
          <cell r="D1825" t="str">
            <v>KHF-00-104265-RA-8241-51212-0000</v>
          </cell>
          <cell r="E1825" t="str">
            <v>Material Approval Sheet for LV Portable Earthing Leads</v>
          </cell>
          <cell r="F1825">
            <v>1</v>
          </cell>
          <cell r="G1825" t="str">
            <v>Code A</v>
          </cell>
        </row>
        <row r="1826">
          <cell r="A1826" t="str">
            <v>KHF-00-104265-RA-8241-51213-0000-1</v>
          </cell>
          <cell r="B1826" t="str">
            <v>KHF_AIP_D_EXT_01310</v>
          </cell>
          <cell r="C1826">
            <v>43646</v>
          </cell>
          <cell r="D1826" t="str">
            <v>KHF-00-104265-RA-8241-51213-0000</v>
          </cell>
          <cell r="E1826" t="str">
            <v>Material Approval Sheet for High Voltage Test Equipment</v>
          </cell>
          <cell r="F1826">
            <v>1</v>
          </cell>
          <cell r="G1826" t="str">
            <v>Code A</v>
          </cell>
        </row>
        <row r="1827">
          <cell r="A1827" t="str">
            <v>---</v>
          </cell>
          <cell r="B1827" t="str">
            <v>KHF_AIP_D_EXT_01311</v>
          </cell>
          <cell r="C1827">
            <v>43647</v>
          </cell>
          <cell r="D1827" t="str">
            <v>-</v>
          </cell>
          <cell r="E1827" t="str">
            <v>AFC Drawing</v>
          </cell>
          <cell r="F1827" t="str">
            <v>-</v>
          </cell>
          <cell r="G1827" t="str">
            <v>01 drawing</v>
          </cell>
        </row>
        <row r="1828">
          <cell r="A1828" t="str">
            <v>KHF-00-104265-BA-6070-42037-0000-1</v>
          </cell>
          <cell r="B1828" t="str">
            <v>KHF_AIP_D_EXT_01312</v>
          </cell>
          <cell r="C1828">
            <v>43647</v>
          </cell>
          <cell r="D1828" t="str">
            <v>KHF-00-104265-BA-6070-42037-0000</v>
          </cell>
          <cell r="E1828" t="str">
            <v>Method Statement for Piping Air Blowing</v>
          </cell>
          <cell r="F1828">
            <v>1</v>
          </cell>
          <cell r="G1828" t="str">
            <v>Code A</v>
          </cell>
        </row>
        <row r="1829">
          <cell r="A1829" t="str">
            <v>KHF-00-104265-RA-8241-51221-0000-1</v>
          </cell>
          <cell r="B1829" t="str">
            <v>KHF_AIP_D_EXT_01313</v>
          </cell>
          <cell r="C1829">
            <v>43648</v>
          </cell>
          <cell r="D1829" t="str">
            <v>KHF-00-104265-RA-8241-51221-0000</v>
          </cell>
          <cell r="E1829" t="str">
            <v>Material Approval Sheet for Austren Garnet - Mesh Size (30-60)</v>
          </cell>
          <cell r="F1829">
            <v>1</v>
          </cell>
          <cell r="G1829" t="str">
            <v>Code A</v>
          </cell>
        </row>
        <row r="1830">
          <cell r="A1830" t="str">
            <v>KHF-00-104265-BA-6065-01304-0000-3</v>
          </cell>
          <cell r="B1830" t="str">
            <v>KHF_AIP_D_EXT_01314</v>
          </cell>
          <cell r="C1830">
            <v>43649</v>
          </cell>
          <cell r="D1830" t="str">
            <v>KHF-00-104265-BA-6065-01304-0000</v>
          </cell>
          <cell r="E1830" t="str">
            <v>Non Sour Service-Welding Procedure specification for P1-P4 Dissimilar Welding JWPS - 06 &amp; JPQR - 543</v>
          </cell>
          <cell r="F1830">
            <v>3</v>
          </cell>
          <cell r="G1830" t="str">
            <v>Code A</v>
          </cell>
        </row>
        <row r="1831">
          <cell r="A1831" t="str">
            <v>KHF-00-104265-BA-6065-01316-0000-2</v>
          </cell>
          <cell r="B1831" t="str">
            <v>KHF_AIP_D_EXT_01315</v>
          </cell>
          <cell r="C1831">
            <v>43649</v>
          </cell>
          <cell r="D1831" t="str">
            <v>KHF-00-104265-BA-6065-01316-0000</v>
          </cell>
          <cell r="E1831" t="str">
            <v>Welding Procedure Specification - Structural Welding JWPS-410S &amp; JEL-PQR-SBRP1-SS409-01 (Non-Sour Service)</v>
          </cell>
          <cell r="F1831">
            <v>2</v>
          </cell>
          <cell r="G1831" t="str">
            <v>Code A</v>
          </cell>
        </row>
        <row r="1832">
          <cell r="A1832" t="str">
            <v>KHF-00-104265-RA-6038-00609-0000-3</v>
          </cell>
          <cell r="B1832" t="str">
            <v>KHF_AIP_D_EXT_01316</v>
          </cell>
          <cell r="C1832">
            <v>43650</v>
          </cell>
          <cell r="D1832" t="str">
            <v>KHF-00-104265-RA-6038-00609-0000</v>
          </cell>
          <cell r="E1832" t="str">
            <v>Visual Examination Procedure for CS / LTCS Piping Spools</v>
          </cell>
          <cell r="F1832">
            <v>3</v>
          </cell>
          <cell r="G1832" t="str">
            <v>Code D</v>
          </cell>
        </row>
        <row r="1833">
          <cell r="A1833" t="str">
            <v>KHF-00-104265-RA-6038-00917-0000-2</v>
          </cell>
          <cell r="B1833" t="str">
            <v>KHF_AIP_D_EXT_01317</v>
          </cell>
          <cell r="C1833">
            <v>43650</v>
          </cell>
          <cell r="D1833" t="str">
            <v>KHF-00-104265-RA-6038-00917-0000</v>
          </cell>
          <cell r="E1833" t="str">
            <v>Procedure for Digitization of Radiographs</v>
          </cell>
          <cell r="F1833">
            <v>2</v>
          </cell>
          <cell r="G1833" t="str">
            <v>Code A</v>
          </cell>
        </row>
        <row r="1834">
          <cell r="A1834" t="str">
            <v>KHF-00-104265-RA-6038-01312-0000-2</v>
          </cell>
          <cell r="B1834" t="str">
            <v>KHF_AIP_D_EXT_01318</v>
          </cell>
          <cell r="C1834">
            <v>43650</v>
          </cell>
          <cell r="D1834" t="str">
            <v>KHF-00-104265-RA-6038-01312-0000</v>
          </cell>
          <cell r="E1834" t="str">
            <v>Visual Testing Procedure By M/s Hitech</v>
          </cell>
          <cell r="F1834">
            <v>2</v>
          </cell>
          <cell r="G1834" t="str">
            <v>Code B</v>
          </cell>
        </row>
        <row r="1835">
          <cell r="A1835" t="str">
            <v>KHF-00-104265-RA-6038-01314-0000-2</v>
          </cell>
          <cell r="B1835" t="str">
            <v>KHF_AIP_D_EXT_01319</v>
          </cell>
          <cell r="C1835">
            <v>43650</v>
          </cell>
          <cell r="D1835" t="str">
            <v>KHF-00-104265-RA-6038-01314-0000</v>
          </cell>
          <cell r="E1835" t="str">
            <v>Ferrite Testing Procedure</v>
          </cell>
          <cell r="F1835">
            <v>2</v>
          </cell>
          <cell r="G1835" t="str">
            <v>Code B</v>
          </cell>
        </row>
        <row r="1836">
          <cell r="A1836" t="str">
            <v>KHF-00-104265-BA-6070-01305-0000-1</v>
          </cell>
          <cell r="B1836" t="str">
            <v>KHF_AIP_D_EXT_01320</v>
          </cell>
          <cell r="C1836">
            <v>43653</v>
          </cell>
          <cell r="D1836" t="str">
            <v>KHF-00-104265-BA-6070-01305-0000</v>
          </cell>
          <cell r="E1836" t="str">
            <v>Method Statement for HRSG Hydrostatic Pressure Test</v>
          </cell>
          <cell r="F1836">
            <v>1</v>
          </cell>
          <cell r="G1836" t="str">
            <v>Code A</v>
          </cell>
        </row>
        <row r="1837">
          <cell r="A1837" t="str">
            <v>---</v>
          </cell>
          <cell r="B1837" t="str">
            <v>KHF_AIP_D_EXT_01321</v>
          </cell>
          <cell r="C1837">
            <v>43653</v>
          </cell>
          <cell r="D1837" t="str">
            <v>-</v>
          </cell>
          <cell r="E1837" t="str">
            <v>AFC Drawings</v>
          </cell>
          <cell r="F1837" t="str">
            <v>-</v>
          </cell>
          <cell r="G1837" t="str">
            <v>02 drawings</v>
          </cell>
        </row>
        <row r="1838">
          <cell r="A1838" t="str">
            <v>KHF-00-104265-BA-6070-43016-0000-1</v>
          </cell>
          <cell r="B1838" t="str">
            <v>KHF_AIP_D_EXT_01322</v>
          </cell>
          <cell r="C1838">
            <v>43656</v>
          </cell>
          <cell r="D1838" t="str">
            <v>KHF-00-104265-BA-6070-43016-0000</v>
          </cell>
          <cell r="E1838" t="str">
            <v>Method Statement for Electrical (HV/LV) Testing &amp; Commissioning</v>
          </cell>
          <cell r="F1838">
            <v>1</v>
          </cell>
          <cell r="G1838" t="str">
            <v>Code B</v>
          </cell>
        </row>
        <row r="1839">
          <cell r="A1839" t="str">
            <v>KHF-00-104265-QA-6050-01302-0000-3</v>
          </cell>
          <cell r="B1839" t="str">
            <v>KHF_AIP_D_EXT_01323</v>
          </cell>
          <cell r="C1839">
            <v>43656</v>
          </cell>
          <cell r="D1839" t="str">
            <v>KHF-00-104265-QA-6050-01302-0000</v>
          </cell>
          <cell r="E1839" t="str">
            <v>Weld Repair Procedure</v>
          </cell>
          <cell r="F1839">
            <v>3</v>
          </cell>
          <cell r="G1839" t="str">
            <v>Code A</v>
          </cell>
        </row>
        <row r="1840">
          <cell r="A1840" t="str">
            <v>KHF-00-104265-RA-8241-51216-0000-1</v>
          </cell>
          <cell r="B1840" t="str">
            <v>KHF_AIP_D_EXT_01324</v>
          </cell>
          <cell r="C1840">
            <v>43656</v>
          </cell>
          <cell r="D1840" t="str">
            <v>KHF-00-104265-RA-8241-51216-0000</v>
          </cell>
          <cell r="E1840" t="str">
            <v>Material Approval Sheet for Portable Hand-Held Torch Light with Battery Backup</v>
          </cell>
          <cell r="F1840">
            <v>1</v>
          </cell>
          <cell r="G1840" t="str">
            <v>Code A</v>
          </cell>
        </row>
        <row r="1841">
          <cell r="A1841" t="str">
            <v>KHF-00-104265-RA-8241-51223-0000-1</v>
          </cell>
          <cell r="B1841" t="str">
            <v>KHF_AIP_D_EXT_01325</v>
          </cell>
          <cell r="C1841">
            <v>43656</v>
          </cell>
          <cell r="D1841" t="str">
            <v>KHF-00-104265-RA-8241-51223-0000</v>
          </cell>
          <cell r="E1841" t="str">
            <v>Material Approval Sheet for Portable Adjustable Aluminium Ladder 7mtr</v>
          </cell>
          <cell r="F1841">
            <v>1</v>
          </cell>
          <cell r="G1841" t="str">
            <v>Code A</v>
          </cell>
        </row>
        <row r="1842">
          <cell r="A1842" t="str">
            <v>---</v>
          </cell>
          <cell r="B1842" t="str">
            <v>KHF_AIP_D_EXT_01326</v>
          </cell>
          <cell r="C1842">
            <v>43661</v>
          </cell>
          <cell r="D1842" t="str">
            <v>-</v>
          </cell>
          <cell r="E1842" t="str">
            <v>AFC Drawings</v>
          </cell>
          <cell r="F1842" t="str">
            <v>-</v>
          </cell>
          <cell r="G1842" t="str">
            <v>03 drawings</v>
          </cell>
        </row>
        <row r="1843">
          <cell r="A1843" t="str">
            <v>KHF-00-104265-RA-8241-51217-0000-1</v>
          </cell>
          <cell r="B1843" t="str">
            <v>KHF_AIP_D_EXT_01327</v>
          </cell>
          <cell r="C1843">
            <v>43661</v>
          </cell>
          <cell r="D1843" t="str">
            <v>KHF-00-104265-RA-8241-51217-0000</v>
          </cell>
          <cell r="E1843" t="str">
            <v>MATERIAL APPROVAL SHEET FOR WALL MOUNTING TYPE KEY SAFE BOX</v>
          </cell>
          <cell r="F1843">
            <v>1</v>
          </cell>
          <cell r="G1843" t="str">
            <v>Code D</v>
          </cell>
        </row>
        <row r="1844">
          <cell r="A1844" t="str">
            <v>KHF-00-104265-BA-6070-44007-0000-2</v>
          </cell>
          <cell r="B1844" t="str">
            <v>KHF_AIP_D_EXT_01328</v>
          </cell>
          <cell r="C1844">
            <v>43661</v>
          </cell>
          <cell r="D1844" t="str">
            <v>KHF-00-104265-BA-6070-44007-0000</v>
          </cell>
          <cell r="E1844" t="str">
            <v>Method Statement for Loop Checking and Function Checking Instruments</v>
          </cell>
          <cell r="F1844">
            <v>2</v>
          </cell>
          <cell r="G1844" t="str">
            <v>Code C</v>
          </cell>
        </row>
        <row r="1845">
          <cell r="A1845" t="str">
            <v>KHF-00-104265-QA-5733-01709-0000-1</v>
          </cell>
          <cell r="B1845" t="str">
            <v>KHF_AIP_D_EXT_01329</v>
          </cell>
          <cell r="C1845">
            <v>43661</v>
          </cell>
          <cell r="D1845" t="str">
            <v>KHF-00-104265-QA-5733-01709-0000</v>
          </cell>
          <cell r="E1845" t="str">
            <v>Inspection Test Plan for External Surface Preparation and Painting for Corrosion Inhibitor Chemical Storage Tanks</v>
          </cell>
          <cell r="F1845">
            <v>1</v>
          </cell>
          <cell r="G1845" t="str">
            <v>Code B</v>
          </cell>
        </row>
        <row r="1846">
          <cell r="A1846" t="str">
            <v>KHF-00-104265-RA-8241-51224-0000-1</v>
          </cell>
          <cell r="B1846" t="str">
            <v>KHF_AIP_D_EXT_01330</v>
          </cell>
          <cell r="C1846">
            <v>43661</v>
          </cell>
          <cell r="D1846" t="str">
            <v>KHF-00-104265-RA-8241-51224-0000</v>
          </cell>
          <cell r="E1846" t="str">
            <v>Material Approval Sheet for Sensor Operated Tissue Dispenser &amp; Waste Bin</v>
          </cell>
          <cell r="F1846">
            <v>1</v>
          </cell>
          <cell r="G1846" t="str">
            <v>Code B</v>
          </cell>
        </row>
        <row r="1847">
          <cell r="A1847" t="str">
            <v>KHF-00-104265-QA-5733-01701-0000-2</v>
          </cell>
          <cell r="B1847" t="str">
            <v>KHF_AIP_D_EXT_01331</v>
          </cell>
          <cell r="C1847">
            <v>43661</v>
          </cell>
          <cell r="D1847" t="str">
            <v>KHF-00-104265-QA-5733-01701-0000</v>
          </cell>
          <cell r="E1847" t="str">
            <v>Inspection Test Plan for Fabrication of Corrosion Inhibitor Chemical Storage Tanks</v>
          </cell>
          <cell r="F1847">
            <v>2</v>
          </cell>
          <cell r="G1847" t="str">
            <v>Code A</v>
          </cell>
        </row>
        <row r="1848">
          <cell r="A1848" t="str">
            <v>KHF-00-104265-QA-5733-01602-0000-1</v>
          </cell>
          <cell r="B1848" t="str">
            <v>KHF_AIP_D_EXT_01332</v>
          </cell>
          <cell r="C1848">
            <v>43661</v>
          </cell>
          <cell r="D1848" t="str">
            <v>KHF-00-104265-QA-5733-01602-0000</v>
          </cell>
          <cell r="E1848" t="str">
            <v>Inspection and Test Plan for Surface Preparation and External Painting of Small Bore Pipes (PCS-1, PCS-3, PCS-5 &amp; PCS-6)</v>
          </cell>
          <cell r="F1848">
            <v>1</v>
          </cell>
          <cell r="G1848" t="str">
            <v>Code B</v>
          </cell>
        </row>
        <row r="1849">
          <cell r="A1849" t="str">
            <v>KHF-00-104265-RA-6038-01315-0000-1</v>
          </cell>
          <cell r="B1849" t="str">
            <v>KHF_AIP_D_EXT_01333</v>
          </cell>
          <cell r="C1849">
            <v>43662</v>
          </cell>
          <cell r="D1849" t="str">
            <v>KHF-00-104265-RA-6038-01315-0000</v>
          </cell>
          <cell r="E1849" t="str">
            <v>Procedure for Radiography Film Digitization by JEL (Hitech)</v>
          </cell>
          <cell r="F1849">
            <v>1</v>
          </cell>
          <cell r="G1849" t="str">
            <v>Code B</v>
          </cell>
        </row>
        <row r="1850">
          <cell r="A1850" t="str">
            <v>KHF-00-104265-RA-6038-01704-0000-2</v>
          </cell>
          <cell r="B1850" t="str">
            <v>KHF_AIP_D_EXT_01334</v>
          </cell>
          <cell r="C1850">
            <v>43662</v>
          </cell>
          <cell r="D1850" t="str">
            <v>KHF-00-104265-RA-6038-01704-0000</v>
          </cell>
          <cell r="E1850" t="str">
            <v>Corrosion Inhibitor Chemical Storage Tanks</v>
          </cell>
          <cell r="F1850">
            <v>2</v>
          </cell>
          <cell r="G1850" t="str">
            <v>Code A</v>
          </cell>
        </row>
        <row r="1851">
          <cell r="A1851" t="str">
            <v>KHF-00-104265-RA-6038-01705-0000-2</v>
          </cell>
          <cell r="B1851" t="str">
            <v>KHF_AIP_D_EXT_01334</v>
          </cell>
          <cell r="C1851">
            <v>43662</v>
          </cell>
          <cell r="D1851" t="str">
            <v>KHF-00-104265-RA-6038-01705-0000</v>
          </cell>
          <cell r="E1851" t="str">
            <v>Liquid Penetrant Examination for Corrosion Inhibitor Chemical Storage Tanks</v>
          </cell>
          <cell r="F1851">
            <v>2</v>
          </cell>
          <cell r="G1851" t="str">
            <v>Code B</v>
          </cell>
        </row>
        <row r="1852">
          <cell r="A1852" t="str">
            <v>KHF-00-104265-RA-6038-10076-0000-2</v>
          </cell>
          <cell r="B1852" t="str">
            <v>KHF_AIP_D_EXT_01335</v>
          </cell>
          <cell r="C1852">
            <v>43662</v>
          </cell>
          <cell r="D1852" t="str">
            <v>KHF-00-104265-RA-6038-10076-0000</v>
          </cell>
          <cell r="E1852" t="str">
            <v>Procedure for Visual Inspection of Piping Using Boroscope by M/s GTIS</v>
          </cell>
          <cell r="F1852">
            <v>2</v>
          </cell>
          <cell r="G1852" t="str">
            <v>Code B</v>
          </cell>
        </row>
        <row r="1853">
          <cell r="A1853" t="str">
            <v>KHF-00-104265-AA-3341-60134-0000-2</v>
          </cell>
          <cell r="B1853" t="str">
            <v>KHF_AIP_D_EXT_01336</v>
          </cell>
          <cell r="C1853">
            <v>43663</v>
          </cell>
          <cell r="D1853" t="str">
            <v>KHF-00-104265-AA-3341-60134-0000</v>
          </cell>
          <cell r="E1853" t="str">
            <v>CV of Mr. D. Thamizharasan - Lead QA/QC Engineer</v>
          </cell>
          <cell r="F1853">
            <v>2</v>
          </cell>
          <cell r="G1853" t="str">
            <v>Code A</v>
          </cell>
        </row>
        <row r="1854">
          <cell r="A1854" t="str">
            <v>KHF-00-104265-AA-3341-60174-0000-1</v>
          </cell>
          <cell r="B1854" t="str">
            <v>KHF_AIP_D_EXT_01337</v>
          </cell>
          <cell r="C1854">
            <v>43664</v>
          </cell>
          <cell r="D1854" t="str">
            <v>KHF-00-104265-AA-3341-60174-0000</v>
          </cell>
          <cell r="E1854" t="str">
            <v>CV OF MR.PARESH KUMAR PATEL - HYDRO TEST ENGINEER - PIPING</v>
          </cell>
          <cell r="F1854">
            <v>1</v>
          </cell>
          <cell r="G1854" t="str">
            <v>Code B</v>
          </cell>
        </row>
        <row r="1855">
          <cell r="A1855" t="str">
            <v>KHF-00-104265-BA-6070-01602-0000-1</v>
          </cell>
          <cell r="B1855" t="str">
            <v>KHF_AIP_D_EXT_01338</v>
          </cell>
          <cell r="C1855">
            <v>43664</v>
          </cell>
          <cell r="D1855" t="str">
            <v>KHF-00-104265-BA-6070-01602-0000</v>
          </cell>
          <cell r="E1855" t="str">
            <v>Method Statement for Surface Preparation and External Painting of Small Bore Pipes (PCS-1, PCS-3, PCS-5 &amp; PCS-6)</v>
          </cell>
          <cell r="F1855">
            <v>1</v>
          </cell>
          <cell r="G1855" t="str">
            <v>Code B</v>
          </cell>
        </row>
        <row r="1856">
          <cell r="A1856" t="str">
            <v>KHF-00-104265-BA-6070-42038-0000-1</v>
          </cell>
          <cell r="B1856" t="str">
            <v>KHF_AIP_D_EXT_01339</v>
          </cell>
          <cell r="C1856">
            <v>43664</v>
          </cell>
          <cell r="D1856" t="str">
            <v>KHF-00-104265-BA-6070-42038-0000</v>
          </cell>
          <cell r="E1856" t="str">
            <v>Method Statement for Piping Color Coding</v>
          </cell>
          <cell r="F1856">
            <v>1</v>
          </cell>
          <cell r="G1856" t="str">
            <v>Code B</v>
          </cell>
        </row>
        <row r="1857">
          <cell r="A1857" t="str">
            <v>KHF-00-104265-RA-6038-01708-0000-1</v>
          </cell>
          <cell r="B1857" t="str">
            <v>KHF_AIP_D_EXT_01340</v>
          </cell>
          <cell r="C1857">
            <v>43664</v>
          </cell>
          <cell r="D1857" t="str">
            <v>KHF-00-104265-RA-6038-01708-0000</v>
          </cell>
          <cell r="E1857" t="str">
            <v>External Surface Preparation and Painting Procedure for Corrosion Inhibitor Chemical Storage Tanks</v>
          </cell>
          <cell r="F1857">
            <v>1</v>
          </cell>
          <cell r="G1857" t="str">
            <v>Code B</v>
          </cell>
        </row>
        <row r="1858">
          <cell r="A1858" t="str">
            <v>KHF-00-104265-RA-8241-51222-0000-1</v>
          </cell>
          <cell r="B1858" t="str">
            <v>KHF_AIP_D_EXT_01341</v>
          </cell>
          <cell r="C1858">
            <v>43664</v>
          </cell>
          <cell r="D1858" t="str">
            <v>KHF-00-104265-RA-8241-51222-0000</v>
          </cell>
          <cell r="E1858" t="str">
            <v>Material Approval Sheet for Wall Tiles for Pantry Room of GTG Building</v>
          </cell>
          <cell r="F1858">
            <v>1</v>
          </cell>
          <cell r="G1858" t="str">
            <v>Code D</v>
          </cell>
        </row>
        <row r="1859">
          <cell r="A1859" t="str">
            <v>KHF-00-104265-LA-5009-00122-0000-2</v>
          </cell>
          <cell r="B1859" t="str">
            <v>KHF_AIP_D_EXT_01342</v>
          </cell>
          <cell r="C1859">
            <v>43667</v>
          </cell>
          <cell r="D1859" t="str">
            <v>KHF-00-104265-LA-5009-00122-0000</v>
          </cell>
          <cell r="E1859" t="str">
            <v>Material Approval Sheet (MAS) (Type - B) Material for ROW Access Road</v>
          </cell>
          <cell r="F1859">
            <v>2</v>
          </cell>
          <cell r="G1859" t="str">
            <v>Code C</v>
          </cell>
        </row>
        <row r="1860">
          <cell r="A1860" t="str">
            <v>KHF-00-104265-BA-6070-41021-0000-1</v>
          </cell>
          <cell r="B1860" t="str">
            <v>KHF_AIP_D_EXT_01343</v>
          </cell>
          <cell r="C1860">
            <v>43667</v>
          </cell>
          <cell r="D1860" t="str">
            <v>KHF-00-104265-BA-6070-41021-0000</v>
          </cell>
          <cell r="E1860" t="str">
            <v>Method Statement for Screed for Drain Vessel PIT / Flange PIT</v>
          </cell>
          <cell r="F1860">
            <v>1</v>
          </cell>
          <cell r="G1860" t="str">
            <v>Code B</v>
          </cell>
        </row>
        <row r="1861">
          <cell r="A1861" t="str">
            <v>KHF-00-104265-AA-3341-60175-0000-1</v>
          </cell>
          <cell r="B1861" t="str">
            <v>KHF_AIP_D_EXT_01344</v>
          </cell>
          <cell r="C1861">
            <v>43668</v>
          </cell>
          <cell r="D1861" t="str">
            <v>KHF-00-104265-AA-3341-60175-0000</v>
          </cell>
          <cell r="E1861" t="str">
            <v>CV OF MR. K. NAGANATHAN - WELDING INSPECTOR - PIPING</v>
          </cell>
          <cell r="F1861">
            <v>1</v>
          </cell>
          <cell r="G1861" t="str">
            <v>Code B</v>
          </cell>
        </row>
        <row r="1862">
          <cell r="A1862" t="str">
            <v>KHF-00-104265-AA-3341-60176-0000-1</v>
          </cell>
          <cell r="B1862" t="str">
            <v>KHF_AIP_D_EXT_01345</v>
          </cell>
          <cell r="C1862">
            <v>43668</v>
          </cell>
          <cell r="D1862" t="str">
            <v>KHF-00-104265-AA-3341-60176-0000</v>
          </cell>
          <cell r="E1862" t="str">
            <v>CV OF MR. ABDULLAH ALHINAI - QC INSPECTOR CIVIL</v>
          </cell>
          <cell r="F1862">
            <v>1</v>
          </cell>
          <cell r="G1862" t="str">
            <v>Code B</v>
          </cell>
        </row>
        <row r="1863">
          <cell r="A1863" t="str">
            <v>KHF-00-104265-RA-8241-51227-0000-1</v>
          </cell>
          <cell r="B1863" t="str">
            <v>KHF_AIP_D_EXT_01346</v>
          </cell>
          <cell r="C1863">
            <v>43668</v>
          </cell>
          <cell r="D1863" t="str">
            <v>KHF-00-104265-RA-8241-51227-0000</v>
          </cell>
          <cell r="E1863" t="str">
            <v>Material Approval Sheet for Corian Pantry Storage Cabinet &amp; Wash Basin Counters</v>
          </cell>
          <cell r="F1863">
            <v>1</v>
          </cell>
          <cell r="G1863" t="str">
            <v>Code A</v>
          </cell>
        </row>
        <row r="1864">
          <cell r="A1864" t="str">
            <v>---</v>
          </cell>
          <cell r="B1864" t="str">
            <v>KHF_AIP_D_EXT_01347</v>
          </cell>
          <cell r="C1864">
            <v>43670</v>
          </cell>
          <cell r="D1864" t="str">
            <v>-</v>
          </cell>
          <cell r="E1864" t="str">
            <v>AFC Drawings</v>
          </cell>
          <cell r="F1864" t="str">
            <v>-</v>
          </cell>
          <cell r="G1864" t="str">
            <v>07 drawings</v>
          </cell>
        </row>
        <row r="1865">
          <cell r="A1865" t="str">
            <v>---</v>
          </cell>
          <cell r="B1865" t="str">
            <v>KHF_AIP_D_EXT_01348</v>
          </cell>
          <cell r="C1865">
            <v>43670</v>
          </cell>
          <cell r="D1865" t="str">
            <v>-</v>
          </cell>
          <cell r="E1865" t="str">
            <v>AFC Drawings</v>
          </cell>
          <cell r="F1865" t="str">
            <v>-</v>
          </cell>
          <cell r="G1865" t="str">
            <v>01 drawing</v>
          </cell>
        </row>
        <row r="1866">
          <cell r="A1866" t="str">
            <v>KHF-00-104265-QA-6050-01707-0000-1</v>
          </cell>
          <cell r="B1866" t="str">
            <v>KHF_AIP_D_EXT_01349</v>
          </cell>
          <cell r="C1866">
            <v>43670</v>
          </cell>
          <cell r="D1866" t="str">
            <v>KHF-00-104265-QA-6050-01707-0000</v>
          </cell>
          <cell r="E1866" t="str">
            <v>Tank Fill Test &amp; Roof Pneumatic Test Procedure</v>
          </cell>
          <cell r="F1866">
            <v>1</v>
          </cell>
          <cell r="G1866" t="str">
            <v>Code B</v>
          </cell>
        </row>
        <row r="1867">
          <cell r="A1867" t="str">
            <v>KHF-00-104265-RA-6038-00906-0000-3</v>
          </cell>
          <cell r="B1867" t="str">
            <v>KHF_AIP_D_EXT_01350</v>
          </cell>
          <cell r="C1867">
            <v>43670</v>
          </cell>
          <cell r="D1867" t="str">
            <v>KHF-00-104265-RA-6038-00906-0000</v>
          </cell>
          <cell r="E1867" t="str">
            <v>Procedure for Post Weld Heat Treatment</v>
          </cell>
          <cell r="F1867">
            <v>3</v>
          </cell>
          <cell r="G1867" t="str">
            <v>Code B</v>
          </cell>
        </row>
        <row r="1868">
          <cell r="A1868" t="str">
            <v>KHF-00-104265-QA-6050-01704-0000-1</v>
          </cell>
          <cell r="B1868" t="str">
            <v>KHF_AIP_D_EXT_01351</v>
          </cell>
          <cell r="C1868">
            <v>43671</v>
          </cell>
          <cell r="D1868" t="str">
            <v>KHF-00-104265-QA-6050-01704-0000</v>
          </cell>
          <cell r="E1868" t="str">
            <v>RF Pad Leak Test Procedure for Corrosion Inhibitor Chemical Storage Tank</v>
          </cell>
          <cell r="F1868">
            <v>1</v>
          </cell>
          <cell r="G1868" t="str">
            <v>Code A</v>
          </cell>
        </row>
        <row r="1869">
          <cell r="A1869" t="str">
            <v>KHF-00-104265-RA-6038-01305-0000-3</v>
          </cell>
          <cell r="B1869" t="str">
            <v>KHF_AIP_D_EXT_01352</v>
          </cell>
          <cell r="C1869">
            <v>43671</v>
          </cell>
          <cell r="D1869" t="str">
            <v>KHF-00-104265-RA-6038-01305-0000</v>
          </cell>
          <cell r="E1869" t="str">
            <v>Procedure for Hardness Testing</v>
          </cell>
          <cell r="F1869">
            <v>3</v>
          </cell>
          <cell r="G1869" t="str">
            <v>Code B</v>
          </cell>
        </row>
        <row r="1870">
          <cell r="A1870" t="str">
            <v>KHF-00-104265-RA-6038-01313-0000-1</v>
          </cell>
          <cell r="B1870" t="str">
            <v>KHF_AIP_D_EXT_01353</v>
          </cell>
          <cell r="C1870">
            <v>43671</v>
          </cell>
          <cell r="D1870" t="str">
            <v>KHF-00-104265-RA-6038-01313-0000</v>
          </cell>
          <cell r="E1870" t="str">
            <v>Positive Material Identification Procedure By M/s HI TECH</v>
          </cell>
          <cell r="F1870">
            <v>1</v>
          </cell>
          <cell r="G1870" t="str">
            <v>Code B</v>
          </cell>
        </row>
        <row r="1871">
          <cell r="A1871" t="str">
            <v>KHF-00-104265-QA-5733-22015-0000-1</v>
          </cell>
          <cell r="B1871" t="str">
            <v>KHF_AIP_D_EXT_01354</v>
          </cell>
          <cell r="C1871">
            <v>43674</v>
          </cell>
          <cell r="D1871" t="str">
            <v>KHF-00-104265-QA-5733-22015-0000</v>
          </cell>
          <cell r="E1871" t="str">
            <v>Inspection and Test Plan for HDPE Pipe Butt Fusion Jointing</v>
          </cell>
          <cell r="F1871">
            <v>1</v>
          </cell>
          <cell r="G1871" t="str">
            <v>Code B</v>
          </cell>
        </row>
        <row r="1872">
          <cell r="A1872" t="str">
            <v>KHF-00-104265-QA-5733-23009-0000-2</v>
          </cell>
          <cell r="B1872" t="str">
            <v>KHF_AIP_D_EXT_01355</v>
          </cell>
          <cell r="C1872">
            <v>43674</v>
          </cell>
          <cell r="D1872" t="str">
            <v>KHF-00-104265-QA-5733-23009-0000</v>
          </cell>
          <cell r="E1872" t="str">
            <v>Inspection and Test Plan for 33KV OHL Installation (Concrete Pole)</v>
          </cell>
          <cell r="F1872">
            <v>2</v>
          </cell>
          <cell r="G1872" t="str">
            <v>Code A</v>
          </cell>
        </row>
        <row r="1873">
          <cell r="A1873" t="str">
            <v>---</v>
          </cell>
          <cell r="B1873" t="str">
            <v>KHF_AIP_D_EXT_01356</v>
          </cell>
          <cell r="C1873">
            <v>43674</v>
          </cell>
          <cell r="D1873" t="str">
            <v>-</v>
          </cell>
          <cell r="E1873" t="str">
            <v>AFC Drawings</v>
          </cell>
          <cell r="F1873" t="str">
            <v>-</v>
          </cell>
          <cell r="G1873" t="str">
            <v>01 drawing</v>
          </cell>
        </row>
        <row r="1874">
          <cell r="A1874" t="str">
            <v>---</v>
          </cell>
          <cell r="B1874" t="str">
            <v>KHF_AIP_D_EXT_01357</v>
          </cell>
          <cell r="C1874">
            <v>43675</v>
          </cell>
          <cell r="D1874" t="str">
            <v>-</v>
          </cell>
          <cell r="E1874" t="str">
            <v>AFC Drawings</v>
          </cell>
          <cell r="F1874" t="str">
            <v>-</v>
          </cell>
          <cell r="G1874" t="str">
            <v>01 drawing</v>
          </cell>
        </row>
        <row r="1875">
          <cell r="A1875" t="str">
            <v>KHF-00-104265-RA-6038-01702-0000-2</v>
          </cell>
          <cell r="B1875" t="str">
            <v>KHF_AIP_D_EXT_01358</v>
          </cell>
          <cell r="C1875">
            <v>43675</v>
          </cell>
          <cell r="D1875" t="str">
            <v>KHF-00-104265-RA-6038-01702-0000</v>
          </cell>
          <cell r="E1875" t="str">
            <v>Vacuum Box Test Procedure for Corrosion Inhibitor Chemical Storage Tanks</v>
          </cell>
          <cell r="F1875">
            <v>2</v>
          </cell>
          <cell r="G1875" t="str">
            <v>Code A</v>
          </cell>
        </row>
        <row r="1876">
          <cell r="A1876" t="str">
            <v>KHF-00-104265-RA-6038-01703-0000-2</v>
          </cell>
          <cell r="B1876" t="str">
            <v>KHF_AIP_D_EXT_01358</v>
          </cell>
          <cell r="C1876">
            <v>43675</v>
          </cell>
          <cell r="D1876" t="str">
            <v>KHF-00-104265-RA-6038-01703-0000</v>
          </cell>
          <cell r="E1876" t="str">
            <v>Penetrant Oil (Diesel) Test Procedure for Corrosion Inhibitor Chemical Storage Tanks</v>
          </cell>
          <cell r="F1876">
            <v>2</v>
          </cell>
          <cell r="G1876" t="str">
            <v>Code A</v>
          </cell>
        </row>
        <row r="1877">
          <cell r="A1877" t="str">
            <v>---</v>
          </cell>
          <cell r="B1877" t="str">
            <v>KHF_AIP_D_EXT_01359</v>
          </cell>
          <cell r="C1877">
            <v>43676</v>
          </cell>
          <cell r="D1877" t="str">
            <v>-</v>
          </cell>
          <cell r="E1877" t="str">
            <v>AFC Drawings</v>
          </cell>
          <cell r="F1877" t="str">
            <v>-</v>
          </cell>
          <cell r="G1877" t="str">
            <v>01 drawing</v>
          </cell>
        </row>
        <row r="1878">
          <cell r="A1878" t="str">
            <v>KHF-00-104265-BA-6065-50066-0000-2</v>
          </cell>
          <cell r="B1878" t="str">
            <v>KHF_AIP_D_EXT_01360</v>
          </cell>
          <cell r="C1878">
            <v>43677</v>
          </cell>
          <cell r="D1878" t="str">
            <v>KHF-00-104265-BA-6065-50066-0000</v>
          </cell>
          <cell r="E1878" t="str">
            <v>Welding NDT &amp; GRE PCAP Control ID Index (Control IDs - 170 -  176 &amp; 488)</v>
          </cell>
          <cell r="F1878">
            <v>2</v>
          </cell>
          <cell r="G1878" t="str">
            <v>Code B</v>
          </cell>
        </row>
        <row r="1879">
          <cell r="A1879" t="str">
            <v>KHF-00-104265-RA-6038-00918-0000-3</v>
          </cell>
          <cell r="B1879" t="str">
            <v>KHF_AIP_D_EXT_01361</v>
          </cell>
          <cell r="C1879">
            <v>43677</v>
          </cell>
          <cell r="D1879" t="str">
            <v>KHF-00-104265-RA-6038-00918-0000</v>
          </cell>
          <cell r="E1879" t="str">
            <v>Procedure for Visual Inspection for Piping using Boroscope</v>
          </cell>
          <cell r="F1879">
            <v>3</v>
          </cell>
          <cell r="G1879" t="str">
            <v>Code A</v>
          </cell>
        </row>
        <row r="1880">
          <cell r="A1880" t="str">
            <v>KHF-00-104265-AA-3341-60177-0000-1</v>
          </cell>
          <cell r="B1880" t="str">
            <v>KHF_AIP_D_EXT_01362</v>
          </cell>
          <cell r="C1880">
            <v>43678</v>
          </cell>
          <cell r="D1880" t="str">
            <v>KHF-00-104265-AA-3341-60177-0000</v>
          </cell>
          <cell r="E1880" t="str">
            <v>CV OF MR. DHAVAL UMEDBHAI PATEL - WELDING INSPECTOR - PIPING</v>
          </cell>
          <cell r="F1880">
            <v>1</v>
          </cell>
          <cell r="G1880" t="str">
            <v>Code B</v>
          </cell>
        </row>
        <row r="1881">
          <cell r="A1881" t="str">
            <v>KHF-00-104265-AA-3341-60178-0000-1</v>
          </cell>
          <cell r="B1881" t="str">
            <v>KHF_AIP_D_EXT_01363</v>
          </cell>
          <cell r="C1881">
            <v>43678</v>
          </cell>
          <cell r="D1881" t="str">
            <v>KHF-00-104265-AA-3341-60178-0000</v>
          </cell>
          <cell r="E1881" t="str">
            <v>CV OF MR. MURALIDHARAN PANDIYAN - QC INSPECTOR - PIPING (HYDROTEST/TEST PACK)</v>
          </cell>
          <cell r="F1881">
            <v>1</v>
          </cell>
          <cell r="G1881" t="str">
            <v>Code B</v>
          </cell>
        </row>
        <row r="1882">
          <cell r="A1882" t="str">
            <v>KHF-00-104265-QA-5733-01602-0000-2</v>
          </cell>
          <cell r="B1882" t="str">
            <v>KHF_AIP_D_EXT_01364</v>
          </cell>
          <cell r="C1882">
            <v>43678</v>
          </cell>
          <cell r="D1882" t="str">
            <v>KHF-00-104265-QA-5733-01602-0000</v>
          </cell>
          <cell r="E1882" t="str">
            <v>Inspection and Test Plan for Surface Preparation and External Painting of Small Bore Pipes</v>
          </cell>
          <cell r="F1882">
            <v>2</v>
          </cell>
          <cell r="G1882" t="str">
            <v>Code A</v>
          </cell>
        </row>
        <row r="1883">
          <cell r="A1883" t="str">
            <v>KHF-00-104265-QA-5733-01709-0000-2</v>
          </cell>
          <cell r="B1883" t="str">
            <v>KHF_AIP_D_EXT_01365</v>
          </cell>
          <cell r="C1883">
            <v>43678</v>
          </cell>
          <cell r="D1883" t="str">
            <v>KHF-00-104265-QA-5733-01709-0000</v>
          </cell>
          <cell r="E1883" t="str">
            <v>ITP for External Surface Preparation and Painting for Corrosion Inhibitor Chemical Storage Tanks</v>
          </cell>
          <cell r="F1883">
            <v>2</v>
          </cell>
          <cell r="G1883" t="str">
            <v>Code A</v>
          </cell>
        </row>
        <row r="1884">
          <cell r="A1884" t="str">
            <v>KHF-00-104265-QA-5733-22015-0000-2</v>
          </cell>
          <cell r="B1884" t="str">
            <v>KHF_AIP_D_EXT_01366</v>
          </cell>
          <cell r="C1884">
            <v>43678</v>
          </cell>
          <cell r="D1884" t="str">
            <v>KHF-00-104265-QA-5733-22015-0000</v>
          </cell>
          <cell r="E1884" t="str">
            <v>Inspection and Test Plan for HDPE Pipe Butt Fusion Jointing</v>
          </cell>
          <cell r="F1884">
            <v>2</v>
          </cell>
          <cell r="G1884" t="str">
            <v>Code A</v>
          </cell>
        </row>
        <row r="1885">
          <cell r="A1885" t="str">
            <v>---</v>
          </cell>
          <cell r="B1885" t="str">
            <v>KHF_AIP_D_EXT_01367</v>
          </cell>
          <cell r="C1885">
            <v>43678</v>
          </cell>
          <cell r="D1885" t="str">
            <v>-</v>
          </cell>
          <cell r="E1885" t="str">
            <v>AFC Drawings</v>
          </cell>
          <cell r="F1885" t="str">
            <v>-</v>
          </cell>
          <cell r="G1885" t="str">
            <v>01 drawing</v>
          </cell>
        </row>
        <row r="1886">
          <cell r="A1886" t="str">
            <v>---</v>
          </cell>
          <cell r="B1886" t="str">
            <v>KHF_AIP_D_EXT_01368</v>
          </cell>
          <cell r="C1886">
            <v>43681</v>
          </cell>
          <cell r="D1886" t="str">
            <v>-</v>
          </cell>
          <cell r="E1886" t="str">
            <v>AFC Drawings</v>
          </cell>
          <cell r="F1886" t="str">
            <v>-</v>
          </cell>
          <cell r="G1886" t="str">
            <v>01 drawing</v>
          </cell>
        </row>
        <row r="1887">
          <cell r="A1887" t="str">
            <v>KHF-00-104265-BA-6065-01701-0000-2</v>
          </cell>
          <cell r="B1887" t="str">
            <v>KHF_AIP_D_EXT_01369</v>
          </cell>
          <cell r="C1887">
            <v>43682</v>
          </cell>
          <cell r="D1887" t="str">
            <v>KHF-00-104265-BA-6065-01701-0000</v>
          </cell>
          <cell r="E1887" t="str">
            <v>WPS / Weld Map</v>
          </cell>
          <cell r="F1887">
            <v>2</v>
          </cell>
          <cell r="G1887" t="str">
            <v>Code B</v>
          </cell>
        </row>
        <row r="1888">
          <cell r="A1888" t="str">
            <v>KHF-00-104265-BA-6065-01703-0000-2</v>
          </cell>
          <cell r="B1888" t="str">
            <v>KHF_AIP_D_EXT_01369</v>
          </cell>
          <cell r="C1888">
            <v>43682</v>
          </cell>
          <cell r="D1888" t="str">
            <v>KHF-00-104265-BA-6065-01703-0000</v>
          </cell>
          <cell r="E1888" t="str">
            <v>WELDING PROCEDURE SPECIFICATIONS (AI-WPS-M-542)</v>
          </cell>
          <cell r="F1888">
            <v>2</v>
          </cell>
          <cell r="G1888" t="str">
            <v>Code A</v>
          </cell>
        </row>
        <row r="1889">
          <cell r="A1889" t="str">
            <v>KHF-00-104265-BA-6065-01704-0000-2</v>
          </cell>
          <cell r="B1889" t="str">
            <v>KHF_AIP_D_EXT_01369</v>
          </cell>
          <cell r="C1889">
            <v>43682</v>
          </cell>
          <cell r="D1889" t="str">
            <v>KHF-00-104265-BA-6065-01704-0000</v>
          </cell>
          <cell r="E1889" t="str">
            <v>WELDING PROCEDURE SPECIFICATIONS (AI-WPS-M-542FW)</v>
          </cell>
          <cell r="F1889">
            <v>2</v>
          </cell>
          <cell r="G1889" t="str">
            <v>Code A</v>
          </cell>
        </row>
        <row r="1890">
          <cell r="A1890" t="str">
            <v>KHF-00-104265-BA-6065-01705-0000-2</v>
          </cell>
          <cell r="B1890" t="str">
            <v>KHF_AIP_D_EXT_01369</v>
          </cell>
          <cell r="C1890">
            <v>43682</v>
          </cell>
          <cell r="D1890" t="str">
            <v>KHF-00-104265-BA-6065-01705-0000</v>
          </cell>
          <cell r="E1890" t="str">
            <v>WELDING PROCEDURE SPECIFICATIONS (AI-WPS-T-065)</v>
          </cell>
          <cell r="F1890">
            <v>2</v>
          </cell>
          <cell r="G1890" t="str">
            <v>Code B</v>
          </cell>
        </row>
        <row r="1891">
          <cell r="A1891" t="str">
            <v>KHF-00-104265-BA-6065-01706-0000-2</v>
          </cell>
          <cell r="B1891" t="str">
            <v>KHF_AIP_D_EXT_01369</v>
          </cell>
          <cell r="C1891">
            <v>43682</v>
          </cell>
          <cell r="D1891" t="str">
            <v>KHF-00-104265-BA-6065-01706-0000</v>
          </cell>
          <cell r="E1891" t="str">
            <v>WELDING PROCEDURE SPECIFICATIONS (AI-WPS-T-196)</v>
          </cell>
          <cell r="F1891">
            <v>2</v>
          </cell>
          <cell r="G1891" t="str">
            <v>Code A</v>
          </cell>
        </row>
        <row r="1892">
          <cell r="A1892" t="str">
            <v>KHF-00-104265-BA-6065-01707-0000-2</v>
          </cell>
          <cell r="B1892" t="str">
            <v>KHF_AIP_D_EXT_01369</v>
          </cell>
          <cell r="C1892">
            <v>43682</v>
          </cell>
          <cell r="D1892" t="str">
            <v>KHF-00-104265-BA-6065-01707-0000</v>
          </cell>
          <cell r="E1892" t="str">
            <v>WELDING PROCEDURE SPECIFICATIONS (AI-WPS-TM-196)</v>
          </cell>
          <cell r="F1892">
            <v>2</v>
          </cell>
          <cell r="G1892" t="str">
            <v>Code B</v>
          </cell>
        </row>
        <row r="1893">
          <cell r="A1893" t="str">
            <v>---</v>
          </cell>
          <cell r="B1893" t="str">
            <v>KHF_AIP_D_EXT_01370</v>
          </cell>
          <cell r="C1893">
            <v>43683</v>
          </cell>
          <cell r="D1893" t="str">
            <v>-</v>
          </cell>
          <cell r="E1893" t="str">
            <v>AFC Drawings</v>
          </cell>
          <cell r="F1893" t="str">
            <v>-</v>
          </cell>
          <cell r="G1893" t="str">
            <v>01 drawing</v>
          </cell>
        </row>
        <row r="1894">
          <cell r="A1894" t="str">
            <v>KHF-00-104265-BA-6065-01312-0000-1</v>
          </cell>
          <cell r="B1894" t="str">
            <v>KHF_AIP_D_EXT_01371</v>
          </cell>
          <cell r="C1894">
            <v>43683</v>
          </cell>
          <cell r="D1894" t="str">
            <v>KHF-00-104265-BA-6065-01312-0000</v>
          </cell>
          <cell r="E1894" t="str">
            <v>PWPS - HDPE Pipe Butt Fusion Jointing</v>
          </cell>
          <cell r="F1894">
            <v>1</v>
          </cell>
          <cell r="G1894" t="str">
            <v>Code D</v>
          </cell>
        </row>
        <row r="1895">
          <cell r="A1895" t="str">
            <v>KHF-00-104265-QA-6050-10065-0000-1</v>
          </cell>
          <cell r="B1895" t="str">
            <v>KHF_AIP_D_EXT_01372</v>
          </cell>
          <cell r="C1895">
            <v>43683</v>
          </cell>
          <cell r="D1895" t="str">
            <v>KHF-00-104265-QA-6050-10065-0000</v>
          </cell>
          <cell r="E1895" t="str">
            <v>FLAWLESS PROJECT DELIVERY IMPLEMENTATION PLAN</v>
          </cell>
          <cell r="F1895">
            <v>1</v>
          </cell>
          <cell r="G1895" t="str">
            <v>Code B</v>
          </cell>
        </row>
        <row r="1896">
          <cell r="A1896" t="str">
            <v>KHF-00-104265-QA-6050-10081-0000-1</v>
          </cell>
          <cell r="B1896" t="str">
            <v>KHF_AIP_D_EXT_01373</v>
          </cell>
          <cell r="C1896">
            <v>43683</v>
          </cell>
          <cell r="D1896" t="str">
            <v>KHF-00-104265-QA-6050-10081-0000</v>
          </cell>
          <cell r="E1896" t="str">
            <v>Flawless Project Delivery Q Assurance Plan</v>
          </cell>
          <cell r="F1896">
            <v>1</v>
          </cell>
          <cell r="G1896" t="str">
            <v>Code A</v>
          </cell>
        </row>
        <row r="1897">
          <cell r="A1897" t="str">
            <v>KHF-00-104265-RA-6038-01301-0000-2</v>
          </cell>
          <cell r="B1897" t="str">
            <v>KHF_AIP_D_EXT_01374</v>
          </cell>
          <cell r="C1897">
            <v>43683</v>
          </cell>
          <cell r="D1897" t="str">
            <v>KHF-00-104265-RA-6038-01301-0000</v>
          </cell>
          <cell r="E1897" t="str">
            <v>Procedure for Radiographic Examination for Piping Work</v>
          </cell>
          <cell r="F1897">
            <v>2</v>
          </cell>
          <cell r="G1897" t="str">
            <v>Code A</v>
          </cell>
        </row>
        <row r="1898">
          <cell r="A1898" t="str">
            <v>KHF-00-104265-RA-6038-01312-0000-3</v>
          </cell>
          <cell r="B1898" t="str">
            <v>KHF_AIP_D_EXT_01375</v>
          </cell>
          <cell r="C1898">
            <v>43683</v>
          </cell>
          <cell r="D1898" t="str">
            <v>KHF-00-104265-RA-6038-01312-0000</v>
          </cell>
          <cell r="E1898" t="str">
            <v>Visual Testing Procedure By Hitech</v>
          </cell>
          <cell r="F1898">
            <v>3</v>
          </cell>
          <cell r="G1898" t="str">
            <v>Code B</v>
          </cell>
        </row>
        <row r="1899">
          <cell r="A1899" t="str">
            <v>KHF-00-104265-RA-6038-10076-0000-3</v>
          </cell>
          <cell r="B1899" t="str">
            <v>KHF_AIP_D_EXT_01376</v>
          </cell>
          <cell r="C1899">
            <v>43683</v>
          </cell>
          <cell r="D1899" t="str">
            <v>KHF-00-104265-RA-6038-10076-0000</v>
          </cell>
          <cell r="E1899" t="str">
            <v>Visual Inspection of Piping using Boroscope by M/s. GTIS</v>
          </cell>
          <cell r="F1899">
            <v>3</v>
          </cell>
          <cell r="G1899" t="str">
            <v>Code B</v>
          </cell>
        </row>
        <row r="1900">
          <cell r="A1900" t="str">
            <v>KHF-00-104265-QA-6050-01706-0000-2</v>
          </cell>
          <cell r="B1900" t="str">
            <v>KHF_AIP_D_EXT_01377</v>
          </cell>
          <cell r="C1900">
            <v>43684</v>
          </cell>
          <cell r="D1900" t="str">
            <v>KHF-00-104265-QA-6050-01706-0000</v>
          </cell>
          <cell r="E1900" t="str">
            <v>Positive Material Identification Procedure</v>
          </cell>
          <cell r="F1900">
            <v>2</v>
          </cell>
          <cell r="G1900" t="str">
            <v>Code B</v>
          </cell>
        </row>
        <row r="1901">
          <cell r="A1901" t="str">
            <v>KHF-00-104265-QA-6050-01707-0000-2</v>
          </cell>
          <cell r="B1901" t="str">
            <v>KHF_AIP_D_EXT_01378</v>
          </cell>
          <cell r="C1901">
            <v>43684</v>
          </cell>
          <cell r="D1901" t="str">
            <v>KHF-00-104265-QA-6050-01707-0000</v>
          </cell>
          <cell r="E1901" t="str">
            <v>Tank Fill Test &amp; Roof Pneumatic Test Procedure</v>
          </cell>
          <cell r="F1901">
            <v>2</v>
          </cell>
          <cell r="G1901" t="str">
            <v>Code B</v>
          </cell>
        </row>
        <row r="1902">
          <cell r="A1902" t="str">
            <v>KHF-00-104265-RA-8241-51229-0000-1</v>
          </cell>
          <cell r="B1902" t="str">
            <v>KHF_AIP_D_EXT_01379</v>
          </cell>
          <cell r="C1902">
            <v>43685</v>
          </cell>
          <cell r="D1902" t="str">
            <v>KHF-00-104265-RA-8241-51229-0000</v>
          </cell>
          <cell r="E1902" t="str">
            <v>Material Approval Sheet for Name Plate in SS with Engraved Black Text in English for Substation Buildings</v>
          </cell>
          <cell r="F1902">
            <v>1</v>
          </cell>
          <cell r="G1902" t="str">
            <v>Code B</v>
          </cell>
        </row>
        <row r="1903">
          <cell r="A1903" t="str">
            <v>---</v>
          </cell>
          <cell r="B1903" t="str">
            <v>KHF_AIP_D_EXT_01380</v>
          </cell>
          <cell r="C1903">
            <v>43685</v>
          </cell>
          <cell r="D1903" t="str">
            <v>-</v>
          </cell>
          <cell r="E1903" t="str">
            <v>AFC Drawings</v>
          </cell>
          <cell r="F1903" t="str">
            <v>-</v>
          </cell>
          <cell r="G1903" t="str">
            <v>11 drawings</v>
          </cell>
        </row>
        <row r="1904">
          <cell r="A1904" t="str">
            <v>---</v>
          </cell>
          <cell r="B1904" t="str">
            <v>KHF_AIP_D_EXT_01381</v>
          </cell>
          <cell r="C1904">
            <v>43695</v>
          </cell>
          <cell r="D1904" t="str">
            <v>-</v>
          </cell>
          <cell r="E1904" t="str">
            <v>AFC Drawings</v>
          </cell>
          <cell r="F1904" t="str">
            <v>-</v>
          </cell>
          <cell r="G1904" t="str">
            <v>01 drawing</v>
          </cell>
        </row>
        <row r="1905">
          <cell r="A1905" t="str">
            <v>---</v>
          </cell>
          <cell r="B1905" t="str">
            <v>KHF_AIP_D_EXT_01382</v>
          </cell>
          <cell r="C1905">
            <v>43695</v>
          </cell>
          <cell r="D1905" t="str">
            <v>-</v>
          </cell>
          <cell r="E1905" t="str">
            <v>AFC Drawings</v>
          </cell>
          <cell r="F1905" t="str">
            <v>-</v>
          </cell>
          <cell r="G1905" t="str">
            <v>01 drawing</v>
          </cell>
        </row>
        <row r="1906">
          <cell r="A1906" t="str">
            <v>KHF-00-104265-AA-3341-60157-0000-2</v>
          </cell>
          <cell r="B1906" t="str">
            <v>KHF_AIP_D_EXT_01383</v>
          </cell>
          <cell r="C1906">
            <v>43696</v>
          </cell>
          <cell r="D1906" t="str">
            <v>KHF-00-104265-AA-3341-60157-0000</v>
          </cell>
          <cell r="E1906" t="str">
            <v>CV OF MR. SULEIMAN ALIFRESH ALSHUKAIRI - SITE BASED HSE ADVISOR</v>
          </cell>
          <cell r="F1906">
            <v>2</v>
          </cell>
          <cell r="G1906" t="str">
            <v>Code A</v>
          </cell>
        </row>
        <row r="1907">
          <cell r="A1907" t="str">
            <v>KHF-00-104265-RA-6038-01705-0000-3</v>
          </cell>
          <cell r="B1907" t="str">
            <v>KHF_AIP_D_EXT_01384</v>
          </cell>
          <cell r="C1907">
            <v>43697</v>
          </cell>
          <cell r="D1907" t="str">
            <v>KHF-00-104265-RA-6038-01705-0000</v>
          </cell>
          <cell r="E1907" t="str">
            <v>Liquid Penetrant Examination Procedure for Corrosion Inhibitor Chemical Storage Tanks</v>
          </cell>
          <cell r="F1907">
            <v>3</v>
          </cell>
          <cell r="G1907" t="str">
            <v>Code D</v>
          </cell>
        </row>
        <row r="1908">
          <cell r="A1908" t="str">
            <v>KHF-00-104265-CX-4180-10005-0001-12</v>
          </cell>
          <cell r="B1908" t="str">
            <v>KHF_AIP_D_EXT_01385</v>
          </cell>
          <cell r="C1908">
            <v>43697</v>
          </cell>
          <cell r="D1908" t="str">
            <v>KHF-00-104265-CX-4180-10005-0001</v>
          </cell>
          <cell r="E1908" t="str">
            <v>Site Camp Layout</v>
          </cell>
          <cell r="F1908">
            <v>12</v>
          </cell>
          <cell r="G1908" t="str">
            <v>Code D</v>
          </cell>
        </row>
        <row r="1909">
          <cell r="A1909" t="str">
            <v>KHF-00-104265-AA-6944-10092-0000-1</v>
          </cell>
          <cell r="B1909" t="str">
            <v>KHF_AIP_D_EXT_01386</v>
          </cell>
          <cell r="C1909">
            <v>43699</v>
          </cell>
          <cell r="D1909" t="str">
            <v>KHF-00-104265-AA-6944-10092-0000</v>
          </cell>
          <cell r="E1909" t="str">
            <v>WEEKLY PROGRESS REPORT NO. 092</v>
          </cell>
          <cell r="F1909">
            <v>1</v>
          </cell>
          <cell r="G1909" t="str">
            <v>Code D</v>
          </cell>
        </row>
        <row r="1910">
          <cell r="A1910" t="str">
            <v>KHF-00-104265-AA-6944-10093-0000-1</v>
          </cell>
          <cell r="B1910" t="str">
            <v>KHF_AIP_D_EXT_01387</v>
          </cell>
          <cell r="C1910">
            <v>43699</v>
          </cell>
          <cell r="D1910" t="str">
            <v>KHF-00-104265-AA-6944-10093-0000</v>
          </cell>
          <cell r="E1910" t="str">
            <v>WEEKLY PROGRESS REPORT NO. 093</v>
          </cell>
          <cell r="F1910">
            <v>1</v>
          </cell>
          <cell r="G1910" t="str">
            <v>Code D</v>
          </cell>
        </row>
        <row r="1911">
          <cell r="A1911" t="str">
            <v>---</v>
          </cell>
          <cell r="B1911" t="str">
            <v>KHF_AIP_D_EXT_01388</v>
          </cell>
          <cell r="C1911">
            <v>43699</v>
          </cell>
          <cell r="D1911" t="str">
            <v>-</v>
          </cell>
          <cell r="E1911" t="str">
            <v>AFC Drawings</v>
          </cell>
          <cell r="F1911" t="str">
            <v>-</v>
          </cell>
          <cell r="G1911" t="str">
            <v>01 drawing</v>
          </cell>
        </row>
        <row r="1912">
          <cell r="A1912" t="str">
            <v>---</v>
          </cell>
          <cell r="B1912" t="str">
            <v>KHF_AIP_D_EXT_01389</v>
          </cell>
          <cell r="C1912">
            <v>43702</v>
          </cell>
          <cell r="D1912" t="str">
            <v>-</v>
          </cell>
          <cell r="E1912" t="str">
            <v>AFC Drawings</v>
          </cell>
          <cell r="F1912" t="str">
            <v>-</v>
          </cell>
          <cell r="G1912" t="str">
            <v>18 drawings</v>
          </cell>
        </row>
        <row r="1913">
          <cell r="A1913" t="str">
            <v>KHF-00-104265-RA-6038-01313-0000-2</v>
          </cell>
          <cell r="B1913" t="str">
            <v>KHF_AIP_D_EXT_01390</v>
          </cell>
          <cell r="C1913">
            <v>43703</v>
          </cell>
          <cell r="D1913" t="str">
            <v>KHF-00-104265-RA-6038-01313-0000</v>
          </cell>
          <cell r="E1913" t="str">
            <v>Positive Material Identification Procedure By M/s. HITECH</v>
          </cell>
          <cell r="F1913">
            <v>2</v>
          </cell>
          <cell r="G1913" t="str">
            <v>Code A</v>
          </cell>
        </row>
        <row r="1914">
          <cell r="A1914" t="str">
            <v>KHF-00-104265-RA-8241-51196-0000-1</v>
          </cell>
          <cell r="B1914" t="str">
            <v>KHF_AIP_D_EXT_01391</v>
          </cell>
          <cell r="C1914">
            <v>43703</v>
          </cell>
          <cell r="D1914" t="str">
            <v>KHF-00-104265-RA-8241-51196-0000</v>
          </cell>
          <cell r="E1914" t="str">
            <v>Material Approval Sheet for Masterseal PG470 and GG470 &amp; Masterseal P101 Sealer Primer</v>
          </cell>
          <cell r="F1914">
            <v>1</v>
          </cell>
          <cell r="G1914" t="str">
            <v>Code B</v>
          </cell>
        </row>
        <row r="1915">
          <cell r="A1915" t="str">
            <v>KHF-00-104265-RA-6038-00609-0000-4</v>
          </cell>
          <cell r="B1915" t="str">
            <v>KHF_AIP_D_EXT_01392</v>
          </cell>
          <cell r="C1915">
            <v>43704</v>
          </cell>
          <cell r="D1915" t="str">
            <v>KHF-00-104265-RA-6038-00609-0000</v>
          </cell>
          <cell r="E1915" t="str">
            <v>Visual Examination Procedure for CS / LTCS / CRA / Piping Spools</v>
          </cell>
          <cell r="F1915">
            <v>4</v>
          </cell>
          <cell r="G1915" t="str">
            <v>Code B</v>
          </cell>
        </row>
        <row r="1916">
          <cell r="A1916" t="str">
            <v>KHF-00-104265-RA-6038-01305-0000-4</v>
          </cell>
          <cell r="B1916" t="str">
            <v>KHF_AIP_D_EXT_01393</v>
          </cell>
          <cell r="C1916">
            <v>43704</v>
          </cell>
          <cell r="D1916" t="str">
            <v>KHF-00-104265-RA-6038-01305-0000</v>
          </cell>
          <cell r="E1916" t="str">
            <v>Procedure for Hardness Testing</v>
          </cell>
          <cell r="F1916">
            <v>4</v>
          </cell>
          <cell r="G1916" t="str">
            <v>Code B</v>
          </cell>
        </row>
        <row r="1917">
          <cell r="A1917" t="str">
            <v>KHF-00-104265-RA-8241-51231-0000-1</v>
          </cell>
          <cell r="B1917" t="str">
            <v>KHF_AIP_D_EXT_01394</v>
          </cell>
          <cell r="C1917">
            <v>43705</v>
          </cell>
          <cell r="D1917" t="str">
            <v>KHF-00-104265-RA-8241-51231-0000</v>
          </cell>
          <cell r="E1917" t="str">
            <v>Material  Approval Sheet for 11KV HV Detector for Switchgear (HV Detector type KP Test IIE by K.PFISTERER Germany from ROTEL Electrical UK)</v>
          </cell>
          <cell r="F1917">
            <v>1</v>
          </cell>
          <cell r="G1917" t="str">
            <v>Code A</v>
          </cell>
        </row>
        <row r="1918">
          <cell r="A1918" t="str">
            <v>KHF-00-104265-RA-8241-51232-0000-1</v>
          </cell>
          <cell r="B1918" t="str">
            <v>KHF_AIP_D_EXT_01394</v>
          </cell>
          <cell r="C1918">
            <v>43705</v>
          </cell>
          <cell r="D1918" t="str">
            <v>KHF-00-104265-RA-8241-51232-0000</v>
          </cell>
          <cell r="E1918" t="str">
            <v>Material  Approval Sheet for 33KV Live Line Tester &amp; Accessories for Switchgear and Overhead Line (Model 257A EDGCOMBE Instruments)</v>
          </cell>
          <cell r="F1918">
            <v>1</v>
          </cell>
          <cell r="G1918" t="str">
            <v>Code A</v>
          </cell>
        </row>
        <row r="1919">
          <cell r="A1919" t="str">
            <v>KHF-00-104265-RA-8241-51233-0000-1</v>
          </cell>
          <cell r="B1919" t="str">
            <v>KHF_AIP_D_EXT_01394</v>
          </cell>
          <cell r="C1919">
            <v>43705</v>
          </cell>
          <cell r="D1919" t="str">
            <v>KHF-00-104265-RA-8241-51233-0000</v>
          </cell>
          <cell r="E1919" t="str">
            <v>MATERIAL APPROVAL SHEET FOR 132KV HV DETECTOR TYPE KP TEST III REF.  KPT 3.5 BY K. PFISTERER  GERMANY FROM ROTEL ELECTRICAL  UK</v>
          </cell>
          <cell r="F1919">
            <v>1</v>
          </cell>
          <cell r="G1919" t="str">
            <v>Code A</v>
          </cell>
        </row>
        <row r="1920">
          <cell r="A1920" t="str">
            <v>KHF-00-104265-RA-8241-51225-0000-1</v>
          </cell>
          <cell r="B1920" t="str">
            <v>KHF_AIP_D_EXT_01395</v>
          </cell>
          <cell r="C1920">
            <v>43705</v>
          </cell>
          <cell r="D1920" t="str">
            <v>KHF-00-104265-RA-8241-51225-0000</v>
          </cell>
          <cell r="E1920" t="str">
            <v>Material Approval Sheet for 6.6 KV High Voltage Test Kit (Make-PFISTERER)</v>
          </cell>
          <cell r="F1920">
            <v>1</v>
          </cell>
          <cell r="G1920" t="str">
            <v>Code B</v>
          </cell>
        </row>
        <row r="1921">
          <cell r="A1921" t="str">
            <v>KHF-00-104265-RA-8241-51226-0000-1</v>
          </cell>
          <cell r="B1921" t="str">
            <v>KHF_AIP_D_EXT_01395</v>
          </cell>
          <cell r="C1921">
            <v>43705</v>
          </cell>
          <cell r="D1921" t="str">
            <v>KHF-00-104265-RA-8241-51226-0000</v>
          </cell>
          <cell r="E1921" t="str">
            <v>Material Approval Sheet for LV Portable Earthing Leads (Make-PFISTERER)</v>
          </cell>
          <cell r="F1921">
            <v>1</v>
          </cell>
          <cell r="G1921" t="str">
            <v>Code B</v>
          </cell>
        </row>
        <row r="1922">
          <cell r="A1922" t="str">
            <v>KHF-00-104265-AA-3341-01304-0000-1</v>
          </cell>
          <cell r="B1922" t="str">
            <v>KHF_AIP_D_EXT_01396</v>
          </cell>
          <cell r="C1922">
            <v>43706</v>
          </cell>
          <cell r="D1922" t="str">
            <v>KHF-00-104265-AA-3341-01304-0000</v>
          </cell>
          <cell r="E1922" t="str">
            <v>CV OF MR. KIRUBAKARAN K - HYDROTEST ENGINEER</v>
          </cell>
          <cell r="F1922">
            <v>1</v>
          </cell>
          <cell r="G1922" t="str">
            <v>Code D</v>
          </cell>
        </row>
        <row r="1923">
          <cell r="A1923" t="str">
            <v>KHF-00-104265-BA-6065-50064-0000-1</v>
          </cell>
          <cell r="B1923" t="str">
            <v>KHF_AIP_D_EXT_01397</v>
          </cell>
          <cell r="C1923">
            <v>43706</v>
          </cell>
          <cell r="D1923" t="str">
            <v>KHF-00-104265-BA-6065-50064-0000</v>
          </cell>
          <cell r="E1923" t="str">
            <v>Welding Procedure Specification AI-WPS-T-716 (PQR-AI-PQR-716)</v>
          </cell>
          <cell r="F1923">
            <v>1</v>
          </cell>
          <cell r="G1923" t="str">
            <v>Code A</v>
          </cell>
        </row>
        <row r="1924">
          <cell r="A1924" t="str">
            <v>KHF-00-104265-AA-3341-00164-0000-1</v>
          </cell>
          <cell r="B1924" t="str">
            <v>KHF_AIP_D_EXT_01398</v>
          </cell>
          <cell r="C1924">
            <v>43710</v>
          </cell>
          <cell r="D1924" t="str">
            <v>KHF-00-104265-AA-3341-00164-0000</v>
          </cell>
          <cell r="E1924" t="str">
            <v>CV OF MR. VASIM ALIJI VAHORA - HYDRO TEST ENGINEER</v>
          </cell>
          <cell r="F1924">
            <v>1</v>
          </cell>
          <cell r="G1924" t="str">
            <v>Code D</v>
          </cell>
        </row>
        <row r="1925">
          <cell r="A1925" t="str">
            <v>KHF-00-104265-MP-6180-01801-0000-1</v>
          </cell>
          <cell r="B1925" t="str">
            <v>KHF_AIP_D_EXT_01399</v>
          </cell>
          <cell r="C1925">
            <v>43710</v>
          </cell>
          <cell r="D1925" t="str">
            <v>KHF-00-104265-MP-6180-01801-0000</v>
          </cell>
          <cell r="E1925" t="str">
            <v>NITROGEN HELIUM LEAK TESTING PROCEDURE</v>
          </cell>
          <cell r="F1925">
            <v>1</v>
          </cell>
          <cell r="G1925" t="str">
            <v>Code B</v>
          </cell>
        </row>
        <row r="1926">
          <cell r="A1926" t="str">
            <v>KHF-00-104265-RA-6038-01708-0000-2</v>
          </cell>
          <cell r="B1926" t="str">
            <v>KHF_AIP_D_EXT_01400</v>
          </cell>
          <cell r="C1926">
            <v>43710</v>
          </cell>
          <cell r="D1926" t="str">
            <v>KHF-00-104265-RA-6038-01708-0000</v>
          </cell>
          <cell r="E1926" t="str">
            <v>External Surface Preparation and Painting Procedure for Corrosion Inhibitor Chemical Storage Tanks</v>
          </cell>
          <cell r="F1926">
            <v>2</v>
          </cell>
          <cell r="G1926" t="str">
            <v>Code A</v>
          </cell>
        </row>
        <row r="1927">
          <cell r="A1927" t="str">
            <v>KHF-00-104265-AA-3341-00163-0000-1</v>
          </cell>
          <cell r="B1927" t="str">
            <v>KHF_AIP_D_EXT_01401</v>
          </cell>
          <cell r="C1927">
            <v>43711</v>
          </cell>
          <cell r="D1927" t="str">
            <v>KHF-00-104265-AA-3341-00163-0000</v>
          </cell>
          <cell r="E1927" t="str">
            <v>CV OF MR. VISHNU. R - HSE ADVISOR</v>
          </cell>
          <cell r="F1927">
            <v>1</v>
          </cell>
          <cell r="G1927" t="str">
            <v>Code D</v>
          </cell>
        </row>
        <row r="1928">
          <cell r="A1928" t="str">
            <v>KHF-00-104265-BA-6070-42040-0000-1</v>
          </cell>
          <cell r="B1928" t="str">
            <v>KHF_AIP_D_EXT_01402</v>
          </cell>
          <cell r="C1928">
            <v>43711</v>
          </cell>
          <cell r="D1928" t="str">
            <v>KHF-00-104265-BA-6070-42040-0000</v>
          </cell>
          <cell r="E1928" t="str">
            <v>Method Statement for Adding Ammonia to raise PH Value of DM Water</v>
          </cell>
          <cell r="F1928">
            <v>1</v>
          </cell>
          <cell r="G1928" t="str">
            <v>Code B</v>
          </cell>
        </row>
        <row r="1929">
          <cell r="A1929" t="str">
            <v>KHF-00-104265-AA-3341-60179-0000-1</v>
          </cell>
          <cell r="B1929" t="str">
            <v>KHF_AIP_D_EXT_01403</v>
          </cell>
          <cell r="C1929">
            <v>43711</v>
          </cell>
          <cell r="D1929" t="str">
            <v>KHF-00-104265-AA-3341-60179-0000</v>
          </cell>
          <cell r="E1929" t="str">
            <v>CV OF MR. RADHAKRISHNAN KUMARASAMY - HSE MANAGER</v>
          </cell>
          <cell r="F1929">
            <v>1</v>
          </cell>
          <cell r="G1929" t="str">
            <v>Code A</v>
          </cell>
        </row>
        <row r="1930">
          <cell r="A1930" t="str">
            <v>---</v>
          </cell>
          <cell r="B1930" t="str">
            <v>KHF_AIP_D_EXT_01404</v>
          </cell>
          <cell r="C1930">
            <v>43711</v>
          </cell>
          <cell r="D1930" t="str">
            <v>-</v>
          </cell>
          <cell r="E1930" t="str">
            <v>AFC Drawing</v>
          </cell>
          <cell r="F1930" t="str">
            <v>-</v>
          </cell>
          <cell r="G1930" t="str">
            <v>01 drawing</v>
          </cell>
        </row>
        <row r="1931">
          <cell r="A1931" t="str">
            <v>KHF-00-104265-AA-3341-60151-0000-2</v>
          </cell>
          <cell r="B1931" t="str">
            <v>KHF_AIP_D_EXT_01405</v>
          </cell>
          <cell r="C1931">
            <v>43713</v>
          </cell>
          <cell r="D1931" t="str">
            <v>KHF-00-104265-AA-3341-60151-0000</v>
          </cell>
          <cell r="E1931" t="str">
            <v>CV of Mr. K. Naganathan QC Inspector - Painting &amp; Coating</v>
          </cell>
          <cell r="F1931">
            <v>2</v>
          </cell>
          <cell r="G1931" t="str">
            <v>Code A</v>
          </cell>
        </row>
        <row r="1932">
          <cell r="A1932" t="str">
            <v>KHF-00-104265-QA-6050-01707-0000-3</v>
          </cell>
          <cell r="B1932" t="str">
            <v>KHF_AIP_D_EXT_01406</v>
          </cell>
          <cell r="C1932">
            <v>43713</v>
          </cell>
          <cell r="D1932" t="str">
            <v>KHF-00-104265-QA-6050-01707-0000</v>
          </cell>
          <cell r="E1932" t="str">
            <v>Tank Fill Test &amp; Roof Pneumatic Test Procedure</v>
          </cell>
          <cell r="F1932">
            <v>3</v>
          </cell>
          <cell r="G1932" t="str">
            <v>Code A</v>
          </cell>
        </row>
        <row r="1933">
          <cell r="A1933" t="str">
            <v>KHF-00-104265-AA-3341-60160-0000-2</v>
          </cell>
          <cell r="B1933" t="str">
            <v>KHF_AIP_D_EXT_01407</v>
          </cell>
          <cell r="C1933">
            <v>43716</v>
          </cell>
          <cell r="D1933" t="str">
            <v>KHF-00-104265-AA-3341-60160-0000</v>
          </cell>
          <cell r="E1933" t="str">
            <v>CV OF MR. MANJUNATHAN. A - LEAD QC ENGINEER</v>
          </cell>
          <cell r="F1933">
            <v>2</v>
          </cell>
          <cell r="G1933" t="str">
            <v>Code A</v>
          </cell>
        </row>
        <row r="1934">
          <cell r="A1934" t="str">
            <v>KHF-00-104265-AA-3341-60162-0000-2</v>
          </cell>
          <cell r="B1934" t="str">
            <v>KHF_AIP_D_EXT_01408</v>
          </cell>
          <cell r="C1934">
            <v>43716</v>
          </cell>
          <cell r="D1934" t="str">
            <v>KHF-00-104265-AA-3341-60162-0000</v>
          </cell>
          <cell r="E1934" t="str">
            <v>CV of Mr. Sunil Vyas Ramanlal - QC Inspector - Piping</v>
          </cell>
          <cell r="F1934">
            <v>2</v>
          </cell>
          <cell r="G1934" t="str">
            <v>Code A</v>
          </cell>
        </row>
        <row r="1935">
          <cell r="A1935" t="str">
            <v>KHF-00-104265-AA-3341-60163-0000-2</v>
          </cell>
          <cell r="B1935" t="str">
            <v>KHF_AIP_D_EXT_01409</v>
          </cell>
          <cell r="C1935">
            <v>43716</v>
          </cell>
          <cell r="D1935" t="str">
            <v>KHF-00-104265-AA-3341-60163-0000</v>
          </cell>
          <cell r="E1935" t="str">
            <v>CV of Mr. Paniadimai Repheal - QC Inspector - Civil</v>
          </cell>
          <cell r="F1935">
            <v>2</v>
          </cell>
          <cell r="G1935" t="str">
            <v>Code A</v>
          </cell>
        </row>
        <row r="1936">
          <cell r="A1936" t="str">
            <v>KHF-00-104265-MP-7180-01801-0000-1</v>
          </cell>
          <cell r="B1936" t="str">
            <v>KHF_AIP_D_EXT_01410</v>
          </cell>
          <cell r="C1936">
            <v>43716</v>
          </cell>
          <cell r="D1936" t="str">
            <v>KHF-00-104265-MP-7180-01801-0000</v>
          </cell>
          <cell r="E1936" t="str">
            <v>TEST PACK FOR TEST LOOP TP-083</v>
          </cell>
          <cell r="F1936">
            <v>1</v>
          </cell>
          <cell r="G1936" t="str">
            <v>Code B</v>
          </cell>
        </row>
        <row r="1937">
          <cell r="A1937" t="str">
            <v>KHF-00-104265-MP-7180-01803-0000-1</v>
          </cell>
          <cell r="B1937" t="str">
            <v>KHF_AIP_D_EXT_01410</v>
          </cell>
          <cell r="C1937">
            <v>43716</v>
          </cell>
          <cell r="D1937" t="str">
            <v>KHF-00-104265-MP-7180-01803-0000</v>
          </cell>
          <cell r="E1937" t="str">
            <v>TEST PACK FOR TEST LOOP TP-085</v>
          </cell>
          <cell r="F1937">
            <v>1</v>
          </cell>
          <cell r="G1937" t="str">
            <v>Code B</v>
          </cell>
        </row>
        <row r="1938">
          <cell r="A1938" t="str">
            <v>KHF-00-104265-QA-6050-32008-0000-2</v>
          </cell>
          <cell r="B1938" t="str">
            <v>KHF_AIP_D_EXT_01411</v>
          </cell>
          <cell r="C1938">
            <v>43716</v>
          </cell>
          <cell r="D1938" t="str">
            <v>KHF-00-104265-QA-6050-32008-0000</v>
          </cell>
          <cell r="E1938" t="str">
            <v>Procedure for 4-Golden Joint (Tie-in) Welding</v>
          </cell>
          <cell r="F1938">
            <v>2</v>
          </cell>
          <cell r="G1938" t="str">
            <v>Code A</v>
          </cell>
        </row>
        <row r="1939">
          <cell r="A1939" t="str">
            <v>KHF-00-104265-RA-8241-51234-0000-1</v>
          </cell>
          <cell r="B1939" t="str">
            <v>KHF_AIP_D_EXT_01412</v>
          </cell>
          <cell r="C1939">
            <v>43716</v>
          </cell>
          <cell r="D1939" t="str">
            <v>KHF-00-104265-RA-8241-51234-0000</v>
          </cell>
          <cell r="E1939" t="str">
            <v>MATERIAL APPROVAL SHEET FOR FOSROC CONBEXTRA EP10 (EPOXY GROUTING COMPOUNDS FOR FOUNDATIONS)</v>
          </cell>
          <cell r="F1939">
            <v>1</v>
          </cell>
          <cell r="G1939" t="str">
            <v>Code A</v>
          </cell>
        </row>
        <row r="1940">
          <cell r="A1940" t="str">
            <v>KHF-00-104265-BA-6070-44010-0000-1</v>
          </cell>
          <cell r="B1940" t="str">
            <v>KHF_AIP_D_EXT_01413</v>
          </cell>
          <cell r="C1940">
            <v>43717</v>
          </cell>
          <cell r="D1940" t="str">
            <v>KHF-00-104265-BA-6070-44010-0000</v>
          </cell>
          <cell r="E1940" t="str">
            <v>Method Statement for Calibration of Control Valves, ESD Valves, On-Off Valves and Motor Operated Valves</v>
          </cell>
          <cell r="F1940">
            <v>1</v>
          </cell>
          <cell r="G1940" t="str">
            <v>Code B</v>
          </cell>
        </row>
        <row r="1941">
          <cell r="A1941" t="str">
            <v>KHF-00-104265-FA-5765-10040-0000-8</v>
          </cell>
          <cell r="B1941" t="str">
            <v>KHF_AIP_D_EXT_01414</v>
          </cell>
          <cell r="C1941">
            <v>43718</v>
          </cell>
          <cell r="D1941" t="str">
            <v>KHF-00-104265-FA-5765-10040-0000</v>
          </cell>
          <cell r="E1941" t="str">
            <v>PROJECT SCHEDULE - LEVEL 04</v>
          </cell>
          <cell r="F1941">
            <v>8</v>
          </cell>
          <cell r="G1941" t="str">
            <v>Code B</v>
          </cell>
        </row>
        <row r="1942">
          <cell r="A1942" t="str">
            <v>KHF-00-104265-AA-3341-60173-0000-1</v>
          </cell>
          <cell r="B1942" t="str">
            <v>KHF_AIP_D_EXT_01415</v>
          </cell>
          <cell r="C1942">
            <v>43720</v>
          </cell>
          <cell r="D1942" t="str">
            <v>KHF-00-104265-AA-3341-60173-0000</v>
          </cell>
          <cell r="E1942" t="str">
            <v>CV OF MR. SANJEEV KUMAR SONI - WELDING ENGINEER</v>
          </cell>
          <cell r="F1942">
            <v>1</v>
          </cell>
          <cell r="G1942" t="str">
            <v>Code D</v>
          </cell>
        </row>
        <row r="1943">
          <cell r="A1943" t="str">
            <v>KHF-00-104265-HX-6019-10017-0000-3</v>
          </cell>
          <cell r="B1943" t="str">
            <v>KHF_AIP_D_EXT_01416</v>
          </cell>
          <cell r="C1943">
            <v>43720</v>
          </cell>
          <cell r="D1943" t="str">
            <v>KHF-00-104265-HX-6019-10017-0000</v>
          </cell>
          <cell r="E1943" t="str">
            <v>Emergency Response Procedure</v>
          </cell>
          <cell r="F1943">
            <v>3</v>
          </cell>
          <cell r="G1943" t="str">
            <v>Code B</v>
          </cell>
        </row>
        <row r="1944">
          <cell r="A1944" t="str">
            <v>KHF-00-104265-QA-6050-00110-0000-5</v>
          </cell>
          <cell r="B1944" t="str">
            <v>KHF_AIP_D_EXT_01417</v>
          </cell>
          <cell r="C1944">
            <v>43720</v>
          </cell>
          <cell r="D1944" t="str">
            <v>KHF-00-104265-QA-6050-00110-0000</v>
          </cell>
          <cell r="E1944" t="str">
            <v>Quality Control Plan for GRE Pipe Line Installation &amp; Testing of Adhesive Bonding</v>
          </cell>
          <cell r="F1944">
            <v>5</v>
          </cell>
          <cell r="G1944" t="str">
            <v>Code A</v>
          </cell>
        </row>
        <row r="1945">
          <cell r="A1945" t="str">
            <v>KHF-00-104265-RA-8241-51228-0000-1</v>
          </cell>
          <cell r="B1945" t="str">
            <v>KHF_AIP_D_EXT_01418</v>
          </cell>
          <cell r="C1945">
            <v>43720</v>
          </cell>
          <cell r="D1945" t="str">
            <v>KHF-00-104265-RA-8241-51228-0000</v>
          </cell>
          <cell r="E1945" t="str">
            <v>Material Approval Sheet for Master Flow - 544 High Strength Cementitious Mortar for Filling Tie Bar Holes in Water Retaining Structures</v>
          </cell>
          <cell r="F1945">
            <v>1</v>
          </cell>
          <cell r="G1945" t="str">
            <v>Code B</v>
          </cell>
        </row>
        <row r="1946">
          <cell r="A1946" t="str">
            <v>---</v>
          </cell>
          <cell r="B1946" t="str">
            <v>KHF_AIP_D_EXT_01419</v>
          </cell>
          <cell r="C1946">
            <v>43723</v>
          </cell>
          <cell r="D1946" t="str">
            <v>-</v>
          </cell>
          <cell r="E1946" t="str">
            <v>AFC Drawing</v>
          </cell>
          <cell r="F1946" t="str">
            <v>-</v>
          </cell>
          <cell r="G1946" t="str">
            <v>01 drawing</v>
          </cell>
        </row>
        <row r="1947">
          <cell r="A1947" t="str">
            <v>KHF-00-104265-AA-3341-60180-0000-1</v>
          </cell>
          <cell r="B1947" t="str">
            <v>KHF_AIP_D_EXT_01420</v>
          </cell>
          <cell r="C1947">
            <v>43723</v>
          </cell>
          <cell r="D1947" t="str">
            <v>KHF-00-104265-AA-3341-60180-0000</v>
          </cell>
          <cell r="E1947" t="str">
            <v>CV OF MR.MANIAR PAVAN ASHOKKUMAR - WELDING ENGINEER</v>
          </cell>
          <cell r="F1947">
            <v>1</v>
          </cell>
          <cell r="G1947" t="str">
            <v>Code A</v>
          </cell>
        </row>
        <row r="1948">
          <cell r="A1948" t="str">
            <v>---</v>
          </cell>
          <cell r="B1948" t="str">
            <v>KHF_AIP_D_EXT_01421</v>
          </cell>
          <cell r="C1948">
            <v>43725</v>
          </cell>
          <cell r="D1948" t="str">
            <v>-</v>
          </cell>
          <cell r="E1948" t="str">
            <v>AFC Drawing</v>
          </cell>
          <cell r="F1948" t="str">
            <v>-</v>
          </cell>
          <cell r="G1948" t="str">
            <v>01 drawing</v>
          </cell>
        </row>
        <row r="1949">
          <cell r="A1949" t="str">
            <v>KHF-00-104265-RA-6038-01314-0000-3</v>
          </cell>
          <cell r="B1949" t="str">
            <v>KHF_AIP_D_EXT_01422</v>
          </cell>
          <cell r="C1949">
            <v>43725</v>
          </cell>
          <cell r="D1949" t="str">
            <v>KHF-00-104265-RA-6038-01314-0000</v>
          </cell>
          <cell r="E1949" t="str">
            <v>Ferrite Testing Procedure</v>
          </cell>
          <cell r="F1949">
            <v>3</v>
          </cell>
          <cell r="G1949" t="str">
            <v>Code B</v>
          </cell>
        </row>
        <row r="1950">
          <cell r="A1950" t="str">
            <v>---</v>
          </cell>
          <cell r="B1950" t="str">
            <v>KHF_AIP_D_EXT_01423</v>
          </cell>
          <cell r="C1950">
            <v>43725</v>
          </cell>
          <cell r="D1950" t="str">
            <v>-</v>
          </cell>
          <cell r="E1950" t="str">
            <v>AFC Drawing</v>
          </cell>
          <cell r="F1950" t="str">
            <v>-</v>
          </cell>
          <cell r="G1950" t="str">
            <v>01 drawing</v>
          </cell>
        </row>
        <row r="1951">
          <cell r="A1951" t="str">
            <v>KHF-00-104265-RA-8241-51179-0000-2</v>
          </cell>
          <cell r="B1951" t="str">
            <v>KHF_AIP_D_EXT_01424</v>
          </cell>
          <cell r="C1951">
            <v>43726</v>
          </cell>
          <cell r="D1951" t="str">
            <v>KHF-00-104265-RA-8241-51179-0000</v>
          </cell>
          <cell r="E1951" t="str">
            <v>MATERIAL APPROVAL SHEET FOR TELECOM FOC ROUTE MARKER BOARD</v>
          </cell>
          <cell r="F1951">
            <v>2</v>
          </cell>
          <cell r="G1951" t="str">
            <v>Code C</v>
          </cell>
        </row>
        <row r="1952">
          <cell r="A1952" t="str">
            <v>KHF-00-104265-BA-6065-50006-0000-3</v>
          </cell>
          <cell r="B1952" t="str">
            <v>KHF_AIP_D_EXT_01425</v>
          </cell>
          <cell r="C1952">
            <v>43726</v>
          </cell>
          <cell r="D1952" t="str">
            <v>KHF-00-104265-BA-6065-50006-0000</v>
          </cell>
          <cell r="E1952" t="str">
            <v>WPS - Pipe to Weldolet - Pipeline PL-5 (AIP-WPS-PL-005)</v>
          </cell>
          <cell r="F1952">
            <v>3</v>
          </cell>
          <cell r="G1952" t="str">
            <v>Code A</v>
          </cell>
        </row>
        <row r="1953">
          <cell r="A1953" t="str">
            <v>KHF-00-104265-RA-6038-00906-0000-4</v>
          </cell>
          <cell r="B1953" t="str">
            <v>KHF_AIP_D_EXT_01426</v>
          </cell>
          <cell r="C1953">
            <v>43726</v>
          </cell>
          <cell r="D1953" t="str">
            <v>KHF-00-104265-RA-6038-00906-0000</v>
          </cell>
          <cell r="E1953" t="str">
            <v>Procedure for Post Weld Heat Treatment</v>
          </cell>
          <cell r="F1953">
            <v>4</v>
          </cell>
          <cell r="G1953" t="str">
            <v>Code A</v>
          </cell>
        </row>
        <row r="1954">
          <cell r="A1954" t="str">
            <v>KHF-00-104265-BA-6065-50067-0000-1</v>
          </cell>
          <cell r="B1954" t="str">
            <v>KHF_AIP_D_EXT_01427</v>
          </cell>
          <cell r="C1954">
            <v>43726</v>
          </cell>
          <cell r="D1954" t="str">
            <v>KHF-00-104265-BA-6065-50067-0000</v>
          </cell>
          <cell r="E1954" t="str">
            <v>Welding Procedure Specification AI-WPS-T-717 (PQR AI/PQR/232)</v>
          </cell>
          <cell r="F1954">
            <v>1</v>
          </cell>
          <cell r="G1954" t="str">
            <v>Code D</v>
          </cell>
        </row>
        <row r="1955">
          <cell r="A1955" t="str">
            <v>KHF-00-104265-RA-6038-01705-0000-4</v>
          </cell>
          <cell r="B1955" t="str">
            <v>KHF_AIP_D_EXT_01428</v>
          </cell>
          <cell r="C1955">
            <v>43726</v>
          </cell>
          <cell r="D1955" t="str">
            <v>KHF-00-104265-RA-6038-01705-0000</v>
          </cell>
          <cell r="E1955" t="str">
            <v>Liquid Penetrant Examination for Corrosion Inhibitor Chemical Storage Tanks</v>
          </cell>
          <cell r="F1955">
            <v>4</v>
          </cell>
          <cell r="G1955" t="str">
            <v>Code A</v>
          </cell>
        </row>
        <row r="1956">
          <cell r="A1956" t="str">
            <v>KHF-00-104265-RA-6038-00608-0000-2</v>
          </cell>
          <cell r="B1956" t="str">
            <v>KHF_AIP_D_EXT_01429</v>
          </cell>
          <cell r="C1956">
            <v>43726</v>
          </cell>
          <cell r="D1956" t="str">
            <v>KHF-00-104265-RA-6038-00608-0000</v>
          </cell>
          <cell r="E1956" t="str">
            <v>PROCEDURE FOR RADIOGRAPHIC FILM DIGITIZATION FOR CS / LTCS PIPING SPOOLS</v>
          </cell>
          <cell r="F1956">
            <v>2</v>
          </cell>
          <cell r="G1956" t="str">
            <v>Code A</v>
          </cell>
        </row>
        <row r="1957">
          <cell r="A1957" t="str">
            <v>KHF-00-104265-QA-6050-01706-0000-3</v>
          </cell>
          <cell r="B1957" t="str">
            <v>KHF_AIP_D_EXT_01430</v>
          </cell>
          <cell r="C1957">
            <v>43726</v>
          </cell>
          <cell r="D1957" t="str">
            <v>KHF-00-104265-QA-6050-01706-0000</v>
          </cell>
          <cell r="E1957" t="str">
            <v>POSITIVE MATERIAL IDENTIFICATION PROCEDURE</v>
          </cell>
          <cell r="F1957">
            <v>3</v>
          </cell>
          <cell r="G1957" t="str">
            <v>Code A</v>
          </cell>
        </row>
        <row r="1958">
          <cell r="A1958" t="str">
            <v>KHF-00-104265-RA-6038-01305-0000-5</v>
          </cell>
          <cell r="B1958" t="str">
            <v>KHF_AIP_D_EXT_01431</v>
          </cell>
          <cell r="C1958">
            <v>43726</v>
          </cell>
          <cell r="D1958" t="str">
            <v>KHF-00-104265-RA-6038-01305-0000</v>
          </cell>
          <cell r="E1958" t="str">
            <v>Procedure for Hardness Testing</v>
          </cell>
          <cell r="F1958">
            <v>5</v>
          </cell>
          <cell r="G1958" t="str">
            <v>Code A</v>
          </cell>
        </row>
        <row r="1959">
          <cell r="A1959" t="str">
            <v>KHF-00-104265-RA-6038-01306-0000-2</v>
          </cell>
          <cell r="B1959" t="str">
            <v>KHF_AIP_D_EXT_01432</v>
          </cell>
          <cell r="C1959">
            <v>43726</v>
          </cell>
          <cell r="D1959" t="str">
            <v>KHF-00-104265-RA-6038-01306-0000</v>
          </cell>
          <cell r="E1959" t="str">
            <v>Procedure for Post Weld Heat Treatment for Piping</v>
          </cell>
          <cell r="F1959">
            <v>2</v>
          </cell>
          <cell r="G1959" t="str">
            <v>Code A</v>
          </cell>
        </row>
        <row r="1960">
          <cell r="A1960" t="str">
            <v>KHF-00-104265-QA-5733-23009-0000-3</v>
          </cell>
          <cell r="B1960" t="str">
            <v>KHF_AIP_D_EXT_01433</v>
          </cell>
          <cell r="C1960">
            <v>43730</v>
          </cell>
          <cell r="D1960" t="str">
            <v>KHF-00-104265-QA-5733-23009-0000</v>
          </cell>
          <cell r="E1960" t="str">
            <v>Inspection &amp; Test Plan - 33KV OHL Installation (Concrete Pole)</v>
          </cell>
          <cell r="F1960">
            <v>3</v>
          </cell>
          <cell r="G1960" t="str">
            <v>Code A</v>
          </cell>
        </row>
        <row r="1961">
          <cell r="A1961" t="str">
            <v>KHF-00-104265-RA-8241-51235-0000-1</v>
          </cell>
          <cell r="B1961" t="str">
            <v>KHF_AIP_D_EXT_01434</v>
          </cell>
          <cell r="C1961">
            <v>43730</v>
          </cell>
          <cell r="D1961" t="str">
            <v>KHF-00-104265-RA-8241-51235-0000</v>
          </cell>
          <cell r="E1961" t="str">
            <v>MATERIAL APPROVAL SHEET FOR SAFETY STUD ANCHOR HST3- R (STAINLESS STEEL) FOR PIPING SECONDARY SUPPORT</v>
          </cell>
          <cell r="F1961">
            <v>1</v>
          </cell>
          <cell r="G1961" t="str">
            <v>Code C</v>
          </cell>
        </row>
        <row r="1962">
          <cell r="A1962" t="str">
            <v>KHF-00-104265-RA-8241-51236-0000-1</v>
          </cell>
          <cell r="B1962" t="str">
            <v>KHF_AIP_D_EXT_01435</v>
          </cell>
          <cell r="C1962">
            <v>43730</v>
          </cell>
          <cell r="D1962" t="str">
            <v>KHF-00-104265-RA-8241-51236-0000</v>
          </cell>
          <cell r="E1962" t="str">
            <v>MATERIAL APPROVAL SHEET FOR 150 MM WADI STONE</v>
          </cell>
          <cell r="F1962">
            <v>1</v>
          </cell>
          <cell r="G1962" t="str">
            <v>Code C</v>
          </cell>
        </row>
        <row r="1963">
          <cell r="A1963" t="str">
            <v>KHF-00-104265-BA-6070-01313-0000-1</v>
          </cell>
          <cell r="B1963" t="str">
            <v>KHF_AIP_D_EXT_01436</v>
          </cell>
          <cell r="C1963">
            <v>43731</v>
          </cell>
          <cell r="D1963" t="str">
            <v>KHF-00-104265-BA-6070-01313-0000</v>
          </cell>
          <cell r="E1963" t="str">
            <v>Method Statement for GTG &amp; GTEBS Oil Flushing</v>
          </cell>
          <cell r="F1963">
            <v>1</v>
          </cell>
          <cell r="G1963" t="str">
            <v>Code A</v>
          </cell>
        </row>
        <row r="1964">
          <cell r="A1964" t="str">
            <v>KHF-00-104265-BA-6070-42042-0000-1</v>
          </cell>
          <cell r="B1964" t="str">
            <v>KHF_AIP_D_EXT_01437</v>
          </cell>
          <cell r="C1964">
            <v>43731</v>
          </cell>
          <cell r="D1964" t="str">
            <v>KHF-00-104265-BA-6070-42042-0000</v>
          </cell>
          <cell r="E1964" t="str">
            <v>Method Statement for Preservation of HRSG after Hydro Test and Chemical Cleaning</v>
          </cell>
          <cell r="F1964">
            <v>1</v>
          </cell>
          <cell r="G1964" t="str">
            <v>Code A</v>
          </cell>
        </row>
        <row r="1965">
          <cell r="A1965" t="str">
            <v>KHF-00-104265-BA-6070-42044-0000-1</v>
          </cell>
          <cell r="B1965" t="str">
            <v>KHF_AIP_D_EXT_01438</v>
          </cell>
          <cell r="C1965">
            <v>43731</v>
          </cell>
          <cell r="D1965" t="str">
            <v>KHF-00-104265-BA-6070-42044-0000</v>
          </cell>
          <cell r="E1965" t="str">
            <v>METHOD STATEMENT FOR LIFTING AND PLACEMENT OF TANKS (11 TON) BY TANDEM LIFT</v>
          </cell>
          <cell r="F1965">
            <v>1</v>
          </cell>
          <cell r="G1965" t="str">
            <v>Code A</v>
          </cell>
        </row>
        <row r="1966">
          <cell r="A1966" t="str">
            <v>KHF-00-104265-BA-6070-42045-0000-1</v>
          </cell>
          <cell r="B1966" t="str">
            <v>KHF_AIP_D_EXT_01439</v>
          </cell>
          <cell r="C1966">
            <v>43731</v>
          </cell>
          <cell r="D1966" t="str">
            <v>KHF-00-104265-BA-6070-42045-0000</v>
          </cell>
          <cell r="E1966" t="str">
            <v>METHOD STATEMENT FOR LIFTING AND PLACEMENT OF MODULAR SKID</v>
          </cell>
          <cell r="F1966">
            <v>1</v>
          </cell>
          <cell r="G1966" t="str">
            <v>Code A</v>
          </cell>
        </row>
        <row r="1967">
          <cell r="A1967" t="str">
            <v>KHF-00-104265-MP-1380-01701-0000-1</v>
          </cell>
          <cell r="B1967" t="str">
            <v>KHF_AIP_D_EXT_01440</v>
          </cell>
          <cell r="C1967">
            <v>43731</v>
          </cell>
          <cell r="D1967" t="str">
            <v>KHF-00-104265-MP-1380-01701-0000</v>
          </cell>
          <cell r="E1967" t="str">
            <v>Transportation Saddle Calculation for Chemical Storage Tank T-10303 - (AI-DC-823A-01)</v>
          </cell>
          <cell r="F1967">
            <v>1</v>
          </cell>
          <cell r="G1967" t="str">
            <v>Code C</v>
          </cell>
        </row>
        <row r="1968">
          <cell r="A1968" t="str">
            <v>KHF-00-104265-MP-1380-01702-0000-1</v>
          </cell>
          <cell r="B1968" t="str">
            <v>KHF_AIP_D_EXT_01440</v>
          </cell>
          <cell r="C1968">
            <v>43731</v>
          </cell>
          <cell r="D1968" t="str">
            <v>KHF-00-104265-MP-1380-01702-0000</v>
          </cell>
          <cell r="E1968" t="str">
            <v>Transportation Saddle Calculation for Chemical Storage Tank T-11303 - (AI-DC-824A-01)</v>
          </cell>
          <cell r="F1968">
            <v>1</v>
          </cell>
          <cell r="G1968" t="str">
            <v>Code C</v>
          </cell>
        </row>
        <row r="1969">
          <cell r="A1969" t="str">
            <v>KHF-00-104265-MP-1380-01703-0000-1</v>
          </cell>
          <cell r="B1969" t="str">
            <v>KHF_AIP_D_EXT_01440</v>
          </cell>
          <cell r="C1969">
            <v>43731</v>
          </cell>
          <cell r="D1969" t="str">
            <v>KHF-00-104265-MP-1380-01703-0000</v>
          </cell>
          <cell r="E1969" t="str">
            <v>Transportation Saddle Calculation for Chemical Storage Tank T-12303 - (AI-DC-825A-01)</v>
          </cell>
          <cell r="F1969">
            <v>1</v>
          </cell>
          <cell r="G1969" t="str">
            <v>Code C</v>
          </cell>
        </row>
        <row r="1970">
          <cell r="A1970" t="str">
            <v>KHF-00-104265-MP-4180-01701-0001-1</v>
          </cell>
          <cell r="B1970" t="str">
            <v>KHF_AIP_D_EXT_01440</v>
          </cell>
          <cell r="C1970">
            <v>43731</v>
          </cell>
          <cell r="D1970" t="str">
            <v>KHF-00-104265-MP-4180-01701-0001</v>
          </cell>
          <cell r="E1970" t="str">
            <v>Transport Saddle Details for Corrosion Inhibitor Chemical Storage Tank T-10303</v>
          </cell>
          <cell r="F1970">
            <v>1</v>
          </cell>
          <cell r="G1970" t="str">
            <v>Code C</v>
          </cell>
        </row>
        <row r="1971">
          <cell r="A1971" t="str">
            <v>KHF-00-104265-MP-4180-01702-0001-1</v>
          </cell>
          <cell r="B1971" t="str">
            <v>KHF_AIP_D_EXT_01440</v>
          </cell>
          <cell r="C1971">
            <v>43731</v>
          </cell>
          <cell r="D1971" t="str">
            <v>KHF-00-104265-MP-4180-01702-0001</v>
          </cell>
          <cell r="E1971" t="str">
            <v>Transport Saddle Details for Corrosion Inhibitor Chemical Storage Tank T-11303</v>
          </cell>
          <cell r="F1971">
            <v>1</v>
          </cell>
          <cell r="G1971" t="str">
            <v>Code C</v>
          </cell>
        </row>
        <row r="1972">
          <cell r="A1972" t="str">
            <v>KHF-00-104265-MP-4180-01703-0001-1</v>
          </cell>
          <cell r="B1972" t="str">
            <v>KHF_AIP_D_EXT_01440</v>
          </cell>
          <cell r="C1972">
            <v>43731</v>
          </cell>
          <cell r="D1972" t="str">
            <v>KHF-00-104265-MP-4180-01703-0001</v>
          </cell>
          <cell r="E1972" t="str">
            <v>Transport Saddle Details for Chemical Storage Tank T-12303</v>
          </cell>
          <cell r="F1972">
            <v>1</v>
          </cell>
          <cell r="G1972" t="str">
            <v>Code C</v>
          </cell>
        </row>
        <row r="1973">
          <cell r="A1973" t="str">
            <v>KHF-00-104265-RA-8241-51240-0000-1</v>
          </cell>
          <cell r="B1973" t="str">
            <v>KHF_AIP_D_EXT_01441</v>
          </cell>
          <cell r="C1973">
            <v>43731</v>
          </cell>
          <cell r="D1973" t="str">
            <v>KHF-00-104265-RA-8241-51240-0000</v>
          </cell>
          <cell r="E1973" t="str">
            <v>Material Approval Sheet for 6mm Mirror</v>
          </cell>
          <cell r="F1973">
            <v>1</v>
          </cell>
          <cell r="G1973" t="str">
            <v>Code B</v>
          </cell>
        </row>
        <row r="1974">
          <cell r="A1974" t="str">
            <v>KHF-00-104265-QA-6050-32009-0000-1</v>
          </cell>
          <cell r="B1974" t="str">
            <v>KHF_AIP_D_EXT_01442</v>
          </cell>
          <cell r="C1974">
            <v>43732</v>
          </cell>
          <cell r="D1974" t="str">
            <v>KHF-00-104265-QA-6050-32009-0000</v>
          </cell>
          <cell r="E1974" t="str">
            <v>Quality Control Procedure for Hydro Static Testing of Stainless Steel Corrosion Inhibitor Tanks @ YKP Site</v>
          </cell>
          <cell r="F1974">
            <v>1</v>
          </cell>
          <cell r="G1974" t="str">
            <v>Code B</v>
          </cell>
        </row>
        <row r="1975">
          <cell r="A1975" t="str">
            <v>KHF-00-104265-RA-8241-51238-0000-1</v>
          </cell>
          <cell r="B1975" t="str">
            <v>KHF_AIP_D_EXT_01443</v>
          </cell>
          <cell r="C1975">
            <v>43733</v>
          </cell>
          <cell r="D1975" t="str">
            <v>KHF-00-104265-RA-8241-51238-0000</v>
          </cell>
          <cell r="E1975" t="str">
            <v>MATERIAL APPROVAL SHEET FOR GEOTEXTILE MEMBRANE TERRAM 1000</v>
          </cell>
          <cell r="F1975">
            <v>1</v>
          </cell>
          <cell r="G1975" t="str">
            <v>Code A</v>
          </cell>
        </row>
        <row r="1976">
          <cell r="A1976" t="str">
            <v>KHF-00-104265-QA-5733-23001-0000-3</v>
          </cell>
          <cell r="B1976" t="str">
            <v>KHF_AIP_D_EXT_01444</v>
          </cell>
          <cell r="C1976">
            <v>43734</v>
          </cell>
          <cell r="D1976" t="str">
            <v>KHF-00-104265-QA-5733-23001-0000</v>
          </cell>
          <cell r="E1976" t="str">
            <v>Inspection &amp; Test Plan - HV/LV Cable Laying &amp; Testing</v>
          </cell>
          <cell r="F1976">
            <v>3</v>
          </cell>
          <cell r="G1976" t="str">
            <v>Code B</v>
          </cell>
        </row>
        <row r="1977">
          <cell r="A1977" t="str">
            <v>KHF-00-104265-QA-5733-23002-0000-4</v>
          </cell>
          <cell r="B1977" t="str">
            <v>KHF_AIP_D_EXT_01445</v>
          </cell>
          <cell r="C1977">
            <v>43734</v>
          </cell>
          <cell r="D1977" t="str">
            <v>KHF-00-104265-QA-5733-23002-0000</v>
          </cell>
          <cell r="E1977" t="str">
            <v>Inspection &amp; Test Plan - HV/LV Cable Glanding &amp; Termination</v>
          </cell>
          <cell r="F1977">
            <v>4</v>
          </cell>
          <cell r="G1977" t="str">
            <v>Code B</v>
          </cell>
        </row>
        <row r="1978">
          <cell r="A1978" t="str">
            <v>KHF-00-104265-QA-5733-23003-0000-4</v>
          </cell>
          <cell r="B1978" t="str">
            <v>KHF_AIP_D_EXT_01445</v>
          </cell>
          <cell r="C1978">
            <v>43734</v>
          </cell>
          <cell r="D1978" t="str">
            <v>KHF-00-104265-QA-5733-23003-0000</v>
          </cell>
          <cell r="E1978" t="str">
            <v>Inspection &amp; Test Plan - Switchgear Installation Works</v>
          </cell>
          <cell r="F1978">
            <v>4</v>
          </cell>
          <cell r="G1978" t="str">
            <v>Code A</v>
          </cell>
        </row>
        <row r="1979">
          <cell r="A1979" t="str">
            <v>KHF-00-104265-QA-5733-23005-0000-3</v>
          </cell>
          <cell r="B1979" t="str">
            <v>KHF_AIP_D_EXT_01444</v>
          </cell>
          <cell r="C1979">
            <v>43734</v>
          </cell>
          <cell r="D1979" t="str">
            <v>KHF-00-104265-QA-5733-23005-0000</v>
          </cell>
          <cell r="E1979" t="str">
            <v>Inspection &amp; Test Plan - Earthing Works</v>
          </cell>
          <cell r="F1979">
            <v>3</v>
          </cell>
          <cell r="G1979" t="str">
            <v>Code A</v>
          </cell>
        </row>
        <row r="1980">
          <cell r="A1980" t="str">
            <v>KHF-00-104265-QA-5733-23007-0000-2</v>
          </cell>
          <cell r="B1980" t="str">
            <v>KHF_AIP_D_EXT_01444</v>
          </cell>
          <cell r="C1980">
            <v>43734</v>
          </cell>
          <cell r="D1980" t="str">
            <v>KHF-00-104265-QA-5733-23007-0000</v>
          </cell>
          <cell r="E1980" t="str">
            <v>Inspection &amp; Test Plan - Transformer Installation and Testing</v>
          </cell>
          <cell r="F1980">
            <v>2</v>
          </cell>
          <cell r="G1980" t="str">
            <v>Code A</v>
          </cell>
        </row>
        <row r="1981">
          <cell r="A1981" t="str">
            <v>KHF-00-104265-QA-5733-23008-0000-5</v>
          </cell>
          <cell r="B1981" t="str">
            <v>KHF_AIP_D_EXT_01446</v>
          </cell>
          <cell r="C1981">
            <v>43734</v>
          </cell>
          <cell r="D1981" t="str">
            <v>KHF-00-104265-QA-5733-23008-0000</v>
          </cell>
          <cell r="E1981" t="str">
            <v>Inspection &amp; Test Plan - Lighting &amp; Small Power works</v>
          </cell>
          <cell r="F1981">
            <v>5</v>
          </cell>
          <cell r="G1981" t="str">
            <v>Code A</v>
          </cell>
        </row>
        <row r="1982">
          <cell r="A1982" t="str">
            <v>KHF-00-104265-QA-5733-24003-0000-3</v>
          </cell>
          <cell r="B1982" t="str">
            <v>KHF_AIP_D_EXT_01447</v>
          </cell>
          <cell r="C1982">
            <v>43734</v>
          </cell>
          <cell r="D1982" t="str">
            <v>KHF-00-104265-QA-5733-24003-0000</v>
          </cell>
          <cell r="E1982" t="str">
            <v>Inspection &amp; Test Plan - Installation of Field Instruments,Instrument Panels,JB's &amp; Supports</v>
          </cell>
          <cell r="F1982">
            <v>3</v>
          </cell>
          <cell r="G1982" t="str">
            <v>Code B</v>
          </cell>
        </row>
        <row r="1983">
          <cell r="A1983" t="str">
            <v>KHF-00-104265-QA-5733-24008-0000-3</v>
          </cell>
          <cell r="B1983" t="str">
            <v>KHF_AIP_D_EXT_01448</v>
          </cell>
          <cell r="C1983">
            <v>43734</v>
          </cell>
          <cell r="D1983" t="str">
            <v>KHF-00-104265-QA-5733-24008-0000</v>
          </cell>
          <cell r="E1983" t="str">
            <v>Inspection &amp; Test Plan - FOC Installation &amp; Testing</v>
          </cell>
          <cell r="F1983">
            <v>3</v>
          </cell>
          <cell r="G1983" t="str">
            <v>Code B</v>
          </cell>
        </row>
        <row r="1984">
          <cell r="A1984" t="str">
            <v>KHF-00-104265-RA-6038-01312-0000-4</v>
          </cell>
          <cell r="B1984" t="str">
            <v>KHF_AIP_D_EXT_01449</v>
          </cell>
          <cell r="C1984">
            <v>43734</v>
          </cell>
          <cell r="D1984" t="str">
            <v>KHF-00-104265-RA-6038-01312-0000</v>
          </cell>
          <cell r="E1984" t="str">
            <v>VISUAL TESTING PROCEDURE BY HITECH</v>
          </cell>
          <cell r="F1984">
            <v>4</v>
          </cell>
          <cell r="G1984" t="str">
            <v>Code A</v>
          </cell>
        </row>
        <row r="1985">
          <cell r="A1985" t="str">
            <v>KHF-00-104265-RA-6038-10076-0000-4</v>
          </cell>
          <cell r="B1985" t="str">
            <v>KHF_AIP_D_EXT_01450</v>
          </cell>
          <cell r="C1985">
            <v>43734</v>
          </cell>
          <cell r="D1985" t="str">
            <v>KHF-00-104265-RA-6038-10076-0000</v>
          </cell>
          <cell r="E1985" t="str">
            <v>Visual Inspection of Piping using Boroscope by M/s GTIS</v>
          </cell>
          <cell r="F1985">
            <v>4</v>
          </cell>
          <cell r="G1985" t="str">
            <v>Code A</v>
          </cell>
        </row>
        <row r="1986">
          <cell r="A1986" t="str">
            <v>KHF-00-104265-MP-6180-01801-0000-2</v>
          </cell>
          <cell r="B1986" t="str">
            <v>KHF_AIP_D_EXT_01451</v>
          </cell>
          <cell r="C1986">
            <v>43737</v>
          </cell>
          <cell r="D1986" t="str">
            <v>KHF-00-104265-MP-6180-01801-0000</v>
          </cell>
          <cell r="E1986" t="str">
            <v>NITROGEN HELIUM LEAK TESTING PROCEDURE</v>
          </cell>
          <cell r="F1986">
            <v>2</v>
          </cell>
          <cell r="G1986" t="str">
            <v>Code A</v>
          </cell>
        </row>
        <row r="1987">
          <cell r="A1987" t="str">
            <v>KHF-00-104265-MP-7180-01801-0000-2</v>
          </cell>
          <cell r="B1987" t="str">
            <v>KHF_AIP_D_EXT_01451</v>
          </cell>
          <cell r="C1987">
            <v>43737</v>
          </cell>
          <cell r="D1987" t="str">
            <v>KHF-00-104265-MP-7180-01801-0000</v>
          </cell>
          <cell r="E1987" t="str">
            <v>TEST PACK FOR TEST LOOP TP-083</v>
          </cell>
          <cell r="F1987">
            <v>2</v>
          </cell>
          <cell r="G1987" t="str">
            <v>Code A</v>
          </cell>
        </row>
        <row r="1988">
          <cell r="A1988" t="str">
            <v>KHF-00-104265-MP-7180-01803-0000-2</v>
          </cell>
          <cell r="B1988" t="str">
            <v>KHF_AIP_D_EXT_01451</v>
          </cell>
          <cell r="C1988">
            <v>43737</v>
          </cell>
          <cell r="D1988" t="str">
            <v>KHF-00-104265-MP-7180-01803-0000</v>
          </cell>
          <cell r="E1988" t="str">
            <v>TEST PACK FOR TEST LOOP TP-085</v>
          </cell>
          <cell r="F1988">
            <v>2</v>
          </cell>
          <cell r="G1988" t="str">
            <v>Code A</v>
          </cell>
        </row>
        <row r="1989">
          <cell r="A1989" t="str">
            <v>KHF-00-104265-QA-5733-24001-0000-4</v>
          </cell>
          <cell r="B1989" t="str">
            <v>KHF_AIP_D_EXT_01452</v>
          </cell>
          <cell r="C1989">
            <v>43737</v>
          </cell>
          <cell r="D1989" t="str">
            <v>KHF-00-104265-QA-5733-24001-0000</v>
          </cell>
          <cell r="E1989" t="str">
            <v>Inspection &amp; Test Plan - Instrument Cable Laying &amp; Cable Tray Installation</v>
          </cell>
          <cell r="F1989">
            <v>4</v>
          </cell>
          <cell r="G1989" t="str">
            <v>Code B</v>
          </cell>
        </row>
        <row r="1990">
          <cell r="A1990" t="str">
            <v>KHF-00-104265-QA-5733-24002-0000-3</v>
          </cell>
          <cell r="B1990" t="str">
            <v>KHF_AIP_D_EXT_01452</v>
          </cell>
          <cell r="C1990">
            <v>43737</v>
          </cell>
          <cell r="D1990" t="str">
            <v>KHF-00-104265-QA-5733-24002-0000</v>
          </cell>
          <cell r="E1990" t="str">
            <v>Inspection &amp; Test Plan - Cable Glanding, Termination and Earthing</v>
          </cell>
          <cell r="F1990">
            <v>3</v>
          </cell>
          <cell r="G1990" t="str">
            <v>Code B</v>
          </cell>
        </row>
        <row r="1991">
          <cell r="A1991" t="str">
            <v>KHF-00-104265-LA-5880-10085-0000-1</v>
          </cell>
          <cell r="B1991" t="str">
            <v>KHF_AIP_D_EXT_01453</v>
          </cell>
          <cell r="C1991">
            <v>43739</v>
          </cell>
          <cell r="D1991" t="str">
            <v>KHF-00-104265-LA-5880-10085-0000</v>
          </cell>
          <cell r="E1991" t="str">
            <v>Preservation Plan for Pipeline PL-5</v>
          </cell>
          <cell r="F1991">
            <v>1</v>
          </cell>
          <cell r="G1991" t="str">
            <v>Code B</v>
          </cell>
        </row>
        <row r="1992">
          <cell r="A1992" t="str">
            <v>KHF-00-104265-LA-5880-10087-0000-1</v>
          </cell>
          <cell r="B1992" t="str">
            <v>KHF_AIP_D_EXT_01454</v>
          </cell>
          <cell r="C1992">
            <v>43739</v>
          </cell>
          <cell r="D1992" t="str">
            <v>KHF-00-104265-LA-5880-10087-0000</v>
          </cell>
          <cell r="E1992" t="str">
            <v>Preservation Plan for Pipeline PL-8</v>
          </cell>
          <cell r="F1992">
            <v>1</v>
          </cell>
          <cell r="G1992" t="str">
            <v>Code B</v>
          </cell>
        </row>
        <row r="1993">
          <cell r="A1993" t="str">
            <v>KHF-00-104265-LA-5880-10088-0000-1</v>
          </cell>
          <cell r="B1993" t="str">
            <v>KHF_AIP_D_EXT_01454</v>
          </cell>
          <cell r="C1993">
            <v>43739</v>
          </cell>
          <cell r="D1993" t="str">
            <v>KHF-00-104265-LA-5880-10088-0000</v>
          </cell>
          <cell r="E1993" t="str">
            <v>Preservation Plan for Pipeline PL-1</v>
          </cell>
          <cell r="F1993">
            <v>1</v>
          </cell>
          <cell r="G1993" t="str">
            <v>Code B</v>
          </cell>
        </row>
        <row r="1994">
          <cell r="A1994" t="str">
            <v>KHF-00-104265-LA-5880-10089-0000-1</v>
          </cell>
          <cell r="B1994" t="str">
            <v>KHF_AIP_D_EXT_01454</v>
          </cell>
          <cell r="C1994">
            <v>43739</v>
          </cell>
          <cell r="D1994" t="str">
            <v>KHF-00-104265-LA-5880-10089-0000</v>
          </cell>
          <cell r="E1994" t="str">
            <v>Preservation Plan for Pipeline PL-7</v>
          </cell>
          <cell r="F1994">
            <v>1</v>
          </cell>
          <cell r="G1994" t="str">
            <v>Code B</v>
          </cell>
        </row>
        <row r="1995">
          <cell r="A1995" t="str">
            <v>KHF-00-104265-MP-6180-00138-0000-2</v>
          </cell>
          <cell r="B1995" t="str">
            <v>KHF_AIP_D_EXT_01455</v>
          </cell>
          <cell r="C1995">
            <v>43739</v>
          </cell>
          <cell r="D1995" t="str">
            <v>KHF-00-104265-MP-6180-00138-0000</v>
          </cell>
          <cell r="E1995" t="str">
            <v>Method Statement for Repair Works (FGS)</v>
          </cell>
          <cell r="F1995">
            <v>2</v>
          </cell>
          <cell r="G1995" t="str">
            <v>Code B</v>
          </cell>
        </row>
        <row r="1996">
          <cell r="A1996" t="str">
            <v>KHF-00-104265-QA-6050-10065-0000-2</v>
          </cell>
          <cell r="B1996" t="str">
            <v>KHF_AIP_D_EXT_01456</v>
          </cell>
          <cell r="C1996">
            <v>43739</v>
          </cell>
          <cell r="D1996" t="str">
            <v>KHF-00-104265-QA-6050-10065-0000</v>
          </cell>
          <cell r="E1996" t="str">
            <v>FLAWLESS PROJECT DELIVERY IMPLEMENTATION PLAN</v>
          </cell>
          <cell r="F1996">
            <v>2</v>
          </cell>
          <cell r="G1996" t="str">
            <v>Code A</v>
          </cell>
        </row>
        <row r="1997">
          <cell r="A1997" t="str">
            <v>KHF-00-104265-AA-3341-60094-0000-2</v>
          </cell>
          <cell r="B1997" t="str">
            <v>KHF_AIP_D_EXT_01457</v>
          </cell>
          <cell r="C1997">
            <v>43741</v>
          </cell>
          <cell r="D1997" t="str">
            <v>KHF-00-104265-AA-3341-60094-0000</v>
          </cell>
          <cell r="E1997" t="str">
            <v>CV of Mr. K. Ravikumar, QC Inspector -Welding &amp; Painting</v>
          </cell>
          <cell r="F1997">
            <v>2</v>
          </cell>
          <cell r="G1997" t="str">
            <v>Code A</v>
          </cell>
        </row>
        <row r="1998">
          <cell r="A1998" t="str">
            <v>KHF-00-104265-AA-3341-60117-0000-3</v>
          </cell>
          <cell r="B1998" t="str">
            <v>KHF_AIP_D_EXT_01457</v>
          </cell>
          <cell r="C1998">
            <v>43741</v>
          </cell>
          <cell r="D1998" t="str">
            <v>KHF-00-104265-AA-3341-60117-0000</v>
          </cell>
          <cell r="E1998" t="str">
            <v>CV of Mr. Mohamed Mansoor, QC Inspector - Instrument &amp; Telecom</v>
          </cell>
          <cell r="F1998">
            <v>3</v>
          </cell>
          <cell r="G1998" t="str">
            <v>Code A</v>
          </cell>
        </row>
        <row r="1999">
          <cell r="A1999" t="str">
            <v>KHF-00-104265-AA-3341-60171-0000-2</v>
          </cell>
          <cell r="B1999" t="str">
            <v>KHF_AIP_D_EXT_01457</v>
          </cell>
          <cell r="C1999">
            <v>43741</v>
          </cell>
          <cell r="D1999" t="str">
            <v>KHF-00-104265-AA-3341-60171-0000</v>
          </cell>
          <cell r="E1999" t="str">
            <v>CV of Mr. Harter Ben A, QC Inspector - Instrumentation</v>
          </cell>
          <cell r="F1999">
            <v>2</v>
          </cell>
          <cell r="G1999" t="str">
            <v>Code A</v>
          </cell>
        </row>
        <row r="2000">
          <cell r="A2000" t="str">
            <v>KHF-00-104265-AA-3341-60175-0000-2</v>
          </cell>
          <cell r="B2000" t="str">
            <v>KHF_AIP_D_EXT_01457</v>
          </cell>
          <cell r="C2000">
            <v>43741</v>
          </cell>
          <cell r="D2000" t="str">
            <v>KHF-00-104265-AA-3341-60175-0000</v>
          </cell>
          <cell r="E2000" t="str">
            <v>CV of Mr. K. Naganathan, Welding Inspector - Piping</v>
          </cell>
          <cell r="F2000">
            <v>2</v>
          </cell>
          <cell r="G2000" t="str">
            <v>Code A</v>
          </cell>
        </row>
        <row r="2001">
          <cell r="A2001" t="str">
            <v>KHF-00-104265-QA-5733-23001-0000-4</v>
          </cell>
          <cell r="B2001" t="str">
            <v>KHF_AIP_D_EXT_01458</v>
          </cell>
          <cell r="C2001">
            <v>43741</v>
          </cell>
          <cell r="D2001" t="str">
            <v>KHF-00-104265-QA-5733-23001-0000</v>
          </cell>
          <cell r="E2001" t="str">
            <v>Inspection &amp; Test Plan - HV/LV Cable Laying &amp; Testing</v>
          </cell>
          <cell r="F2001">
            <v>4</v>
          </cell>
          <cell r="G2001" t="str">
            <v>Code A</v>
          </cell>
        </row>
        <row r="2002">
          <cell r="A2002" t="str">
            <v>KHF-00-104265-QA-5733-23002-0000-5</v>
          </cell>
          <cell r="B2002" t="str">
            <v>KHF_AIP_D_EXT_01459</v>
          </cell>
          <cell r="C2002">
            <v>43741</v>
          </cell>
          <cell r="D2002" t="str">
            <v>KHF-00-104265-QA-5733-23002-0000</v>
          </cell>
          <cell r="E2002" t="str">
            <v>Inspection &amp; Test Plan - HV/LV Cable Glanding &amp; Termination</v>
          </cell>
          <cell r="F2002">
            <v>5</v>
          </cell>
          <cell r="G2002" t="str">
            <v>Code A</v>
          </cell>
        </row>
        <row r="2003">
          <cell r="A2003" t="str">
            <v>KHF-00-104265-QA-5733-24003-0000-4</v>
          </cell>
          <cell r="B2003" t="str">
            <v>KHF_AIP_D_EXT_01460</v>
          </cell>
          <cell r="C2003">
            <v>43741</v>
          </cell>
          <cell r="D2003" t="str">
            <v>KHF-00-104265-QA-5733-24003-0000</v>
          </cell>
          <cell r="E2003" t="str">
            <v>Inspection &amp; Test Plan - Installation of Field Instruments, Instrument Panels, JB's &amp; Supports</v>
          </cell>
          <cell r="F2003">
            <v>4</v>
          </cell>
          <cell r="G2003" t="str">
            <v>Code A</v>
          </cell>
        </row>
        <row r="2004">
          <cell r="A2004" t="str">
            <v>KHF-00-104265-QA-5733-24008-0000-4</v>
          </cell>
          <cell r="B2004" t="str">
            <v>KHF_AIP_D_EXT_01461</v>
          </cell>
          <cell r="C2004">
            <v>43741</v>
          </cell>
          <cell r="D2004" t="str">
            <v>KHF-00-104265-QA-5733-24008-0000</v>
          </cell>
          <cell r="E2004" t="str">
            <v>Inspection &amp; Test Plan for Fiber Optic Cable (FOC) Installation &amp; Testing</v>
          </cell>
          <cell r="F2004">
            <v>4</v>
          </cell>
          <cell r="G2004" t="str">
            <v>Code A</v>
          </cell>
        </row>
        <row r="2005">
          <cell r="A2005" t="str">
            <v>KHF-00-104265-RA-8241-51237-0000-1</v>
          </cell>
          <cell r="B2005" t="str">
            <v>KHF_AIP_D_EXT_01462</v>
          </cell>
          <cell r="C2005">
            <v>43741</v>
          </cell>
          <cell r="D2005" t="str">
            <v>KHF-00-104265-RA-8241-51237-0000</v>
          </cell>
          <cell r="E2005" t="str">
            <v>MATERIAL APPROVAL SHEET FOR SAFETY SIGNAGE BOARD(FOR POWER PLANT - GIS, GTG AND BoP)</v>
          </cell>
          <cell r="F2005">
            <v>1</v>
          </cell>
          <cell r="G2005" t="str">
            <v>Code B</v>
          </cell>
        </row>
        <row r="2006">
          <cell r="A2006" t="str">
            <v>---</v>
          </cell>
          <cell r="B2006" t="str">
            <v>KHF_AIP_D_EXT_01463</v>
          </cell>
          <cell r="C2006">
            <v>43741</v>
          </cell>
          <cell r="D2006" t="str">
            <v>-</v>
          </cell>
          <cell r="E2006" t="str">
            <v>AFC Drawings</v>
          </cell>
          <cell r="F2006" t="str">
            <v>-</v>
          </cell>
          <cell r="G2006" t="str">
            <v>17 drawings</v>
          </cell>
        </row>
        <row r="2007">
          <cell r="A2007" t="str">
            <v>---</v>
          </cell>
          <cell r="B2007" t="str">
            <v>KHF_AIP_D_EXT_01464</v>
          </cell>
          <cell r="C2007">
            <v>43741</v>
          </cell>
          <cell r="D2007" t="str">
            <v>-</v>
          </cell>
          <cell r="E2007" t="str">
            <v>AFC Drawings</v>
          </cell>
          <cell r="F2007" t="str">
            <v>-</v>
          </cell>
          <cell r="G2007" t="str">
            <v>04 drawings</v>
          </cell>
        </row>
        <row r="2008">
          <cell r="A2008" t="str">
            <v>KHF-00-104265-RA-8241-51243-0000-1</v>
          </cell>
          <cell r="B2008" t="str">
            <v>KHF_AIP_D_EXT_01465</v>
          </cell>
          <cell r="C2008">
            <v>43744</v>
          </cell>
          <cell r="D2008" t="str">
            <v>KHF-00-104265-RA-8241-51243-0000</v>
          </cell>
          <cell r="E2008" t="str">
            <v>Material Approval Sheet for LOKFIX-DUR Epoxy Resin Cartridge System for Anchoring, Bonding</v>
          </cell>
          <cell r="F2008">
            <v>1</v>
          </cell>
          <cell r="G2008" t="str">
            <v>Code A</v>
          </cell>
        </row>
        <row r="2009">
          <cell r="A2009" t="str">
            <v>KHF-00-104265-RA-8241-51242-0000-1</v>
          </cell>
          <cell r="B2009" t="str">
            <v>KHF_AIP_D_EXT_01466</v>
          </cell>
          <cell r="C2009">
            <v>43744</v>
          </cell>
          <cell r="D2009" t="str">
            <v>KHF-00-104265-RA-8241-51242-0000</v>
          </cell>
          <cell r="E2009" t="str">
            <v>Material Approval Sheet for Fosroc Expancell Backer-Rod (Back-up Cord)</v>
          </cell>
          <cell r="F2009">
            <v>1</v>
          </cell>
          <cell r="G2009" t="str">
            <v>Code A</v>
          </cell>
        </row>
        <row r="2010">
          <cell r="A2010" t="str">
            <v>KHF-00-104265-RA-8241-51245-0000-1</v>
          </cell>
          <cell r="B2010" t="str">
            <v>KHF_AIP_D_EXT_01467</v>
          </cell>
          <cell r="C2010">
            <v>43744</v>
          </cell>
          <cell r="D2010" t="str">
            <v>KHF-00-104265-RA-8241-51245-0000</v>
          </cell>
          <cell r="E2010" t="str">
            <v>MATERIAL APPROVAL SHEET FOR WOODEN FALSE CEILING WITH OAK VENEER FINISH TO CONTROL ROOM IN GTG SUBSTATION</v>
          </cell>
          <cell r="F2010">
            <v>1</v>
          </cell>
          <cell r="G2010" t="str">
            <v>Code A</v>
          </cell>
        </row>
        <row r="2011">
          <cell r="A2011" t="str">
            <v>KHF-00-104265-BA-6065-01312-0000-2</v>
          </cell>
          <cell r="B2011" t="str">
            <v>KHF_AIP_D_EXT_01468</v>
          </cell>
          <cell r="C2011">
            <v>43747</v>
          </cell>
          <cell r="D2011" t="str">
            <v>KHF-00-104265-BA-6065-01312-0000</v>
          </cell>
          <cell r="E2011" t="str">
            <v>PWPS-HDPE pipe Butt fusion jointing (AIP-WPS-HDPE-001)</v>
          </cell>
          <cell r="F2011">
            <v>2</v>
          </cell>
          <cell r="G2011" t="str">
            <v>Code C</v>
          </cell>
        </row>
        <row r="2012">
          <cell r="A2012" t="str">
            <v>---</v>
          </cell>
          <cell r="B2012" t="str">
            <v>KHF_AIP_D_EXT_01469</v>
          </cell>
          <cell r="C2012">
            <v>43752</v>
          </cell>
          <cell r="D2012" t="str">
            <v>-</v>
          </cell>
          <cell r="E2012" t="str">
            <v>AFC Drawings</v>
          </cell>
          <cell r="F2012" t="str">
            <v>-</v>
          </cell>
          <cell r="G2012" t="str">
            <v>03 drawings</v>
          </cell>
        </row>
        <row r="2013">
          <cell r="A2013" t="str">
            <v>---</v>
          </cell>
          <cell r="B2013" t="str">
            <v>KHF_AIP_D_EXT_01470</v>
          </cell>
          <cell r="C2013">
            <v>43753</v>
          </cell>
          <cell r="D2013" t="str">
            <v>-</v>
          </cell>
          <cell r="E2013" t="str">
            <v>AFC Drawings</v>
          </cell>
          <cell r="F2013" t="str">
            <v>-</v>
          </cell>
          <cell r="G2013" t="str">
            <v>02 drawings</v>
          </cell>
        </row>
        <row r="2014">
          <cell r="A2014" t="str">
            <v>KHF-00-104265-RA-6038-01314-0000-4</v>
          </cell>
          <cell r="B2014" t="str">
            <v>KHF_AIP_D_EXT_01471</v>
          </cell>
          <cell r="C2014">
            <v>43753</v>
          </cell>
          <cell r="D2014" t="str">
            <v>KHF-00-104265-RA-6038-01314-0000</v>
          </cell>
          <cell r="E2014" t="str">
            <v>Ferrite Testing Procedure</v>
          </cell>
          <cell r="F2014">
            <v>4</v>
          </cell>
          <cell r="G2014" t="str">
            <v>Code A</v>
          </cell>
        </row>
        <row r="2015">
          <cell r="A2015" t="str">
            <v>KHF-00-104265-BA-6070-01314-0000-1</v>
          </cell>
          <cell r="B2015" t="str">
            <v>KHF_AIP_D_EXT_01472</v>
          </cell>
          <cell r="C2015">
            <v>43753</v>
          </cell>
          <cell r="D2015" t="str">
            <v>KHF-00-104265-BA-6070-01314-0000</v>
          </cell>
          <cell r="E2015" t="str">
            <v>Method Statement for GTG and its Auxiliaries Piping Hydrostatic Pressure Test</v>
          </cell>
          <cell r="F2015">
            <v>1</v>
          </cell>
          <cell r="G2015" t="str">
            <v>Code B</v>
          </cell>
        </row>
        <row r="2016">
          <cell r="A2016" t="str">
            <v>KHF-00-104265-HX-6019-10017-0000-4</v>
          </cell>
          <cell r="B2016" t="str">
            <v>KHF_AIP_D_EXT_01473</v>
          </cell>
          <cell r="C2016">
            <v>43753</v>
          </cell>
          <cell r="D2016" t="str">
            <v>KHF-00-104265-HX-6019-10017-0000</v>
          </cell>
          <cell r="E2016" t="str">
            <v>EMERGENCY RESPONSE PROCEDURE</v>
          </cell>
          <cell r="F2016">
            <v>4</v>
          </cell>
          <cell r="G2016" t="str">
            <v>Code B</v>
          </cell>
        </row>
        <row r="2017">
          <cell r="A2017" t="str">
            <v>KHF-00-104265-BA-6065-01313-0000-4</v>
          </cell>
          <cell r="B2017" t="str">
            <v>KHF_AIP_D_EXT_01474</v>
          </cell>
          <cell r="C2017">
            <v>43754</v>
          </cell>
          <cell r="D2017" t="str">
            <v>KHF-00-104265-BA-6065-01313-0000</v>
          </cell>
          <cell r="E2017" t="str">
            <v>WPS &amp; PQR REGISTER - NON BOILER EXTERNAL AND GENERAL PIPING (Non-Sour Service)</v>
          </cell>
          <cell r="F2017">
            <v>4</v>
          </cell>
          <cell r="G2017" t="str">
            <v>Code C</v>
          </cell>
        </row>
        <row r="2018">
          <cell r="A2018" t="str">
            <v>KHF-00-104265-BA-6070-41022-0000-1</v>
          </cell>
          <cell r="B2018" t="str">
            <v>KHF_AIP_D_EXT_01475</v>
          </cell>
          <cell r="C2018">
            <v>43755</v>
          </cell>
          <cell r="D2018" t="str">
            <v>KHF-00-104265-BA-6070-41022-0000</v>
          </cell>
          <cell r="E2018" t="str">
            <v>METHOD STATEMENT FOR CONCRETE REPAIR WORK AT OFF PLOT</v>
          </cell>
          <cell r="F2018">
            <v>1</v>
          </cell>
          <cell r="G2018" t="str">
            <v>Code C</v>
          </cell>
        </row>
        <row r="2019">
          <cell r="A2019" t="str">
            <v>KHF-00-104265-AA-3341-01304-0000-2</v>
          </cell>
          <cell r="B2019" t="str">
            <v>KHF_AIP_D_EXT_01476</v>
          </cell>
          <cell r="C2019">
            <v>43758</v>
          </cell>
          <cell r="D2019" t="str">
            <v>KHF-00-104265-AA-3341-01304-0000</v>
          </cell>
          <cell r="E2019" t="str">
            <v>CV OF MR. KIRUBAKARAN K - HYDROTEST ENGINEER</v>
          </cell>
          <cell r="F2019">
            <v>2</v>
          </cell>
          <cell r="G2019" t="str">
            <v>Code A</v>
          </cell>
        </row>
        <row r="2020">
          <cell r="A2020" t="str">
            <v>KHF-00-104265-BA-6070-01401-0000-2</v>
          </cell>
          <cell r="B2020" t="str">
            <v>KHF_AIP_D_EXT_01477</v>
          </cell>
          <cell r="C2020">
            <v>43758</v>
          </cell>
          <cell r="D2020" t="str">
            <v>KHF-00-104265-BA-6070-01401-0000</v>
          </cell>
          <cell r="E2020" t="str">
            <v>Procedure for the Application of Fusion Bonded Epoxy Coating To the Internal Surface of Individual Bends, Fittings and spool pieces</v>
          </cell>
          <cell r="F2020">
            <v>2</v>
          </cell>
          <cell r="G2020" t="str">
            <v>Code A</v>
          </cell>
        </row>
        <row r="2021">
          <cell r="A2021" t="str">
            <v>KHF-00-104265-QA-6050-32009-0000-2</v>
          </cell>
          <cell r="B2021" t="str">
            <v>KHF_AIP_D_EXT_01478</v>
          </cell>
          <cell r="C2021">
            <v>43758</v>
          </cell>
          <cell r="D2021" t="str">
            <v>KHF-00-104265-QA-6050-32009-0000</v>
          </cell>
          <cell r="E2021" t="str">
            <v>QCP for Hydrostatic Testing of SS Corrosion Inhibitor Tanks @ YKP Site</v>
          </cell>
          <cell r="F2021">
            <v>2</v>
          </cell>
          <cell r="G2021" t="str">
            <v>Code A</v>
          </cell>
        </row>
        <row r="2022">
          <cell r="A2022" t="str">
            <v>KHF-00-104265-RA-8241-51246-0000-1</v>
          </cell>
          <cell r="B2022" t="str">
            <v>KHF_AIP_D_EXT_01479</v>
          </cell>
          <cell r="C2022">
            <v>43758</v>
          </cell>
          <cell r="D2022" t="str">
            <v>KHF-00-104265-RA-8241-51246-0000</v>
          </cell>
          <cell r="E2022" t="str">
            <v>Material Approval Sheet for Hilti HSA Stud Anchor-M20 for Modular skid installation in wellheads</v>
          </cell>
          <cell r="F2022">
            <v>1</v>
          </cell>
          <cell r="G2022" t="str">
            <v>Code C</v>
          </cell>
        </row>
        <row r="2023">
          <cell r="A2023" t="str">
            <v>---</v>
          </cell>
          <cell r="B2023" t="str">
            <v>KHF_AIP_D_EXT_01480</v>
          </cell>
          <cell r="C2023">
            <v>43759</v>
          </cell>
          <cell r="D2023" t="str">
            <v>-</v>
          </cell>
          <cell r="E2023" t="str">
            <v>AFC Drawings</v>
          </cell>
          <cell r="F2023" t="str">
            <v>-</v>
          </cell>
          <cell r="G2023" t="str">
            <v>03 drawings</v>
          </cell>
        </row>
        <row r="2024">
          <cell r="A2024" t="str">
            <v>KHF-00-104265-RA-6038-00609-0000-5</v>
          </cell>
          <cell r="B2024" t="str">
            <v>KHF_AIP_D_EXT_01481</v>
          </cell>
          <cell r="C2024">
            <v>43759</v>
          </cell>
          <cell r="D2024" t="str">
            <v>KHF-00-104265-RA-6038-00609-0000</v>
          </cell>
          <cell r="E2024" t="str">
            <v>VISUAL EXAMINATION PROCEDURE FOR CS / LTCS PIPING SPOOLS</v>
          </cell>
          <cell r="F2024">
            <v>5</v>
          </cell>
          <cell r="G2024" t="str">
            <v>Code A</v>
          </cell>
        </row>
        <row r="2025">
          <cell r="A2025" t="str">
            <v>KHF-00-104265-RA-8241-51247-0000-1</v>
          </cell>
          <cell r="B2025" t="str">
            <v>KHF_AIP_D_EXT_01482</v>
          </cell>
          <cell r="C2025">
            <v>43760</v>
          </cell>
          <cell r="D2025" t="str">
            <v>KHF-00-104265-RA-8241-51247-0000</v>
          </cell>
          <cell r="E2025" t="str">
            <v>MATERIAL APPROVAL SHEET FOR BENCHMARK NON-FERROUS IDENTIFICATION TABLET</v>
          </cell>
          <cell r="F2025">
            <v>1</v>
          </cell>
          <cell r="G2025" t="str">
            <v>Code B</v>
          </cell>
        </row>
        <row r="2026">
          <cell r="A2026" t="str">
            <v>KHF-00-104265-BA-6070-42039-0000-1</v>
          </cell>
          <cell r="B2026" t="str">
            <v>KHF_AIP_D_EXT_01483</v>
          </cell>
          <cell r="C2026">
            <v>43762</v>
          </cell>
          <cell r="D2026" t="str">
            <v>KHF-00-104265-BA-6070-42039-0000</v>
          </cell>
          <cell r="E2026" t="str">
            <v>Method Statement for Lifting and Placement of Flange Pits</v>
          </cell>
          <cell r="F2026">
            <v>1</v>
          </cell>
          <cell r="G2026" t="str">
            <v>Code C</v>
          </cell>
        </row>
        <row r="2027">
          <cell r="A2027" t="str">
            <v>KHF-00-104265-BA-6070-42043-0000-1</v>
          </cell>
          <cell r="B2027" t="str">
            <v>KHF_AIP_D_EXT_01484</v>
          </cell>
          <cell r="C2027">
            <v>43762</v>
          </cell>
          <cell r="D2027" t="str">
            <v>KHF-00-104265-BA-6070-42043-0000</v>
          </cell>
          <cell r="E2027" t="str">
            <v>METHOD STATEMENT FOR LIFTING AND PLACEMENT OF DUCT BANKS</v>
          </cell>
          <cell r="F2027">
            <v>1</v>
          </cell>
          <cell r="G2027" t="str">
            <v>Code C</v>
          </cell>
        </row>
        <row r="2028">
          <cell r="A2028" t="str">
            <v>KHF-00-104265-RA-8241-51093-0000-2</v>
          </cell>
          <cell r="B2028" t="str">
            <v>KHF_AIP_D_EXT_01485</v>
          </cell>
          <cell r="C2028">
            <v>43762</v>
          </cell>
          <cell r="D2028" t="str">
            <v>KHF-00-104265-RA-8241-51093-0000</v>
          </cell>
          <cell r="E2028" t="str">
            <v>MATERIAL APPROVAL SHEET FOR GLASS DOOR AND FIXED GLASS WINDOW / VENTILATORS</v>
          </cell>
          <cell r="F2028">
            <v>2</v>
          </cell>
          <cell r="G2028" t="str">
            <v>Code B</v>
          </cell>
        </row>
        <row r="2029">
          <cell r="A2029" t="str">
            <v>KHF-00-104265-RA-8241-51196-0000-2</v>
          </cell>
          <cell r="B2029" t="str">
            <v>KHF_AIP_D_EXT_01486</v>
          </cell>
          <cell r="C2029">
            <v>43762</v>
          </cell>
          <cell r="D2029" t="str">
            <v>KHF-00-104265-RA-8241-51196-0000</v>
          </cell>
          <cell r="E2029" t="str">
            <v>MATERIAL APPROVAL SHEET FOR MASTER SEAL PG470 AND GG470 &amp; MASTER SEAL P 101 SEALANT PRIMER</v>
          </cell>
          <cell r="F2029">
            <v>2</v>
          </cell>
          <cell r="G2029" t="str">
            <v>Code B</v>
          </cell>
        </row>
        <row r="2030">
          <cell r="A2030" t="str">
            <v>KHF-00-104265-BA-6070-01602-0000-2</v>
          </cell>
          <cell r="B2030" t="str">
            <v>KHF_AIP_D_EXT_01487</v>
          </cell>
          <cell r="C2030">
            <v>43765</v>
          </cell>
          <cell r="D2030" t="str">
            <v>KHF-00-104265-BA-6070-01602-0000</v>
          </cell>
          <cell r="E2030" t="str">
            <v>Method Statement for Surface Preparation and Painting Procedure of Small Bore Pipes (PCS-1, PCS-3, PCS-5 and PCS-6)</v>
          </cell>
          <cell r="F2030">
            <v>2</v>
          </cell>
          <cell r="G2030" t="str">
            <v>Code A</v>
          </cell>
        </row>
        <row r="2031">
          <cell r="A2031" t="str">
            <v>KHF-00-104265-QA-5733-24001-0000-5</v>
          </cell>
          <cell r="B2031" t="str">
            <v>KHF_AIP_D_EXT_01488</v>
          </cell>
          <cell r="C2031">
            <v>43765</v>
          </cell>
          <cell r="D2031" t="str">
            <v>KHF-00-104265-QA-5733-24001-0000</v>
          </cell>
          <cell r="E2031" t="str">
            <v>Inspection &amp; Test Plan - Instrument Cable Laying &amp; Cable Tray Installation</v>
          </cell>
          <cell r="F2031">
            <v>5</v>
          </cell>
          <cell r="G2031" t="str">
            <v>Code A</v>
          </cell>
        </row>
        <row r="2032">
          <cell r="A2032" t="str">
            <v>KHF-00-104265-QA-5733-24002-0000-4</v>
          </cell>
          <cell r="B2032" t="str">
            <v>KHF_AIP_D_EXT_01488</v>
          </cell>
          <cell r="C2032">
            <v>43765</v>
          </cell>
          <cell r="D2032" t="str">
            <v>KHF-00-104265-QA-5733-24002-0000</v>
          </cell>
          <cell r="E2032" t="str">
            <v>Inspection &amp; Test Plan - Cable Glanding, Termination and Earthing</v>
          </cell>
          <cell r="F2032">
            <v>4</v>
          </cell>
          <cell r="G2032" t="str">
            <v>Code A</v>
          </cell>
        </row>
        <row r="2033">
          <cell r="A2033" t="str">
            <v>KHF-00-104265-HX-5798-10004-0000-5</v>
          </cell>
          <cell r="B2033" t="str">
            <v>KHF_AIP_D_EXT_01489</v>
          </cell>
          <cell r="C2033">
            <v>43766</v>
          </cell>
          <cell r="D2033" t="str">
            <v>KHF-00-104265-HX-5798-10004-0000</v>
          </cell>
          <cell r="E2033" t="str">
            <v>Contract HSE Plan</v>
          </cell>
          <cell r="F2033">
            <v>5</v>
          </cell>
          <cell r="G2033" t="str">
            <v>Code B</v>
          </cell>
        </row>
        <row r="2034">
          <cell r="A2034" t="str">
            <v>KHF-00-104265-HX-5880-10032-0000-2</v>
          </cell>
          <cell r="B2034" t="str">
            <v>KHF_AIP_D_EXT_01490</v>
          </cell>
          <cell r="C2034">
            <v>43766</v>
          </cell>
          <cell r="D2034" t="str">
            <v>KHF-00-104265-HX-5880-10032-0000</v>
          </cell>
          <cell r="E2034" t="str">
            <v>PROJECT AND HSE INDUCTION FOR YIBAL KHUFF PROJECT</v>
          </cell>
          <cell r="F2034">
            <v>2</v>
          </cell>
          <cell r="G2034" t="str">
            <v>Code B</v>
          </cell>
        </row>
        <row r="2035">
          <cell r="A2035" t="str">
            <v>---</v>
          </cell>
          <cell r="B2035" t="str">
            <v>KHF_AIP_D_EXT_01491</v>
          </cell>
          <cell r="C2035">
            <v>43768</v>
          </cell>
          <cell r="D2035" t="str">
            <v>-</v>
          </cell>
          <cell r="E2035" t="str">
            <v>AFC Drawings</v>
          </cell>
          <cell r="F2035" t="str">
            <v>-</v>
          </cell>
          <cell r="G2035" t="str">
            <v>02 drawings</v>
          </cell>
        </row>
        <row r="2036">
          <cell r="A2036" t="str">
            <v>KHF-00-104265-BA-6070-41012-0000-2</v>
          </cell>
          <cell r="B2036" t="str">
            <v>KHF_AIP_D_EXT_01492</v>
          </cell>
          <cell r="C2036">
            <v>43768</v>
          </cell>
          <cell r="D2036" t="str">
            <v>KHF-00-104265-BA-6070-41012-0000</v>
          </cell>
          <cell r="E2036" t="str">
            <v>Method Statement for Extended Hour Working - Civil Works of GIS, GTG Building and GTG Equipment Area, GIS Surrounding &amp; Transformer Area, GTG Surrounding &amp; Transformer Area</v>
          </cell>
          <cell r="F2036">
            <v>2</v>
          </cell>
          <cell r="G2036" t="str">
            <v>Code A</v>
          </cell>
        </row>
        <row r="2037">
          <cell r="A2037" t="str">
            <v>---</v>
          </cell>
          <cell r="B2037" t="str">
            <v>KHF_AIP_D_EXT_01493</v>
          </cell>
          <cell r="C2037">
            <v>43768</v>
          </cell>
          <cell r="D2037" t="str">
            <v>-</v>
          </cell>
          <cell r="E2037" t="str">
            <v>AFC Drawings</v>
          </cell>
          <cell r="F2037" t="str">
            <v>-</v>
          </cell>
          <cell r="G2037" t="str">
            <v>01 drawing</v>
          </cell>
        </row>
        <row r="2038">
          <cell r="A2038" t="str">
            <v>KHF-00-104265-BA-6070-42028-0000-4</v>
          </cell>
          <cell r="B2038" t="str">
            <v>KHF_AIP_D_EXT_01494</v>
          </cell>
          <cell r="C2038">
            <v>43769</v>
          </cell>
          <cell r="D2038" t="str">
            <v>KHF-00-104265-BA-6070-42028-0000</v>
          </cell>
          <cell r="E2038" t="str">
            <v>METHOD STATEMENT FOR ABOVE GROUND SECTIONS HYDROTESTING OF CS PIPELINES</v>
          </cell>
          <cell r="F2038">
            <v>4</v>
          </cell>
          <cell r="G2038" t="str">
            <v>Code A</v>
          </cell>
        </row>
        <row r="2039">
          <cell r="A2039" t="str">
            <v>KHF-00-104265-AA-3341-00164-0000-2</v>
          </cell>
          <cell r="B2039" t="str">
            <v>KHF_AIP_D_EXT_01495</v>
          </cell>
          <cell r="C2039">
            <v>43769</v>
          </cell>
          <cell r="D2039" t="str">
            <v>KHF-00-104265-AA-3341-00164-0000</v>
          </cell>
          <cell r="E2039" t="str">
            <v>CV OF MR. VASIM ALIJI VAHORA - HYDRO TEST ENGINEER</v>
          </cell>
          <cell r="F2039">
            <v>2</v>
          </cell>
          <cell r="G2039" t="str">
            <v>Code D</v>
          </cell>
        </row>
        <row r="2040">
          <cell r="A2040" t="str">
            <v>KHF-00-104265-AA-3341-60181-0000-1</v>
          </cell>
          <cell r="B2040" t="str">
            <v>KHF_AIP_D_EXT_01496</v>
          </cell>
          <cell r="C2040">
            <v>43774</v>
          </cell>
          <cell r="D2040" t="str">
            <v>KHF-00-104265-AA-3341-60181-0000</v>
          </cell>
          <cell r="E2040" t="str">
            <v>CV OF MR. S SAMPATH - HYDROTEST ENGINEER (PIPELINE)</v>
          </cell>
          <cell r="F2040">
            <v>1</v>
          </cell>
          <cell r="G2040" t="str">
            <v>Code D</v>
          </cell>
        </row>
        <row r="2041">
          <cell r="A2041" t="str">
            <v>KHF-00-104265-BA-6070-43017-0000-1</v>
          </cell>
          <cell r="B2041" t="str">
            <v>KHF_AIP_D_EXT_01497</v>
          </cell>
          <cell r="C2041">
            <v>43774</v>
          </cell>
          <cell r="D2041" t="str">
            <v>KHF-00-104265-BA-6070-43017-0000</v>
          </cell>
          <cell r="E2041" t="str">
            <v>Method Statement for Erection of Generator Circuit Breaker Switch Board - G23007-SB</v>
          </cell>
          <cell r="F2041">
            <v>1</v>
          </cell>
          <cell r="G2041" t="str">
            <v>Code A</v>
          </cell>
        </row>
        <row r="2042">
          <cell r="A2042" t="str">
            <v>KHF-00-104265-BA-6070-43018-0000-1</v>
          </cell>
          <cell r="B2042" t="str">
            <v>KHF_AIP_D_EXT_01498</v>
          </cell>
          <cell r="C2042">
            <v>43774</v>
          </cell>
          <cell r="D2042" t="str">
            <v>KHF-00-104265-BA-6070-43018-0000</v>
          </cell>
          <cell r="E2042" t="str">
            <v>Method Statement for 110 MVA Transformer Stability Test</v>
          </cell>
          <cell r="F2042">
            <v>1</v>
          </cell>
          <cell r="G2042" t="str">
            <v>Code A</v>
          </cell>
        </row>
        <row r="2043">
          <cell r="A2043" t="str">
            <v>KHF-00-104265-BA-6070-41023-0000-1</v>
          </cell>
          <cell r="B2043" t="str">
            <v>KHF_AIP_D_EXT_01499</v>
          </cell>
          <cell r="C2043">
            <v>43775</v>
          </cell>
          <cell r="D2043" t="str">
            <v>KHF-00-104265-BA-6070-41023-0000</v>
          </cell>
          <cell r="E2043" t="str">
            <v>Method Statement for Equipment Foundation and Tank-T Foundation Grouting (Non Shrink Cementitious Based Grout)</v>
          </cell>
          <cell r="F2043">
            <v>1</v>
          </cell>
          <cell r="G2043" t="str">
            <v>Code C</v>
          </cell>
        </row>
        <row r="2044">
          <cell r="A2044" t="str">
            <v>KHF-00-104265-HX-6180-10012-0000-1</v>
          </cell>
          <cell r="B2044" t="str">
            <v>KHF_AIP_D_EXT_01500</v>
          </cell>
          <cell r="C2044">
            <v>43775</v>
          </cell>
          <cell r="D2044" t="str">
            <v>KHF-00-104265-HX-6180-10012-0000</v>
          </cell>
          <cell r="E2044" t="str">
            <v>Permit to Work Procedure (Greenfield)</v>
          </cell>
          <cell r="F2044">
            <v>1</v>
          </cell>
          <cell r="G2044" t="str">
            <v>Code B</v>
          </cell>
        </row>
        <row r="2045">
          <cell r="A2045" t="str">
            <v>KHF-00-104265-AA-3341-60176-0000-2</v>
          </cell>
          <cell r="B2045" t="str">
            <v>KHF_AIP_D_EXT_01501</v>
          </cell>
          <cell r="C2045">
            <v>43776</v>
          </cell>
          <cell r="D2045" t="str">
            <v>KHF-00-104265-AA-3341-60176-0000</v>
          </cell>
          <cell r="E2045" t="str">
            <v>CV of Mr. Abdullah Al Hinai - QC Inspector - Civil</v>
          </cell>
          <cell r="F2045">
            <v>2</v>
          </cell>
          <cell r="G2045" t="str">
            <v>Code A</v>
          </cell>
        </row>
        <row r="2046">
          <cell r="A2046" t="str">
            <v>KHF-00-104265-BA-6070-45001-0000-1</v>
          </cell>
          <cell r="B2046" t="str">
            <v>KHF_AIP_D_EXT_01502</v>
          </cell>
          <cell r="C2046">
            <v>43776</v>
          </cell>
          <cell r="D2046" t="str">
            <v>KHF-00-104265-BA-6070-45001-0000</v>
          </cell>
          <cell r="E2046" t="str">
            <v>METHOD STATEMENT FOR TRENCHING, POST PADDING &amp; BACK FILLING - GRE FLOW LINE - XINDA</v>
          </cell>
          <cell r="F2046">
            <v>1</v>
          </cell>
          <cell r="G2046" t="str">
            <v>Code B</v>
          </cell>
        </row>
        <row r="2047">
          <cell r="A2047" t="str">
            <v>KHF-00-104265-BA-6070-45002-0000-1</v>
          </cell>
          <cell r="B2047" t="str">
            <v>KHF_AIP_D_EXT_01503</v>
          </cell>
          <cell r="C2047">
            <v>43780</v>
          </cell>
          <cell r="D2047" t="str">
            <v>KHF-00-104265-BA-6070-45002-0000</v>
          </cell>
          <cell r="E2047" t="str">
            <v>METHOD STATEMENT OF FLANGE TIGHTENING - GRE FLOW LINE - XINDA</v>
          </cell>
          <cell r="F2047">
            <v>1</v>
          </cell>
          <cell r="G2047" t="str">
            <v>Code B</v>
          </cell>
        </row>
        <row r="2048">
          <cell r="A2048" t="str">
            <v>KHF-00-104265-BA-6070-45003-0000-1</v>
          </cell>
          <cell r="B2048" t="str">
            <v>KHF_AIP_D_EXT_01503</v>
          </cell>
          <cell r="C2048">
            <v>43780</v>
          </cell>
          <cell r="D2048" t="str">
            <v>KHF-00-104265-BA-6070-45003-0000</v>
          </cell>
          <cell r="E2048" t="str">
            <v>METHOD STATEMENT FOR FIELD THREAD FABRICATION - GRE FLOW LINE- XINDA</v>
          </cell>
          <cell r="F2048">
            <v>1</v>
          </cell>
          <cell r="G2048" t="str">
            <v>Code A</v>
          </cell>
        </row>
        <row r="2049">
          <cell r="A2049" t="str">
            <v>KHF-00-104265-BA-6070-45004-0000-1</v>
          </cell>
          <cell r="B2049" t="str">
            <v>KHF_AIP_D_EXT_01503</v>
          </cell>
          <cell r="C2049">
            <v>43780</v>
          </cell>
          <cell r="D2049" t="str">
            <v>KHF-00-104265-BA-6070-45004-0000</v>
          </cell>
          <cell r="E2049" t="str">
            <v>METHOD STATEMENT FOR FIELD JOINTING - GRE FLOW LINE- XINDA</v>
          </cell>
          <cell r="F2049">
            <v>1</v>
          </cell>
          <cell r="G2049" t="str">
            <v>Code B</v>
          </cell>
        </row>
        <row r="2050">
          <cell r="A2050" t="str">
            <v>KHF-00-104265-BA-6070-45005-0000-1</v>
          </cell>
          <cell r="B2050" t="str">
            <v>KHF_AIP_D_EXT_01503</v>
          </cell>
          <cell r="C2050">
            <v>43780</v>
          </cell>
          <cell r="D2050" t="str">
            <v>KHF-00-104265-BA-6070-45005-0000</v>
          </cell>
          <cell r="E2050" t="str">
            <v>METHOD STATEMENT- ROAD &amp; WADI CROSSING - GRE FLOW LINE- XINDA</v>
          </cell>
          <cell r="F2050">
            <v>1</v>
          </cell>
          <cell r="G2050" t="str">
            <v>Code B</v>
          </cell>
        </row>
        <row r="2051">
          <cell r="A2051" t="str">
            <v>KHF-00-104265-BA-6070-45006-0000-1</v>
          </cell>
          <cell r="B2051" t="str">
            <v>KHF_AIP_D_EXT_01503</v>
          </cell>
          <cell r="C2051">
            <v>43780</v>
          </cell>
          <cell r="D2051" t="str">
            <v>KHF-00-104265-BA-6070-45006-0000</v>
          </cell>
          <cell r="E2051" t="str">
            <v>METHOD STATEMENT FOR FIELD HYDROSTATIC TEST-GRE FLOW LINE- XINDA</v>
          </cell>
          <cell r="F2051">
            <v>1</v>
          </cell>
          <cell r="G2051" t="str">
            <v>Code B</v>
          </cell>
        </row>
        <row r="2052">
          <cell r="A2052" t="str">
            <v>KHF-00-104265-CX-6070-10051-0000-2</v>
          </cell>
          <cell r="B2052" t="str">
            <v>KHF_AIP_D_EXT_01504</v>
          </cell>
          <cell r="C2052">
            <v>43780</v>
          </cell>
          <cell r="D2052" t="str">
            <v>KHF-00-104265-CX-6070-10051-0000</v>
          </cell>
          <cell r="E2052" t="str">
            <v>Test Procedure for Measuring Concrete Temperature with Thermocouple</v>
          </cell>
          <cell r="F2052">
            <v>2</v>
          </cell>
          <cell r="G2052" t="str">
            <v>Code A</v>
          </cell>
        </row>
        <row r="2053">
          <cell r="A2053" t="str">
            <v>KHF-00-104265-RA-8241-51005-0000-2</v>
          </cell>
          <cell r="B2053" t="str">
            <v>KHF_AIP_D_EXT_01505</v>
          </cell>
          <cell r="C2053">
            <v>43780</v>
          </cell>
          <cell r="D2053" t="str">
            <v>KHF-00-104265-RA-8241-51005-0000</v>
          </cell>
          <cell r="E2053" t="str">
            <v>MATERIAL APPROVAL SHEET FOR CONCRETE REPAIR PRODUCT - FOSROC RENDEROC HSXTRA</v>
          </cell>
          <cell r="F2053">
            <v>2</v>
          </cell>
          <cell r="G2053" t="str">
            <v>Code A</v>
          </cell>
        </row>
        <row r="2054">
          <cell r="A2054" t="str">
            <v>KHF-00-104265-RA-8241-51055-0000-2</v>
          </cell>
          <cell r="B2054" t="str">
            <v>KHF_AIP_D_EXT_01506</v>
          </cell>
          <cell r="C2054">
            <v>43780</v>
          </cell>
          <cell r="D2054" t="str">
            <v>KHF-00-104265-RA-8241-51055-0000</v>
          </cell>
          <cell r="E2054" t="str">
            <v>MATERIAL APPROVAL SHEET FOR WELDED STEEL FABRIC</v>
          </cell>
          <cell r="F2054">
            <v>2</v>
          </cell>
          <cell r="G2054" t="str">
            <v>Code A</v>
          </cell>
        </row>
        <row r="2055">
          <cell r="A2055" t="str">
            <v>KHF-00-104265-RA-8241-51239-0000-1</v>
          </cell>
          <cell r="B2055" t="str">
            <v>KHF_AIP_D_EXT_01507</v>
          </cell>
          <cell r="C2055">
            <v>43780</v>
          </cell>
          <cell r="D2055" t="str">
            <v>KHF-00-104265-RA-8241-51239-0000</v>
          </cell>
          <cell r="E2055" t="str">
            <v>MATERIAL APPROVAL SHEET FOR HYDROPHILIC SEALANT FOSROC SUPERCAST SW 30</v>
          </cell>
          <cell r="F2055">
            <v>1</v>
          </cell>
          <cell r="G2055" t="str">
            <v>Code A</v>
          </cell>
        </row>
        <row r="2056">
          <cell r="A2056" t="str">
            <v>KHF-00-104265-RA-8241-51241-0000-1</v>
          </cell>
          <cell r="B2056" t="str">
            <v>KHF_AIP_D_EXT_01507</v>
          </cell>
          <cell r="C2056">
            <v>43780</v>
          </cell>
          <cell r="D2056" t="str">
            <v>KHF-00-104265-RA-8241-51241-0000</v>
          </cell>
          <cell r="E2056" t="str">
            <v>MATERIAL APPROVAL SHEET FOR FOSROC NITOMORTAR S</v>
          </cell>
          <cell r="F2056">
            <v>1</v>
          </cell>
          <cell r="G2056" t="str">
            <v>Code A</v>
          </cell>
        </row>
        <row r="2057">
          <cell r="A2057" t="str">
            <v>---</v>
          </cell>
          <cell r="B2057" t="str">
            <v>KHF_AIP_D_EXT_01508</v>
          </cell>
          <cell r="C2057">
            <v>43781</v>
          </cell>
          <cell r="D2057" t="str">
            <v>-</v>
          </cell>
          <cell r="E2057" t="str">
            <v>AFC Drawings</v>
          </cell>
          <cell r="F2057" t="str">
            <v>-</v>
          </cell>
          <cell r="G2057" t="str">
            <v>34 drawings</v>
          </cell>
        </row>
        <row r="2058">
          <cell r="A2058" t="str">
            <v>KHF-00-104265-BA-6070-45007-0000-1</v>
          </cell>
          <cell r="B2058" t="str">
            <v>KHF_AIP_D_EXT_01509</v>
          </cell>
          <cell r="C2058">
            <v>43781</v>
          </cell>
          <cell r="D2058" t="str">
            <v>KHF-00-104265-BA-6070-45007-0000</v>
          </cell>
          <cell r="E2058" t="str">
            <v>TRAINING &amp; CREW QUALIFICATION PROCEDURE - GRE FLOW LINE - XINDA</v>
          </cell>
          <cell r="F2058">
            <v>1</v>
          </cell>
          <cell r="G2058" t="str">
            <v>Code A</v>
          </cell>
        </row>
        <row r="2059">
          <cell r="A2059" t="str">
            <v>KHF-00-104265-JA-4372-10090-0000-1</v>
          </cell>
          <cell r="B2059" t="str">
            <v>KHF_AIP_D_EXT_01510</v>
          </cell>
          <cell r="C2059">
            <v>43781</v>
          </cell>
          <cell r="D2059" t="str">
            <v>KHF-00-104265-JA-4372-10090-0000</v>
          </cell>
          <cell r="E2059" t="str">
            <v>Final Documentation Handover Index - Off Plot YKP</v>
          </cell>
          <cell r="F2059">
            <v>1</v>
          </cell>
          <cell r="G2059" t="str">
            <v>Code B</v>
          </cell>
        </row>
        <row r="2060">
          <cell r="A2060" t="str">
            <v>KHF-00-104265-QA-5733-22016-0000-1</v>
          </cell>
          <cell r="B2060" t="str">
            <v>KHF_AIP_D_EXT_01511</v>
          </cell>
          <cell r="C2060">
            <v>43781</v>
          </cell>
          <cell r="D2060" t="str">
            <v>KHF-00-104265-QA-5733-22016-0000</v>
          </cell>
          <cell r="E2060" t="str">
            <v>INSPECTION AND TEST PLAN FOR INSTALLATION OF GRE THREADED PIPE LINE - XINDA</v>
          </cell>
          <cell r="F2060">
            <v>1</v>
          </cell>
          <cell r="G2060" t="str">
            <v>Code B</v>
          </cell>
        </row>
        <row r="2061">
          <cell r="A2061" t="str">
            <v>KHF-00-104265-QA-5733-01201-0000-3</v>
          </cell>
          <cell r="B2061" t="str">
            <v>KHF_AIP_D_EXT_01512</v>
          </cell>
          <cell r="C2061">
            <v>43786</v>
          </cell>
          <cell r="D2061" t="str">
            <v>KHF-00-104265-QA-5733-01201-0000</v>
          </cell>
          <cell r="E2061" t="str">
            <v>INSPECTION TEST PLAN FOR PRECAST CONCRETE ELEMENTS</v>
          </cell>
          <cell r="F2061">
            <v>3</v>
          </cell>
          <cell r="G2061" t="str">
            <v>Code A</v>
          </cell>
        </row>
        <row r="2062">
          <cell r="A2062" t="str">
            <v>KHF-00-104265-QA-5733-01303-0000-2</v>
          </cell>
          <cell r="B2062" t="str">
            <v>KHF_AIP_D_EXT_01513</v>
          </cell>
          <cell r="C2062">
            <v>43786</v>
          </cell>
          <cell r="D2062" t="str">
            <v>KHF-00-104265-QA-5733-01303-0000</v>
          </cell>
          <cell r="E2062" t="str">
            <v>ITP for the Surface Preparation &amp; Painting of field welded Joints</v>
          </cell>
          <cell r="F2062">
            <v>2</v>
          </cell>
          <cell r="G2062" t="str">
            <v>Code A</v>
          </cell>
        </row>
        <row r="2063">
          <cell r="A2063" t="str">
            <v>KHF-00-104265-QA-5733-23013-0000-1</v>
          </cell>
          <cell r="B2063" t="str">
            <v>KHF_AIP_D_EXT_01514</v>
          </cell>
          <cell r="C2063">
            <v>43786</v>
          </cell>
          <cell r="D2063" t="str">
            <v>KHF-00-104265-QA-5733-23013-0000</v>
          </cell>
          <cell r="E2063" t="str">
            <v>Inspection &amp; Test Plan for Electrical Heat Tracing System</v>
          </cell>
          <cell r="F2063">
            <v>1</v>
          </cell>
          <cell r="G2063" t="str">
            <v>Code B</v>
          </cell>
        </row>
        <row r="2064">
          <cell r="A2064" t="str">
            <v>KHF-00-104265-RA-8241-51250-0000-1</v>
          </cell>
          <cell r="B2064" t="str">
            <v>KHF_AIP_D_EXT_01515</v>
          </cell>
          <cell r="C2064">
            <v>43786</v>
          </cell>
          <cell r="D2064" t="str">
            <v>KHF-00-104265-RA-8241-51250-0000</v>
          </cell>
          <cell r="E2064" t="str">
            <v>MATERIAL APPROVAL SHEET FOR FREE FLOWING MICRO CONCRETE</v>
          </cell>
          <cell r="F2064">
            <v>1</v>
          </cell>
          <cell r="G2064" t="str">
            <v>Code C</v>
          </cell>
        </row>
        <row r="2065">
          <cell r="A2065" t="str">
            <v>KHF-00-104265-RA-8241-51248-0000-1</v>
          </cell>
          <cell r="B2065" t="str">
            <v>KHF_AIP_D_EXT_01516</v>
          </cell>
          <cell r="C2065">
            <v>43788</v>
          </cell>
          <cell r="D2065" t="str">
            <v>KHF-00-104265-RA-8241-51248-0000</v>
          </cell>
          <cell r="E2065" t="str">
            <v>MATERIAL APPROVAL SHEET FOR LUMINOUS PAINT</v>
          </cell>
          <cell r="F2065">
            <v>1</v>
          </cell>
          <cell r="G2065" t="str">
            <v>Code C</v>
          </cell>
        </row>
        <row r="2066">
          <cell r="A2066" t="str">
            <v>KHF-00-104265-BA-6065-01701-0000-3</v>
          </cell>
          <cell r="B2066" t="str">
            <v>KHF_AIP_D_EXT_01517</v>
          </cell>
          <cell r="C2066">
            <v>43789</v>
          </cell>
          <cell r="D2066" t="str">
            <v>KHF-00-104265-BA-6065-01701-0000</v>
          </cell>
          <cell r="E2066" t="str">
            <v>WPS/Weld map</v>
          </cell>
          <cell r="F2066">
            <v>3</v>
          </cell>
          <cell r="G2066" t="str">
            <v>Code A</v>
          </cell>
        </row>
        <row r="2067">
          <cell r="A2067" t="str">
            <v>KHF-00-104265-BA-6065-01705-0000-3</v>
          </cell>
          <cell r="B2067" t="str">
            <v>KHF_AIP_D_EXT_01517</v>
          </cell>
          <cell r="C2067">
            <v>43789</v>
          </cell>
          <cell r="D2067" t="str">
            <v>KHF-00-104265-BA-6065-01705-0000</v>
          </cell>
          <cell r="E2067" t="str">
            <v>WELDING PROCEDURE SPECIFICATIONS (AI-WPS-T-065)</v>
          </cell>
          <cell r="F2067">
            <v>3</v>
          </cell>
          <cell r="G2067" t="str">
            <v>Code A</v>
          </cell>
        </row>
        <row r="2068">
          <cell r="A2068" t="str">
            <v>KHF-00-104265-BA-6065-01707-0000-3</v>
          </cell>
          <cell r="B2068" t="str">
            <v>KHF_AIP_D_EXT_01517</v>
          </cell>
          <cell r="C2068">
            <v>43789</v>
          </cell>
          <cell r="D2068" t="str">
            <v>KHF-00-104265-BA-6065-01707-0000</v>
          </cell>
          <cell r="E2068" t="str">
            <v>WELDING PROCEDURE SPECIFICATIONS (AI-WPS-TM-196)</v>
          </cell>
          <cell r="F2068">
            <v>3</v>
          </cell>
          <cell r="G2068" t="str">
            <v>Code A</v>
          </cell>
        </row>
        <row r="2069">
          <cell r="A2069" t="str">
            <v>KHF-00-104265-BA-6065-50066-0000-3</v>
          </cell>
          <cell r="B2069" t="str">
            <v>KHF_AIP_D_EXT_01518</v>
          </cell>
          <cell r="C2069">
            <v>43789</v>
          </cell>
          <cell r="D2069" t="str">
            <v>KHF-00-104265-BA-6065-50066-0000</v>
          </cell>
          <cell r="E2069" t="str">
            <v>Welding, NDT &amp; GRE PCAP Control ID Index (Control IDs - 170,176 &amp; 488)</v>
          </cell>
          <cell r="F2069">
            <v>3</v>
          </cell>
          <cell r="G2069" t="str">
            <v>Code B</v>
          </cell>
        </row>
        <row r="2070">
          <cell r="A2070" t="str">
            <v>KHF-00-104265-RA-8241-51027-0000-3</v>
          </cell>
          <cell r="B2070" t="str">
            <v>KHF_AIP_D_EXT_01519</v>
          </cell>
          <cell r="C2070">
            <v>43790</v>
          </cell>
          <cell r="D2070" t="str">
            <v>KHF-00-104265-RA-8241-51027-0000</v>
          </cell>
          <cell r="E2070" t="str">
            <v>MATERIAL APPROVAL SHEET FOR WATER PROOF MEMBRANE / TANKING SYSTEM</v>
          </cell>
          <cell r="F2070">
            <v>3</v>
          </cell>
          <cell r="G2070" t="str">
            <v>Code C</v>
          </cell>
        </row>
        <row r="2071">
          <cell r="A2071" t="str">
            <v>KHF-00-104265-RA-8241-51039-0000-2</v>
          </cell>
          <cell r="B2071" t="str">
            <v>KHF_AIP_D_EXT_01519</v>
          </cell>
          <cell r="C2071">
            <v>43790</v>
          </cell>
          <cell r="D2071" t="str">
            <v>KHF-00-104265-RA-8241-51039-0000</v>
          </cell>
          <cell r="E2071" t="str">
            <v>MATERIAL APPROVAL SHEET FOR 200 MM &amp; 100 MM THICK SOLID BLOCKS (OPC) - 10.50 N/MM2</v>
          </cell>
          <cell r="F2071">
            <v>2</v>
          </cell>
          <cell r="G2071" t="str">
            <v>Code A</v>
          </cell>
        </row>
        <row r="2072">
          <cell r="A2072" t="str">
            <v>KHF-00-104265-RA-8241-51251-0000-1</v>
          </cell>
          <cell r="B2072" t="str">
            <v>KHF_AIP_D_EXT_01520</v>
          </cell>
          <cell r="C2072">
            <v>43790</v>
          </cell>
          <cell r="D2072" t="str">
            <v>KHF-00-104265-RA-8241-51251-0000</v>
          </cell>
          <cell r="E2072" t="str">
            <v>MATERIAL APPROVAL SHEET FOR FOSROC CONBEXTRA - P AND CONBEXTRA - HF PLUS</v>
          </cell>
          <cell r="F2072">
            <v>1</v>
          </cell>
          <cell r="G2072" t="str">
            <v>Code B</v>
          </cell>
        </row>
        <row r="2073">
          <cell r="A2073" t="str">
            <v>-</v>
          </cell>
        </row>
        <row r="2074">
          <cell r="A2074" t="str">
            <v>-</v>
          </cell>
        </row>
        <row r="2075">
          <cell r="A2075" t="str">
            <v>-</v>
          </cell>
        </row>
        <row r="2076">
          <cell r="A2076" t="str">
            <v>-</v>
          </cell>
        </row>
        <row r="2077">
          <cell r="A2077" t="str">
            <v>-</v>
          </cell>
        </row>
        <row r="2078">
          <cell r="A2078" t="str">
            <v>-</v>
          </cell>
        </row>
        <row r="2079">
          <cell r="A2079" t="str">
            <v>-</v>
          </cell>
        </row>
        <row r="2080">
          <cell r="A2080" t="str">
            <v>-</v>
          </cell>
        </row>
        <row r="2081">
          <cell r="A2081" t="str">
            <v>-</v>
          </cell>
        </row>
        <row r="2082">
          <cell r="A2082" t="str">
            <v>-</v>
          </cell>
        </row>
        <row r="2083">
          <cell r="A2083" t="str">
            <v>-</v>
          </cell>
        </row>
        <row r="2084">
          <cell r="A2084" t="str">
            <v>-</v>
          </cell>
        </row>
        <row r="2085">
          <cell r="A2085" t="str">
            <v>-</v>
          </cell>
        </row>
        <row r="2086">
          <cell r="A2086" t="str">
            <v>-</v>
          </cell>
        </row>
        <row r="2087">
          <cell r="A2087" t="str">
            <v>-</v>
          </cell>
        </row>
        <row r="2088">
          <cell r="A2088" t="str">
            <v>-</v>
          </cell>
        </row>
        <row r="2089">
          <cell r="A2089" t="str">
            <v>-</v>
          </cell>
        </row>
        <row r="2090">
          <cell r="A2090" t="str">
            <v>-</v>
          </cell>
        </row>
        <row r="2091">
          <cell r="A2091" t="str">
            <v>-</v>
          </cell>
        </row>
        <row r="2092">
          <cell r="A2092" t="str">
            <v>-</v>
          </cell>
        </row>
        <row r="2093">
          <cell r="A2093" t="str">
            <v>-</v>
          </cell>
        </row>
        <row r="2094">
          <cell r="A2094" t="str">
            <v>-</v>
          </cell>
        </row>
        <row r="2095">
          <cell r="A2095" t="str">
            <v>-</v>
          </cell>
        </row>
        <row r="2096">
          <cell r="A2096" t="str">
            <v>-</v>
          </cell>
        </row>
        <row r="2097">
          <cell r="A2097" t="str">
            <v>-</v>
          </cell>
        </row>
        <row r="2098">
          <cell r="A2098" t="str">
            <v>-</v>
          </cell>
        </row>
        <row r="2099">
          <cell r="A2099" t="str">
            <v>-</v>
          </cell>
        </row>
        <row r="2100">
          <cell r="A2100" t="str">
            <v>-</v>
          </cell>
        </row>
        <row r="2101">
          <cell r="A2101" t="str">
            <v>-</v>
          </cell>
        </row>
        <row r="2102">
          <cell r="A2102" t="str">
            <v>-</v>
          </cell>
        </row>
        <row r="2103">
          <cell r="A2103" t="str">
            <v>-</v>
          </cell>
        </row>
        <row r="2104">
          <cell r="A2104" t="str">
            <v>-</v>
          </cell>
        </row>
        <row r="2105">
          <cell r="A2105" t="str">
            <v>-</v>
          </cell>
        </row>
        <row r="2106">
          <cell r="A2106" t="str">
            <v>-</v>
          </cell>
        </row>
        <row r="2107">
          <cell r="A2107" t="str">
            <v>-</v>
          </cell>
        </row>
        <row r="2108">
          <cell r="A2108" t="str">
            <v>-</v>
          </cell>
        </row>
        <row r="2109">
          <cell r="A2109" t="str">
            <v>-</v>
          </cell>
        </row>
        <row r="2110">
          <cell r="A2110" t="str">
            <v>-</v>
          </cell>
        </row>
        <row r="2111">
          <cell r="A2111" t="str">
            <v>-</v>
          </cell>
        </row>
        <row r="2112">
          <cell r="A2112" t="str">
            <v>-</v>
          </cell>
        </row>
        <row r="2113">
          <cell r="A2113" t="str">
            <v>-</v>
          </cell>
        </row>
        <row r="2114">
          <cell r="A2114" t="str">
            <v>-</v>
          </cell>
        </row>
        <row r="2115">
          <cell r="A2115" t="str">
            <v>-</v>
          </cell>
        </row>
        <row r="2116">
          <cell r="A2116" t="str">
            <v>-</v>
          </cell>
        </row>
        <row r="2117">
          <cell r="A2117" t="str">
            <v>-</v>
          </cell>
        </row>
        <row r="2118">
          <cell r="A2118" t="str">
            <v>-</v>
          </cell>
        </row>
        <row r="2119">
          <cell r="A2119" t="str">
            <v>-</v>
          </cell>
        </row>
        <row r="2120">
          <cell r="A2120" t="str">
            <v>-</v>
          </cell>
        </row>
        <row r="2121">
          <cell r="A2121" t="str">
            <v>-</v>
          </cell>
        </row>
        <row r="2122">
          <cell r="A2122" t="str">
            <v>-</v>
          </cell>
        </row>
        <row r="2123">
          <cell r="A2123" t="str">
            <v>-</v>
          </cell>
        </row>
        <row r="2124">
          <cell r="A2124" t="str">
            <v>-</v>
          </cell>
        </row>
        <row r="2125">
          <cell r="A2125" t="str">
            <v>-</v>
          </cell>
        </row>
        <row r="2126">
          <cell r="A2126" t="str">
            <v>-</v>
          </cell>
        </row>
        <row r="2127">
          <cell r="A2127" t="str">
            <v>-</v>
          </cell>
        </row>
        <row r="2128">
          <cell r="A2128" t="str">
            <v>-</v>
          </cell>
        </row>
        <row r="2129">
          <cell r="A2129" t="str">
            <v>-</v>
          </cell>
        </row>
        <row r="2130">
          <cell r="A2130" t="str">
            <v>-</v>
          </cell>
        </row>
        <row r="2131">
          <cell r="A2131" t="str">
            <v>-</v>
          </cell>
        </row>
        <row r="2132">
          <cell r="A2132" t="str">
            <v>-</v>
          </cell>
        </row>
        <row r="2133">
          <cell r="A2133" t="str">
            <v>-</v>
          </cell>
        </row>
        <row r="2134">
          <cell r="A2134" t="str">
            <v>-</v>
          </cell>
        </row>
        <row r="2135">
          <cell r="A2135" t="str">
            <v>-</v>
          </cell>
        </row>
        <row r="2136">
          <cell r="A2136" t="str">
            <v>-</v>
          </cell>
        </row>
        <row r="2137">
          <cell r="A2137" t="str">
            <v>-</v>
          </cell>
        </row>
        <row r="2138">
          <cell r="A2138" t="str">
            <v>-</v>
          </cell>
        </row>
        <row r="2139">
          <cell r="A2139" t="str">
            <v>-</v>
          </cell>
        </row>
        <row r="2140">
          <cell r="A2140" t="str">
            <v>-</v>
          </cell>
        </row>
        <row r="2141">
          <cell r="A2141" t="str">
            <v>-</v>
          </cell>
        </row>
        <row r="2142">
          <cell r="A2142" t="str">
            <v>-</v>
          </cell>
        </row>
        <row r="2143">
          <cell r="A2143" t="str">
            <v>-</v>
          </cell>
        </row>
        <row r="2144">
          <cell r="A2144" t="str">
            <v>-</v>
          </cell>
        </row>
        <row r="2145">
          <cell r="A2145" t="str">
            <v>-</v>
          </cell>
        </row>
        <row r="2146">
          <cell r="A2146" t="str">
            <v>-</v>
          </cell>
        </row>
        <row r="2147">
          <cell r="A2147" t="str">
            <v>-</v>
          </cell>
        </row>
        <row r="2148">
          <cell r="A2148" t="str">
            <v>-</v>
          </cell>
        </row>
        <row r="2149">
          <cell r="A2149" t="str">
            <v>-</v>
          </cell>
        </row>
        <row r="2150">
          <cell r="A2150" t="str">
            <v>-</v>
          </cell>
        </row>
        <row r="2151">
          <cell r="A2151" t="str">
            <v>-</v>
          </cell>
        </row>
        <row r="2152">
          <cell r="A2152" t="str">
            <v>-</v>
          </cell>
        </row>
        <row r="2153">
          <cell r="A2153" t="str">
            <v>-</v>
          </cell>
        </row>
        <row r="2154">
          <cell r="A2154" t="str">
            <v>-</v>
          </cell>
        </row>
        <row r="2155">
          <cell r="A2155" t="str">
            <v>-</v>
          </cell>
        </row>
        <row r="2156">
          <cell r="A2156" t="str">
            <v>-</v>
          </cell>
        </row>
        <row r="2157">
          <cell r="A2157" t="str">
            <v>-</v>
          </cell>
        </row>
        <row r="2158">
          <cell r="A2158" t="str">
            <v>-</v>
          </cell>
        </row>
        <row r="2159">
          <cell r="A2159" t="str">
            <v>-</v>
          </cell>
        </row>
        <row r="2160">
          <cell r="A2160" t="str">
            <v>-</v>
          </cell>
        </row>
        <row r="2161">
          <cell r="A2161" t="str">
            <v>-</v>
          </cell>
        </row>
        <row r="2162">
          <cell r="A2162" t="str">
            <v>-</v>
          </cell>
        </row>
        <row r="2163">
          <cell r="A2163" t="str">
            <v>-</v>
          </cell>
        </row>
        <row r="2164">
          <cell r="A2164" t="str">
            <v>-</v>
          </cell>
        </row>
        <row r="2165">
          <cell r="A2165" t="str">
            <v>-</v>
          </cell>
        </row>
        <row r="2166">
          <cell r="A2166" t="str">
            <v>-</v>
          </cell>
        </row>
        <row r="2167">
          <cell r="A2167" t="str">
            <v>-</v>
          </cell>
        </row>
        <row r="2168">
          <cell r="A2168" t="str">
            <v>-</v>
          </cell>
        </row>
        <row r="2169">
          <cell r="A2169" t="str">
            <v>-</v>
          </cell>
        </row>
        <row r="2170">
          <cell r="A2170" t="str">
            <v>-</v>
          </cell>
        </row>
        <row r="2171">
          <cell r="A2171" t="str">
            <v>-</v>
          </cell>
        </row>
        <row r="2172">
          <cell r="A2172" t="str">
            <v>-</v>
          </cell>
        </row>
        <row r="2173">
          <cell r="A2173" t="str">
            <v>-</v>
          </cell>
        </row>
        <row r="2174">
          <cell r="A2174" t="str">
            <v>-</v>
          </cell>
        </row>
        <row r="2175">
          <cell r="A2175" t="str">
            <v>-</v>
          </cell>
        </row>
        <row r="2176">
          <cell r="A2176" t="str">
            <v>-</v>
          </cell>
        </row>
        <row r="2177">
          <cell r="A2177" t="str">
            <v>-</v>
          </cell>
        </row>
        <row r="2178">
          <cell r="A2178" t="str">
            <v>-</v>
          </cell>
        </row>
        <row r="2179">
          <cell r="A2179" t="str">
            <v>-</v>
          </cell>
        </row>
        <row r="2180">
          <cell r="A2180" t="str">
            <v>-</v>
          </cell>
        </row>
        <row r="2181">
          <cell r="A2181" t="str">
            <v>-</v>
          </cell>
        </row>
        <row r="2182">
          <cell r="A2182" t="str">
            <v>-</v>
          </cell>
        </row>
        <row r="2183">
          <cell r="A2183" t="str">
            <v>-</v>
          </cell>
        </row>
        <row r="2184">
          <cell r="A2184" t="str">
            <v>-</v>
          </cell>
        </row>
        <row r="2185">
          <cell r="A2185" t="str">
            <v>-</v>
          </cell>
        </row>
        <row r="2186">
          <cell r="A2186" t="str">
            <v>-</v>
          </cell>
        </row>
        <row r="2187">
          <cell r="A2187" t="str">
            <v>-</v>
          </cell>
        </row>
        <row r="2188">
          <cell r="A2188" t="str">
            <v>-</v>
          </cell>
        </row>
        <row r="2189">
          <cell r="A2189" t="str">
            <v>-</v>
          </cell>
        </row>
        <row r="2190">
          <cell r="A2190" t="str">
            <v>-</v>
          </cell>
        </row>
        <row r="2191">
          <cell r="A2191" t="str">
            <v>-</v>
          </cell>
        </row>
        <row r="2192">
          <cell r="A2192" t="str">
            <v>-</v>
          </cell>
        </row>
        <row r="2193">
          <cell r="A2193" t="str">
            <v>-</v>
          </cell>
        </row>
        <row r="2194">
          <cell r="A2194" t="str">
            <v>-</v>
          </cell>
        </row>
        <row r="2195">
          <cell r="A2195" t="str">
            <v>-</v>
          </cell>
        </row>
        <row r="2196">
          <cell r="A2196" t="str">
            <v>-</v>
          </cell>
        </row>
        <row r="2197">
          <cell r="A2197" t="str">
            <v>-</v>
          </cell>
        </row>
        <row r="2198">
          <cell r="A2198" t="str">
            <v>-</v>
          </cell>
        </row>
        <row r="2199">
          <cell r="A2199" t="str">
            <v>-</v>
          </cell>
        </row>
        <row r="2200">
          <cell r="A2200" t="str">
            <v>-</v>
          </cell>
        </row>
        <row r="2201">
          <cell r="A2201" t="str">
            <v>-</v>
          </cell>
        </row>
        <row r="2202">
          <cell r="A2202" t="str">
            <v>-</v>
          </cell>
        </row>
        <row r="2203">
          <cell r="A2203" t="str">
            <v>-</v>
          </cell>
        </row>
        <row r="2204">
          <cell r="A2204" t="str">
            <v>-</v>
          </cell>
        </row>
        <row r="2205">
          <cell r="A2205" t="str">
            <v>-</v>
          </cell>
        </row>
        <row r="2206">
          <cell r="A2206" t="str">
            <v>-</v>
          </cell>
        </row>
        <row r="2207">
          <cell r="A2207" t="str">
            <v>-</v>
          </cell>
        </row>
        <row r="2208">
          <cell r="A2208" t="str">
            <v>-</v>
          </cell>
        </row>
        <row r="2209">
          <cell r="A2209" t="str">
            <v>-</v>
          </cell>
        </row>
        <row r="2210">
          <cell r="A2210" t="str">
            <v>-</v>
          </cell>
        </row>
        <row r="2211">
          <cell r="A2211" t="str">
            <v>-</v>
          </cell>
        </row>
        <row r="2212">
          <cell r="A2212" t="str">
            <v>-</v>
          </cell>
        </row>
        <row r="2213">
          <cell r="A2213" t="str">
            <v>-</v>
          </cell>
        </row>
        <row r="2214">
          <cell r="A2214" t="str">
            <v>-</v>
          </cell>
        </row>
        <row r="2215">
          <cell r="A2215" t="str">
            <v>-</v>
          </cell>
        </row>
        <row r="2216">
          <cell r="A2216" t="str">
            <v>-</v>
          </cell>
        </row>
        <row r="2217">
          <cell r="A2217" t="str">
            <v>-</v>
          </cell>
        </row>
        <row r="2218">
          <cell r="A2218" t="str">
            <v>-</v>
          </cell>
        </row>
        <row r="2219">
          <cell r="A2219" t="str">
            <v>-</v>
          </cell>
        </row>
        <row r="2220">
          <cell r="A2220" t="str">
            <v>-</v>
          </cell>
        </row>
        <row r="2221">
          <cell r="A2221" t="str">
            <v>-</v>
          </cell>
        </row>
        <row r="2222">
          <cell r="A2222" t="str">
            <v>-</v>
          </cell>
        </row>
        <row r="2223">
          <cell r="A2223" t="str">
            <v>-</v>
          </cell>
        </row>
        <row r="2224">
          <cell r="A2224" t="str">
            <v>-</v>
          </cell>
        </row>
        <row r="2225">
          <cell r="A2225" t="str">
            <v>-</v>
          </cell>
        </row>
        <row r="2226">
          <cell r="A2226" t="str">
            <v>-</v>
          </cell>
        </row>
        <row r="2227">
          <cell r="A2227" t="str">
            <v>-</v>
          </cell>
        </row>
        <row r="2228">
          <cell r="A2228" t="str">
            <v>-</v>
          </cell>
        </row>
        <row r="2229">
          <cell r="A2229" t="str">
            <v>-</v>
          </cell>
        </row>
        <row r="2230">
          <cell r="A2230" t="str">
            <v>-</v>
          </cell>
        </row>
        <row r="2231">
          <cell r="A2231" t="str">
            <v>-</v>
          </cell>
        </row>
        <row r="2232">
          <cell r="A2232" t="str">
            <v>-</v>
          </cell>
        </row>
        <row r="2233">
          <cell r="A2233" t="str">
            <v>-</v>
          </cell>
        </row>
        <row r="2234">
          <cell r="A2234" t="str">
            <v>-</v>
          </cell>
        </row>
        <row r="2235">
          <cell r="A2235" t="str">
            <v>-</v>
          </cell>
        </row>
        <row r="2236">
          <cell r="A2236" t="str">
            <v>-</v>
          </cell>
        </row>
        <row r="2237">
          <cell r="A2237" t="str">
            <v>-</v>
          </cell>
        </row>
        <row r="2238">
          <cell r="A2238" t="str">
            <v>-</v>
          </cell>
        </row>
        <row r="2239">
          <cell r="A2239" t="str">
            <v>-</v>
          </cell>
        </row>
        <row r="2240">
          <cell r="A2240" t="str">
            <v>-</v>
          </cell>
        </row>
        <row r="2241">
          <cell r="A2241" t="str">
            <v>-</v>
          </cell>
        </row>
        <row r="2242">
          <cell r="A2242" t="str">
            <v>-</v>
          </cell>
        </row>
        <row r="2243">
          <cell r="A2243" t="str">
            <v>-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B3:D157"/>
  <sheetViews>
    <sheetView topLeftCell="A130" workbookViewId="0">
      <selection activeCell="C147" sqref="C147"/>
    </sheetView>
  </sheetViews>
  <sheetFormatPr defaultRowHeight="12.75" x14ac:dyDescent="0.2"/>
  <cols>
    <col min="2" max="2" width="42.42578125" style="4" bestFit="1" customWidth="1"/>
    <col min="3" max="3" width="33.140625" bestFit="1" customWidth="1"/>
    <col min="4" max="4" width="78.85546875" bestFit="1" customWidth="1"/>
  </cols>
  <sheetData>
    <row r="3" spans="2:4" x14ac:dyDescent="0.2">
      <c r="B3" s="4" t="s">
        <v>12</v>
      </c>
    </row>
    <row r="4" spans="2:4" x14ac:dyDescent="0.2">
      <c r="B4" s="4">
        <v>1</v>
      </c>
      <c r="C4" s="5" t="s">
        <v>124</v>
      </c>
      <c r="D4" s="5" t="s">
        <v>40</v>
      </c>
    </row>
    <row r="5" spans="2:4" x14ac:dyDescent="0.2">
      <c r="B5" s="4">
        <v>2</v>
      </c>
      <c r="C5" t="s">
        <v>125</v>
      </c>
      <c r="D5" t="s">
        <v>43</v>
      </c>
    </row>
    <row r="6" spans="2:4" x14ac:dyDescent="0.2">
      <c r="B6" s="4">
        <v>3</v>
      </c>
      <c r="C6" t="s">
        <v>126</v>
      </c>
      <c r="D6" t="s">
        <v>6</v>
      </c>
    </row>
    <row r="7" spans="2:4" x14ac:dyDescent="0.2">
      <c r="B7" s="4">
        <v>4</v>
      </c>
      <c r="C7" t="s">
        <v>127</v>
      </c>
      <c r="D7" t="s">
        <v>4</v>
      </c>
    </row>
    <row r="8" spans="2:4" x14ac:dyDescent="0.2">
      <c r="B8" s="4">
        <v>5</v>
      </c>
      <c r="C8" t="s">
        <v>128</v>
      </c>
      <c r="D8" t="s">
        <v>3</v>
      </c>
    </row>
    <row r="9" spans="2:4" x14ac:dyDescent="0.2">
      <c r="B9" s="4">
        <v>6</v>
      </c>
      <c r="C9" t="s">
        <v>129</v>
      </c>
      <c r="D9" t="s">
        <v>5</v>
      </c>
    </row>
    <row r="10" spans="2:4" x14ac:dyDescent="0.2">
      <c r="B10" s="4">
        <v>7</v>
      </c>
      <c r="C10" t="s">
        <v>130</v>
      </c>
      <c r="D10" t="s">
        <v>7</v>
      </c>
    </row>
    <row r="11" spans="2:4" x14ac:dyDescent="0.2">
      <c r="B11" s="4">
        <v>8</v>
      </c>
      <c r="C11" t="s">
        <v>131</v>
      </c>
      <c r="D11" t="s">
        <v>8</v>
      </c>
    </row>
    <row r="12" spans="2:4" x14ac:dyDescent="0.2">
      <c r="B12" s="4">
        <v>9</v>
      </c>
      <c r="C12" t="s">
        <v>132</v>
      </c>
      <c r="D12" t="s">
        <v>9</v>
      </c>
    </row>
    <row r="13" spans="2:4" x14ac:dyDescent="0.2">
      <c r="B13" s="4">
        <v>10</v>
      </c>
      <c r="C13" t="s">
        <v>133</v>
      </c>
      <c r="D13" t="s">
        <v>10</v>
      </c>
    </row>
    <row r="14" spans="2:4" x14ac:dyDescent="0.2">
      <c r="B14" s="4">
        <v>11</v>
      </c>
      <c r="C14" t="s">
        <v>134</v>
      </c>
      <c r="D14" t="s">
        <v>42</v>
      </c>
    </row>
    <row r="15" spans="2:4" x14ac:dyDescent="0.2">
      <c r="B15" s="4">
        <v>12</v>
      </c>
      <c r="C15" t="s">
        <v>135</v>
      </c>
      <c r="D15" t="s">
        <v>46</v>
      </c>
    </row>
    <row r="16" spans="2:4" x14ac:dyDescent="0.2">
      <c r="B16" s="4">
        <v>13</v>
      </c>
      <c r="C16" t="s">
        <v>136</v>
      </c>
      <c r="D16" t="s">
        <v>48</v>
      </c>
    </row>
    <row r="17" spans="2:4" x14ac:dyDescent="0.2">
      <c r="B17" s="4">
        <v>14</v>
      </c>
      <c r="C17" t="s">
        <v>137</v>
      </c>
      <c r="D17" t="s">
        <v>44</v>
      </c>
    </row>
    <row r="18" spans="2:4" x14ac:dyDescent="0.2">
      <c r="B18" s="4">
        <v>15</v>
      </c>
      <c r="C18" t="s">
        <v>138</v>
      </c>
      <c r="D18" t="s">
        <v>45</v>
      </c>
    </row>
    <row r="19" spans="2:4" x14ac:dyDescent="0.2">
      <c r="B19" s="4">
        <v>16</v>
      </c>
      <c r="C19" t="s">
        <v>139</v>
      </c>
      <c r="D19" t="s">
        <v>47</v>
      </c>
    </row>
    <row r="20" spans="2:4" x14ac:dyDescent="0.2">
      <c r="B20" s="4">
        <v>17</v>
      </c>
      <c r="C20" t="s">
        <v>140</v>
      </c>
      <c r="D20" t="s">
        <v>112</v>
      </c>
    </row>
    <row r="21" spans="2:4" x14ac:dyDescent="0.2">
      <c r="B21" s="4">
        <v>18</v>
      </c>
      <c r="C21" t="s">
        <v>141</v>
      </c>
      <c r="D21" t="s">
        <v>113</v>
      </c>
    </row>
    <row r="22" spans="2:4" x14ac:dyDescent="0.2">
      <c r="B22" s="4">
        <v>19</v>
      </c>
      <c r="C22" t="s">
        <v>142</v>
      </c>
      <c r="D22" t="s">
        <v>122</v>
      </c>
    </row>
    <row r="23" spans="2:4" x14ac:dyDescent="0.2">
      <c r="B23" s="4">
        <v>20</v>
      </c>
      <c r="C23" t="s">
        <v>143</v>
      </c>
      <c r="D23" t="s">
        <v>49</v>
      </c>
    </row>
    <row r="24" spans="2:4" x14ac:dyDescent="0.2">
      <c r="B24" s="4">
        <v>21</v>
      </c>
      <c r="C24" t="s">
        <v>144</v>
      </c>
      <c r="D24" t="s">
        <v>50</v>
      </c>
    </row>
    <row r="25" spans="2:4" x14ac:dyDescent="0.2">
      <c r="B25" s="4">
        <v>22</v>
      </c>
      <c r="C25" t="s">
        <v>145</v>
      </c>
      <c r="D25" t="s">
        <v>51</v>
      </c>
    </row>
    <row r="26" spans="2:4" x14ac:dyDescent="0.2">
      <c r="B26" s="4">
        <v>23</v>
      </c>
      <c r="C26" t="s">
        <v>146</v>
      </c>
      <c r="D26" t="s">
        <v>116</v>
      </c>
    </row>
    <row r="27" spans="2:4" x14ac:dyDescent="0.2">
      <c r="B27" s="4">
        <v>24</v>
      </c>
      <c r="C27" t="s">
        <v>147</v>
      </c>
      <c r="D27" t="s">
        <v>57</v>
      </c>
    </row>
    <row r="28" spans="2:4" x14ac:dyDescent="0.2">
      <c r="B28" s="4">
        <v>25</v>
      </c>
      <c r="C28" t="s">
        <v>148</v>
      </c>
      <c r="D28" t="s">
        <v>58</v>
      </c>
    </row>
    <row r="29" spans="2:4" x14ac:dyDescent="0.2">
      <c r="B29" s="4">
        <v>26</v>
      </c>
      <c r="C29" t="s">
        <v>149</v>
      </c>
      <c r="D29" t="s">
        <v>79</v>
      </c>
    </row>
    <row r="30" spans="2:4" x14ac:dyDescent="0.2">
      <c r="B30" s="4">
        <v>27</v>
      </c>
      <c r="C30" t="s">
        <v>150</v>
      </c>
      <c r="D30" t="s">
        <v>85</v>
      </c>
    </row>
    <row r="31" spans="2:4" x14ac:dyDescent="0.2">
      <c r="B31" s="4">
        <v>28</v>
      </c>
      <c r="C31" t="s">
        <v>151</v>
      </c>
      <c r="D31" t="s">
        <v>81</v>
      </c>
    </row>
    <row r="32" spans="2:4" x14ac:dyDescent="0.2">
      <c r="B32" s="4">
        <v>29</v>
      </c>
      <c r="C32" t="s">
        <v>152</v>
      </c>
      <c r="D32" t="s">
        <v>82</v>
      </c>
    </row>
    <row r="33" spans="2:4" x14ac:dyDescent="0.2">
      <c r="B33" s="4">
        <v>30</v>
      </c>
      <c r="C33" s="6" t="s">
        <v>153</v>
      </c>
      <c r="D33" t="s">
        <v>83</v>
      </c>
    </row>
    <row r="34" spans="2:4" x14ac:dyDescent="0.2">
      <c r="B34" s="4">
        <v>31</v>
      </c>
      <c r="C34" t="s">
        <v>154</v>
      </c>
      <c r="D34" t="s">
        <v>86</v>
      </c>
    </row>
    <row r="35" spans="2:4" x14ac:dyDescent="0.2">
      <c r="B35" s="4">
        <v>32</v>
      </c>
      <c r="C35" t="s">
        <v>155</v>
      </c>
      <c r="D35" t="s">
        <v>100</v>
      </c>
    </row>
    <row r="36" spans="2:4" x14ac:dyDescent="0.2">
      <c r="B36" s="4">
        <v>33</v>
      </c>
      <c r="C36" t="s">
        <v>156</v>
      </c>
      <c r="D36" t="s">
        <v>103</v>
      </c>
    </row>
    <row r="37" spans="2:4" x14ac:dyDescent="0.2">
      <c r="B37" s="4">
        <v>34</v>
      </c>
      <c r="C37" t="s">
        <v>157</v>
      </c>
      <c r="D37" t="s">
        <v>115</v>
      </c>
    </row>
    <row r="38" spans="2:4" x14ac:dyDescent="0.2">
      <c r="B38" s="4">
        <v>35</v>
      </c>
      <c r="C38" t="s">
        <v>158</v>
      </c>
      <c r="D38" t="s">
        <v>102</v>
      </c>
    </row>
    <row r="39" spans="2:4" x14ac:dyDescent="0.2">
      <c r="B39" s="4">
        <v>34</v>
      </c>
      <c r="C39" t="s">
        <v>159</v>
      </c>
      <c r="D39" t="s">
        <v>104</v>
      </c>
    </row>
    <row r="40" spans="2:4" x14ac:dyDescent="0.2">
      <c r="B40" s="4">
        <v>36</v>
      </c>
      <c r="C40" t="s">
        <v>160</v>
      </c>
      <c r="D40" t="s">
        <v>114</v>
      </c>
    </row>
    <row r="41" spans="2:4" x14ac:dyDescent="0.2">
      <c r="B41" s="4">
        <v>37</v>
      </c>
      <c r="C41" t="s">
        <v>161</v>
      </c>
      <c r="D41" t="s">
        <v>119</v>
      </c>
    </row>
    <row r="42" spans="2:4" x14ac:dyDescent="0.2">
      <c r="B42" s="4">
        <v>38</v>
      </c>
      <c r="C42" t="s">
        <v>162</v>
      </c>
      <c r="D42" t="s">
        <v>121</v>
      </c>
    </row>
    <row r="44" spans="2:4" x14ac:dyDescent="0.2">
      <c r="B44" s="4" t="s">
        <v>11</v>
      </c>
    </row>
    <row r="45" spans="2:4" x14ac:dyDescent="0.2">
      <c r="B45" s="4" t="s">
        <v>17</v>
      </c>
    </row>
    <row r="46" spans="2:4" x14ac:dyDescent="0.2">
      <c r="B46" s="4">
        <v>1</v>
      </c>
      <c r="C46" t="s">
        <v>163</v>
      </c>
      <c r="D46" t="s">
        <v>62</v>
      </c>
    </row>
    <row r="47" spans="2:4" x14ac:dyDescent="0.2">
      <c r="B47" s="4">
        <v>2</v>
      </c>
      <c r="C47" t="s">
        <v>164</v>
      </c>
      <c r="D47" t="s">
        <v>63</v>
      </c>
    </row>
    <row r="48" spans="2:4" x14ac:dyDescent="0.2">
      <c r="B48" s="4">
        <v>3</v>
      </c>
      <c r="C48" t="s">
        <v>165</v>
      </c>
      <c r="D48" t="s">
        <v>64</v>
      </c>
    </row>
    <row r="49" spans="2:4" x14ac:dyDescent="0.2">
      <c r="B49" s="4">
        <v>4</v>
      </c>
      <c r="C49" t="s">
        <v>166</v>
      </c>
      <c r="D49" t="s">
        <v>65</v>
      </c>
    </row>
    <row r="50" spans="2:4" x14ac:dyDescent="0.2">
      <c r="B50" s="4">
        <v>5</v>
      </c>
      <c r="C50" t="s">
        <v>167</v>
      </c>
      <c r="D50" t="s">
        <v>84</v>
      </c>
    </row>
    <row r="51" spans="2:4" x14ac:dyDescent="0.2">
      <c r="B51" s="4">
        <v>6</v>
      </c>
      <c r="C51" t="s">
        <v>168</v>
      </c>
      <c r="D51" t="s">
        <v>110</v>
      </c>
    </row>
    <row r="52" spans="2:4" x14ac:dyDescent="0.2">
      <c r="B52" s="4">
        <v>7</v>
      </c>
      <c r="C52" t="s">
        <v>169</v>
      </c>
      <c r="D52" t="s">
        <v>109</v>
      </c>
    </row>
    <row r="53" spans="2:4" x14ac:dyDescent="0.2">
      <c r="B53" s="4">
        <v>8</v>
      </c>
      <c r="C53" t="s">
        <v>170</v>
      </c>
      <c r="D53" t="s">
        <v>107</v>
      </c>
    </row>
    <row r="54" spans="2:4" x14ac:dyDescent="0.2">
      <c r="B54" s="4">
        <v>9</v>
      </c>
      <c r="C54" t="s">
        <v>171</v>
      </c>
      <c r="D54" t="s">
        <v>117</v>
      </c>
    </row>
    <row r="56" spans="2:4" x14ac:dyDescent="0.2">
      <c r="B56" s="4" t="s">
        <v>11</v>
      </c>
    </row>
    <row r="57" spans="2:4" x14ac:dyDescent="0.2">
      <c r="B57" s="4" t="s">
        <v>13</v>
      </c>
    </row>
    <row r="58" spans="2:4" x14ac:dyDescent="0.2">
      <c r="B58" s="4">
        <v>1</v>
      </c>
      <c r="C58" t="s">
        <v>172</v>
      </c>
      <c r="D58" t="s">
        <v>18</v>
      </c>
    </row>
    <row r="59" spans="2:4" x14ac:dyDescent="0.2">
      <c r="B59" s="4">
        <v>2</v>
      </c>
      <c r="C59" t="s">
        <v>173</v>
      </c>
      <c r="D59" t="s">
        <v>19</v>
      </c>
    </row>
    <row r="60" spans="2:4" x14ac:dyDescent="0.2">
      <c r="B60" s="4">
        <v>3</v>
      </c>
      <c r="C60" t="s">
        <v>174</v>
      </c>
      <c r="D60" t="s">
        <v>54</v>
      </c>
    </row>
    <row r="61" spans="2:4" x14ac:dyDescent="0.2">
      <c r="B61" s="4">
        <v>4</v>
      </c>
      <c r="C61" t="s">
        <v>175</v>
      </c>
      <c r="D61" t="s">
        <v>20</v>
      </c>
    </row>
    <row r="62" spans="2:4" x14ac:dyDescent="0.2">
      <c r="B62" s="4">
        <v>5</v>
      </c>
      <c r="C62" t="s">
        <v>176</v>
      </c>
      <c r="D62" t="s">
        <v>21</v>
      </c>
    </row>
    <row r="63" spans="2:4" x14ac:dyDescent="0.2">
      <c r="B63" s="4">
        <v>6</v>
      </c>
      <c r="C63" t="s">
        <v>177</v>
      </c>
      <c r="D63" t="s">
        <v>22</v>
      </c>
    </row>
    <row r="64" spans="2:4" x14ac:dyDescent="0.2">
      <c r="B64" s="4">
        <v>7</v>
      </c>
      <c r="C64" t="s">
        <v>178</v>
      </c>
      <c r="D64" t="s">
        <v>56</v>
      </c>
    </row>
    <row r="65" spans="2:4" x14ac:dyDescent="0.2">
      <c r="B65" s="4">
        <v>8</v>
      </c>
      <c r="C65" t="s">
        <v>179</v>
      </c>
      <c r="D65" t="s">
        <v>55</v>
      </c>
    </row>
    <row r="66" spans="2:4" x14ac:dyDescent="0.2">
      <c r="B66" s="4">
        <v>9</v>
      </c>
      <c r="C66" t="s">
        <v>180</v>
      </c>
      <c r="D66" t="s">
        <v>23</v>
      </c>
    </row>
    <row r="67" spans="2:4" x14ac:dyDescent="0.2">
      <c r="B67" s="4">
        <v>10</v>
      </c>
      <c r="C67" t="s">
        <v>181</v>
      </c>
      <c r="D67" t="s">
        <v>24</v>
      </c>
    </row>
    <row r="68" spans="2:4" x14ac:dyDescent="0.2">
      <c r="B68" s="4">
        <v>11</v>
      </c>
      <c r="C68" t="s">
        <v>182</v>
      </c>
      <c r="D68" t="s">
        <v>80</v>
      </c>
    </row>
    <row r="70" spans="2:4" x14ac:dyDescent="0.2">
      <c r="B70" s="4" t="s">
        <v>11</v>
      </c>
    </row>
    <row r="71" spans="2:4" x14ac:dyDescent="0.2">
      <c r="B71" s="4" t="s">
        <v>14</v>
      </c>
    </row>
    <row r="72" spans="2:4" x14ac:dyDescent="0.2">
      <c r="B72" s="4">
        <v>1</v>
      </c>
      <c r="C72" t="s">
        <v>183</v>
      </c>
      <c r="D72" t="s">
        <v>77</v>
      </c>
    </row>
    <row r="73" spans="2:4" x14ac:dyDescent="0.2">
      <c r="B73" s="4">
        <v>2</v>
      </c>
      <c r="C73" t="s">
        <v>184</v>
      </c>
      <c r="D73" t="s">
        <v>76</v>
      </c>
    </row>
    <row r="74" spans="2:4" x14ac:dyDescent="0.2">
      <c r="B74" s="4">
        <v>3</v>
      </c>
      <c r="C74" t="s">
        <v>185</v>
      </c>
      <c r="D74" t="s">
        <v>75</v>
      </c>
    </row>
    <row r="75" spans="2:4" x14ac:dyDescent="0.2">
      <c r="B75" s="4">
        <v>4</v>
      </c>
      <c r="C75" t="s">
        <v>186</v>
      </c>
      <c r="D75" t="s">
        <v>74</v>
      </c>
    </row>
    <row r="76" spans="2:4" x14ac:dyDescent="0.2">
      <c r="B76" s="4">
        <v>5</v>
      </c>
      <c r="C76" t="s">
        <v>187</v>
      </c>
      <c r="D76" t="s">
        <v>78</v>
      </c>
    </row>
    <row r="77" spans="2:4" x14ac:dyDescent="0.2">
      <c r="B77" s="4">
        <v>6</v>
      </c>
      <c r="C77" t="s">
        <v>188</v>
      </c>
      <c r="D77" t="s">
        <v>73</v>
      </c>
    </row>
    <row r="78" spans="2:4" x14ac:dyDescent="0.2">
      <c r="B78" s="4">
        <v>7</v>
      </c>
      <c r="C78" t="s">
        <v>189</v>
      </c>
      <c r="D78" t="s">
        <v>72</v>
      </c>
    </row>
    <row r="79" spans="2:4" x14ac:dyDescent="0.2">
      <c r="B79" s="4">
        <v>8</v>
      </c>
      <c r="C79" t="s">
        <v>190</v>
      </c>
      <c r="D79" t="s">
        <v>37</v>
      </c>
    </row>
    <row r="80" spans="2:4" x14ac:dyDescent="0.2">
      <c r="B80" s="4">
        <v>9</v>
      </c>
      <c r="C80" t="s">
        <v>191</v>
      </c>
      <c r="D80" t="s">
        <v>38</v>
      </c>
    </row>
    <row r="81" spans="2:4" x14ac:dyDescent="0.2">
      <c r="B81" s="4">
        <v>10</v>
      </c>
      <c r="C81" t="s">
        <v>192</v>
      </c>
      <c r="D81" t="s">
        <v>95</v>
      </c>
    </row>
    <row r="83" spans="2:4" x14ac:dyDescent="0.2">
      <c r="B83" s="4" t="s">
        <v>11</v>
      </c>
    </row>
    <row r="84" spans="2:4" x14ac:dyDescent="0.2">
      <c r="B84" s="4" t="s">
        <v>15</v>
      </c>
    </row>
    <row r="85" spans="2:4" x14ac:dyDescent="0.2">
      <c r="B85" s="4">
        <v>1</v>
      </c>
      <c r="C85" t="s">
        <v>193</v>
      </c>
      <c r="D85" t="s">
        <v>88</v>
      </c>
    </row>
    <row r="86" spans="2:4" x14ac:dyDescent="0.2">
      <c r="B86" s="4">
        <v>2</v>
      </c>
      <c r="C86" t="s">
        <v>194</v>
      </c>
      <c r="D86" t="s">
        <v>89</v>
      </c>
    </row>
    <row r="87" spans="2:4" x14ac:dyDescent="0.2">
      <c r="B87" s="4">
        <v>3</v>
      </c>
      <c r="C87" t="s">
        <v>195</v>
      </c>
      <c r="D87" t="s">
        <v>90</v>
      </c>
    </row>
    <row r="88" spans="2:4" x14ac:dyDescent="0.2">
      <c r="B88" s="4">
        <v>4</v>
      </c>
      <c r="C88" t="s">
        <v>196</v>
      </c>
      <c r="D88" t="s">
        <v>91</v>
      </c>
    </row>
    <row r="89" spans="2:4" x14ac:dyDescent="0.2">
      <c r="B89" s="4">
        <v>5</v>
      </c>
      <c r="C89" t="s">
        <v>197</v>
      </c>
      <c r="D89" t="s">
        <v>92</v>
      </c>
    </row>
    <row r="90" spans="2:4" x14ac:dyDescent="0.2">
      <c r="B90" s="4">
        <v>6</v>
      </c>
      <c r="C90" t="s">
        <v>198</v>
      </c>
      <c r="D90" t="s">
        <v>93</v>
      </c>
    </row>
    <row r="91" spans="2:4" x14ac:dyDescent="0.2">
      <c r="B91" s="4">
        <v>7</v>
      </c>
      <c r="C91" t="s">
        <v>199</v>
      </c>
      <c r="D91" t="s">
        <v>94</v>
      </c>
    </row>
    <row r="93" spans="2:4" x14ac:dyDescent="0.2">
      <c r="B93" s="4" t="s">
        <v>16</v>
      </c>
    </row>
    <row r="94" spans="2:4" x14ac:dyDescent="0.2">
      <c r="B94" s="4" t="s">
        <v>17</v>
      </c>
    </row>
    <row r="95" spans="2:4" x14ac:dyDescent="0.2">
      <c r="B95" s="4">
        <v>1</v>
      </c>
      <c r="C95" t="s">
        <v>200</v>
      </c>
      <c r="D95" t="s">
        <v>59</v>
      </c>
    </row>
    <row r="96" spans="2:4" x14ac:dyDescent="0.2">
      <c r="B96" s="4">
        <v>2</v>
      </c>
      <c r="C96" t="s">
        <v>201</v>
      </c>
      <c r="D96" t="s">
        <v>60</v>
      </c>
    </row>
    <row r="97" spans="2:4" x14ac:dyDescent="0.2">
      <c r="B97" s="4">
        <v>3</v>
      </c>
      <c r="C97" t="s">
        <v>202</v>
      </c>
      <c r="D97" t="s">
        <v>61</v>
      </c>
    </row>
    <row r="98" spans="2:4" x14ac:dyDescent="0.2">
      <c r="B98" s="4">
        <v>4</v>
      </c>
      <c r="C98" t="s">
        <v>203</v>
      </c>
      <c r="D98" t="s">
        <v>25</v>
      </c>
    </row>
    <row r="99" spans="2:4" x14ac:dyDescent="0.2">
      <c r="B99" s="4">
        <v>5</v>
      </c>
      <c r="C99" t="s">
        <v>204</v>
      </c>
      <c r="D99" t="s">
        <v>26</v>
      </c>
    </row>
    <row r="100" spans="2:4" x14ac:dyDescent="0.2">
      <c r="B100" s="4">
        <v>6</v>
      </c>
      <c r="C100" t="s">
        <v>205</v>
      </c>
      <c r="D100" t="s">
        <v>27</v>
      </c>
    </row>
    <row r="101" spans="2:4" x14ac:dyDescent="0.2">
      <c r="B101" s="4">
        <v>7</v>
      </c>
      <c r="C101" t="s">
        <v>206</v>
      </c>
      <c r="D101" t="s">
        <v>28</v>
      </c>
    </row>
    <row r="102" spans="2:4" x14ac:dyDescent="0.2">
      <c r="B102" s="4">
        <v>8</v>
      </c>
      <c r="C102" t="s">
        <v>207</v>
      </c>
      <c r="D102" t="s">
        <v>29</v>
      </c>
    </row>
    <row r="103" spans="2:4" x14ac:dyDescent="0.2">
      <c r="B103" s="4">
        <v>9</v>
      </c>
      <c r="C103" t="s">
        <v>208</v>
      </c>
      <c r="D103" t="s">
        <v>30</v>
      </c>
    </row>
    <row r="104" spans="2:4" x14ac:dyDescent="0.2">
      <c r="B104" s="4">
        <v>10</v>
      </c>
      <c r="C104" t="s">
        <v>209</v>
      </c>
      <c r="D104" t="s">
        <v>31</v>
      </c>
    </row>
    <row r="105" spans="2:4" x14ac:dyDescent="0.2">
      <c r="B105" s="4">
        <v>11</v>
      </c>
      <c r="C105" t="s">
        <v>210</v>
      </c>
      <c r="D105" t="s">
        <v>32</v>
      </c>
    </row>
    <row r="106" spans="2:4" x14ac:dyDescent="0.2">
      <c r="B106" s="4">
        <v>12</v>
      </c>
      <c r="C106" t="s">
        <v>211</v>
      </c>
      <c r="D106" t="s">
        <v>33</v>
      </c>
    </row>
    <row r="107" spans="2:4" x14ac:dyDescent="0.2">
      <c r="B107" s="4">
        <v>13</v>
      </c>
      <c r="C107" t="s">
        <v>212</v>
      </c>
      <c r="D107" t="s">
        <v>34</v>
      </c>
    </row>
    <row r="108" spans="2:4" x14ac:dyDescent="0.2">
      <c r="B108" s="4">
        <v>14</v>
      </c>
      <c r="C108" t="s">
        <v>213</v>
      </c>
      <c r="D108" t="s">
        <v>35</v>
      </c>
    </row>
    <row r="109" spans="2:4" x14ac:dyDescent="0.2">
      <c r="B109" s="4">
        <v>15</v>
      </c>
      <c r="C109" t="s">
        <v>214</v>
      </c>
      <c r="D109" t="s">
        <v>107</v>
      </c>
    </row>
    <row r="110" spans="2:4" x14ac:dyDescent="0.2">
      <c r="B110" s="4">
        <v>16</v>
      </c>
      <c r="C110" t="s">
        <v>215</v>
      </c>
      <c r="D110" t="s">
        <v>41</v>
      </c>
    </row>
    <row r="111" spans="2:4" x14ac:dyDescent="0.2">
      <c r="B111" s="4">
        <v>17</v>
      </c>
      <c r="C111" t="s">
        <v>216</v>
      </c>
      <c r="D111" t="s">
        <v>66</v>
      </c>
    </row>
    <row r="112" spans="2:4" x14ac:dyDescent="0.2">
      <c r="B112" s="4">
        <v>18</v>
      </c>
      <c r="C112" t="s">
        <v>217</v>
      </c>
      <c r="D112" t="s">
        <v>67</v>
      </c>
    </row>
    <row r="113" spans="2:4" x14ac:dyDescent="0.2">
      <c r="B113" s="4">
        <v>19</v>
      </c>
      <c r="C113" t="s">
        <v>218</v>
      </c>
      <c r="D113" t="s">
        <v>68</v>
      </c>
    </row>
    <row r="114" spans="2:4" x14ac:dyDescent="0.2">
      <c r="B114" s="4">
        <v>20</v>
      </c>
      <c r="C114" t="s">
        <v>219</v>
      </c>
      <c r="D114" t="s">
        <v>69</v>
      </c>
    </row>
    <row r="115" spans="2:4" x14ac:dyDescent="0.2">
      <c r="B115" s="4">
        <v>21</v>
      </c>
      <c r="C115" t="s">
        <v>220</v>
      </c>
      <c r="D115" t="s">
        <v>109</v>
      </c>
    </row>
    <row r="116" spans="2:4" x14ac:dyDescent="0.2">
      <c r="B116" s="4">
        <v>21</v>
      </c>
      <c r="C116" t="s">
        <v>221</v>
      </c>
      <c r="D116" t="s">
        <v>123</v>
      </c>
    </row>
    <row r="118" spans="2:4" x14ac:dyDescent="0.2">
      <c r="B118" s="4" t="s">
        <v>16</v>
      </c>
    </row>
    <row r="119" spans="2:4" x14ac:dyDescent="0.2">
      <c r="B119" s="4" t="s">
        <v>13</v>
      </c>
    </row>
    <row r="120" spans="2:4" x14ac:dyDescent="0.2">
      <c r="B120" s="4">
        <v>1</v>
      </c>
      <c r="C120" s="6" t="s">
        <v>222</v>
      </c>
      <c r="D120" t="s">
        <v>120</v>
      </c>
    </row>
    <row r="121" spans="2:4" x14ac:dyDescent="0.2">
      <c r="B121" s="4">
        <v>2</v>
      </c>
      <c r="C121" t="s">
        <v>223</v>
      </c>
      <c r="D121" t="s">
        <v>52</v>
      </c>
    </row>
    <row r="122" spans="2:4" x14ac:dyDescent="0.2">
      <c r="B122" s="4">
        <v>3</v>
      </c>
      <c r="C122" t="s">
        <v>224</v>
      </c>
      <c r="D122" t="s">
        <v>53</v>
      </c>
    </row>
    <row r="124" spans="2:4" x14ac:dyDescent="0.2">
      <c r="B124" s="4" t="s">
        <v>105</v>
      </c>
    </row>
    <row r="125" spans="2:4" x14ac:dyDescent="0.2">
      <c r="B125" s="4" t="s">
        <v>14</v>
      </c>
    </row>
    <row r="126" spans="2:4" x14ac:dyDescent="0.2">
      <c r="B126" s="4">
        <v>1</v>
      </c>
      <c r="C126" t="s">
        <v>225</v>
      </c>
      <c r="D126" t="s">
        <v>70</v>
      </c>
    </row>
    <row r="127" spans="2:4" x14ac:dyDescent="0.2">
      <c r="B127" s="4">
        <v>2</v>
      </c>
      <c r="C127" t="s">
        <v>226</v>
      </c>
      <c r="D127" t="s">
        <v>36</v>
      </c>
    </row>
    <row r="128" spans="2:4" x14ac:dyDescent="0.2">
      <c r="B128" s="4">
        <v>3</v>
      </c>
      <c r="C128" t="s">
        <v>227</v>
      </c>
      <c r="D128" t="s">
        <v>37</v>
      </c>
    </row>
    <row r="129" spans="2:4" x14ac:dyDescent="0.2">
      <c r="B129" s="4">
        <v>4</v>
      </c>
      <c r="C129" t="s">
        <v>228</v>
      </c>
      <c r="D129" t="s">
        <v>38</v>
      </c>
    </row>
    <row r="130" spans="2:4" x14ac:dyDescent="0.2">
      <c r="B130" s="4">
        <v>5</v>
      </c>
      <c r="C130" t="s">
        <v>229</v>
      </c>
      <c r="D130" t="s">
        <v>39</v>
      </c>
    </row>
    <row r="131" spans="2:4" x14ac:dyDescent="0.2">
      <c r="B131" s="4">
        <v>6</v>
      </c>
      <c r="C131" t="s">
        <v>230</v>
      </c>
      <c r="D131" t="s">
        <v>71</v>
      </c>
    </row>
    <row r="132" spans="2:4" x14ac:dyDescent="0.2">
      <c r="B132" s="4">
        <v>7</v>
      </c>
      <c r="C132" t="s">
        <v>231</v>
      </c>
      <c r="D132" t="s">
        <v>72</v>
      </c>
    </row>
    <row r="134" spans="2:4" x14ac:dyDescent="0.2">
      <c r="B134" s="4" t="s">
        <v>16</v>
      </c>
    </row>
    <row r="135" spans="2:4" x14ac:dyDescent="0.2">
      <c r="B135" s="4" t="s">
        <v>15</v>
      </c>
    </row>
    <row r="136" spans="2:4" x14ac:dyDescent="0.2">
      <c r="B136" s="4">
        <v>1</v>
      </c>
      <c r="C136" t="s">
        <v>232</v>
      </c>
      <c r="D136" t="s">
        <v>87</v>
      </c>
    </row>
    <row r="137" spans="2:4" x14ac:dyDescent="0.2">
      <c r="B137" s="4">
        <v>2</v>
      </c>
      <c r="C137" t="s">
        <v>233</v>
      </c>
      <c r="D137" t="s">
        <v>95</v>
      </c>
    </row>
    <row r="138" spans="2:4" x14ac:dyDescent="0.2">
      <c r="B138" s="4">
        <v>3</v>
      </c>
      <c r="C138" t="s">
        <v>234</v>
      </c>
      <c r="D138" t="s">
        <v>89</v>
      </c>
    </row>
    <row r="139" spans="2:4" x14ac:dyDescent="0.2">
      <c r="B139" s="4">
        <v>4</v>
      </c>
      <c r="C139" t="s">
        <v>235</v>
      </c>
      <c r="D139" t="s">
        <v>96</v>
      </c>
    </row>
    <row r="140" spans="2:4" x14ac:dyDescent="0.2">
      <c r="B140" s="4">
        <v>5</v>
      </c>
      <c r="C140" t="s">
        <v>236</v>
      </c>
      <c r="D140" t="s">
        <v>91</v>
      </c>
    </row>
    <row r="141" spans="2:4" x14ac:dyDescent="0.2">
      <c r="B141" s="4">
        <v>6</v>
      </c>
      <c r="C141" t="s">
        <v>237</v>
      </c>
      <c r="D141" t="s">
        <v>98</v>
      </c>
    </row>
    <row r="142" spans="2:4" x14ac:dyDescent="0.2">
      <c r="B142" s="4">
        <v>7</v>
      </c>
      <c r="C142" t="s">
        <v>238</v>
      </c>
      <c r="D142" t="s">
        <v>97</v>
      </c>
    </row>
    <row r="143" spans="2:4" x14ac:dyDescent="0.2">
      <c r="B143" s="4">
        <v>8</v>
      </c>
      <c r="C143" t="s">
        <v>239</v>
      </c>
      <c r="D143" t="s">
        <v>101</v>
      </c>
    </row>
    <row r="145" spans="2:4" x14ac:dyDescent="0.2">
      <c r="B145" s="4" t="s">
        <v>99</v>
      </c>
    </row>
    <row r="146" spans="2:4" x14ac:dyDescent="0.2">
      <c r="B146" s="4" t="s">
        <v>17</v>
      </c>
    </row>
    <row r="147" spans="2:4" x14ac:dyDescent="0.2">
      <c r="B147" s="4">
        <v>1</v>
      </c>
      <c r="C147" t="s">
        <v>240</v>
      </c>
      <c r="D147" t="s">
        <v>106</v>
      </c>
    </row>
    <row r="148" spans="2:4" x14ac:dyDescent="0.2">
      <c r="B148" s="4">
        <v>2</v>
      </c>
      <c r="C148" t="s">
        <v>241</v>
      </c>
      <c r="D148" t="s">
        <v>108</v>
      </c>
    </row>
    <row r="149" spans="2:4" x14ac:dyDescent="0.2">
      <c r="B149" s="4">
        <v>3</v>
      </c>
      <c r="C149" t="s">
        <v>242</v>
      </c>
      <c r="D149" t="s">
        <v>111</v>
      </c>
    </row>
    <row r="150" spans="2:4" x14ac:dyDescent="0.2">
      <c r="B150" s="4">
        <v>4</v>
      </c>
      <c r="C150" t="s">
        <v>243</v>
      </c>
      <c r="D150" t="s">
        <v>118</v>
      </c>
    </row>
    <row r="152" spans="2:4" x14ac:dyDescent="0.2">
      <c r="B152" s="4" t="s">
        <v>99</v>
      </c>
    </row>
    <row r="153" spans="2:4" x14ac:dyDescent="0.2">
      <c r="B153" s="7" t="s">
        <v>13</v>
      </c>
    </row>
    <row r="154" spans="2:4" x14ac:dyDescent="0.2">
      <c r="B154" s="4">
        <v>1</v>
      </c>
      <c r="C154" s="6" t="s">
        <v>244</v>
      </c>
    </row>
    <row r="155" spans="2:4" x14ac:dyDescent="0.2">
      <c r="C155" s="6" t="s">
        <v>245</v>
      </c>
    </row>
    <row r="156" spans="2:4" x14ac:dyDescent="0.2">
      <c r="C156" s="6" t="s">
        <v>246</v>
      </c>
    </row>
    <row r="157" spans="2:4" x14ac:dyDescent="0.2">
      <c r="C157" s="6" t="s">
        <v>247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619E6-F998-4CBC-AA4D-E9230F0C8C74}">
  <sheetPr codeName="Sheet1"/>
  <dimension ref="A1:W46"/>
  <sheetViews>
    <sheetView tabSelected="1" workbookViewId="0">
      <pane ySplit="5" topLeftCell="A6" activePane="bottomLeft" state="frozen"/>
      <selection pane="bottomLeft" activeCell="A5" sqref="A5"/>
    </sheetView>
  </sheetViews>
  <sheetFormatPr defaultRowHeight="12.75" x14ac:dyDescent="0.2"/>
  <cols>
    <col min="1" max="1" width="3" bestFit="1" customWidth="1"/>
    <col min="2" max="2" width="18.28515625" hidden="1" customWidth="1"/>
    <col min="3" max="3" width="32.5703125" bestFit="1" customWidth="1"/>
    <col min="4" max="4" width="88.28515625" bestFit="1" customWidth="1"/>
    <col min="5" max="5" width="2" bestFit="1" customWidth="1"/>
    <col min="6" max="6" width="13.140625" customWidth="1"/>
    <col min="7" max="7" width="10.140625" bestFit="1" customWidth="1"/>
    <col min="8" max="8" width="2" bestFit="1" customWidth="1"/>
    <col min="9" max="10" width="10.140625" bestFit="1" customWidth="1"/>
    <col min="11" max="11" width="21.5703125" bestFit="1" customWidth="1"/>
    <col min="12" max="12" width="3.85546875" bestFit="1" customWidth="1"/>
    <col min="13" max="13" width="10.140625" bestFit="1" customWidth="1"/>
    <col min="14" max="14" width="24" bestFit="1" customWidth="1"/>
    <col min="15" max="15" width="3.85546875" bestFit="1" customWidth="1"/>
    <col min="16" max="17" width="10.140625" bestFit="1" customWidth="1"/>
    <col min="18" max="18" width="21.7109375" bestFit="1" customWidth="1"/>
    <col min="19" max="19" width="7.140625" bestFit="1" customWidth="1"/>
    <col min="20" max="20" width="10.140625" bestFit="1" customWidth="1"/>
    <col min="21" max="21" width="27.7109375" bestFit="1" customWidth="1"/>
    <col min="22" max="22" width="7.140625" bestFit="1" customWidth="1"/>
    <col min="23" max="23" width="22.7109375" bestFit="1" customWidth="1"/>
  </cols>
  <sheetData>
    <row r="1" spans="1:23" x14ac:dyDescent="0.2">
      <c r="L1" s="92"/>
    </row>
    <row r="2" spans="1:23" x14ac:dyDescent="0.2">
      <c r="L2" s="92"/>
    </row>
    <row r="3" spans="1:23" x14ac:dyDescent="0.2">
      <c r="L3" s="92"/>
    </row>
    <row r="5" spans="1:23" s="96" customFormat="1" ht="105" x14ac:dyDescent="0.2">
      <c r="A5" s="8" t="s">
        <v>2</v>
      </c>
      <c r="B5" s="27" t="s">
        <v>266</v>
      </c>
      <c r="C5" s="14" t="s">
        <v>248</v>
      </c>
      <c r="D5" s="8" t="s">
        <v>1</v>
      </c>
      <c r="E5" s="8" t="s">
        <v>0</v>
      </c>
      <c r="F5" s="8" t="s">
        <v>491</v>
      </c>
      <c r="G5" s="8" t="s">
        <v>492</v>
      </c>
      <c r="H5" s="8" t="s">
        <v>267</v>
      </c>
      <c r="I5" s="9" t="s">
        <v>261</v>
      </c>
      <c r="J5" s="26" t="s">
        <v>262</v>
      </c>
      <c r="K5" s="26" t="s">
        <v>263</v>
      </c>
      <c r="L5" s="26" t="s">
        <v>260</v>
      </c>
      <c r="M5" s="17" t="s">
        <v>250</v>
      </c>
      <c r="N5" s="17" t="s">
        <v>251</v>
      </c>
      <c r="O5" s="17" t="s">
        <v>260</v>
      </c>
      <c r="P5" s="13" t="s">
        <v>252</v>
      </c>
      <c r="Q5" s="17" t="s">
        <v>253</v>
      </c>
      <c r="R5" s="17" t="s">
        <v>254</v>
      </c>
      <c r="S5" s="18" t="s">
        <v>255</v>
      </c>
      <c r="T5" s="26" t="s">
        <v>264</v>
      </c>
      <c r="U5" s="26" t="s">
        <v>265</v>
      </c>
      <c r="V5" s="26" t="s">
        <v>268</v>
      </c>
      <c r="W5" s="8" t="s">
        <v>249</v>
      </c>
    </row>
    <row r="6" spans="1:23" x14ac:dyDescent="0.2">
      <c r="A6">
        <v>2</v>
      </c>
      <c r="C6" t="s">
        <v>271</v>
      </c>
      <c r="D6" t="s">
        <v>272</v>
      </c>
      <c r="E6">
        <v>1</v>
      </c>
      <c r="I6" s="94">
        <v>43459</v>
      </c>
      <c r="J6" s="94">
        <v>43499</v>
      </c>
      <c r="K6" t="s">
        <v>498</v>
      </c>
      <c r="L6" t="s">
        <v>495</v>
      </c>
      <c r="M6" s="94">
        <v>43501</v>
      </c>
      <c r="N6" t="s">
        <v>521</v>
      </c>
      <c r="O6" t="s">
        <v>495</v>
      </c>
      <c r="P6" s="94">
        <v>43515</v>
      </c>
      <c r="Q6" s="94">
        <v>43520</v>
      </c>
      <c r="R6" t="s">
        <v>522</v>
      </c>
      <c r="S6" t="s">
        <v>523</v>
      </c>
      <c r="T6" s="94">
        <v>43528</v>
      </c>
      <c r="U6" t="s">
        <v>524</v>
      </c>
      <c r="V6" t="s">
        <v>523</v>
      </c>
      <c r="W6" t="s">
        <v>525</v>
      </c>
    </row>
    <row r="7" spans="1:23" x14ac:dyDescent="0.2">
      <c r="C7" t="s">
        <v>273</v>
      </c>
      <c r="D7" t="s">
        <v>367</v>
      </c>
      <c r="E7">
        <v>2</v>
      </c>
      <c r="I7" s="94">
        <v>43507</v>
      </c>
      <c r="J7" s="94">
        <v>43501</v>
      </c>
      <c r="K7" t="s">
        <v>526</v>
      </c>
      <c r="L7" t="s">
        <v>494</v>
      </c>
      <c r="M7" s="94">
        <v>43502</v>
      </c>
      <c r="N7" t="s">
        <v>527</v>
      </c>
      <c r="O7" t="s">
        <v>494</v>
      </c>
      <c r="P7" s="94">
        <v>43516</v>
      </c>
      <c r="Q7" s="94">
        <v>43520</v>
      </c>
      <c r="R7" t="s">
        <v>528</v>
      </c>
      <c r="S7" t="s">
        <v>523</v>
      </c>
      <c r="T7" s="94">
        <v>43528</v>
      </c>
      <c r="U7" t="s">
        <v>524</v>
      </c>
      <c r="V7" t="s">
        <v>523</v>
      </c>
      <c r="W7" t="s">
        <v>525</v>
      </c>
    </row>
    <row r="8" spans="1:23" x14ac:dyDescent="0.2">
      <c r="A8">
        <v>4</v>
      </c>
      <c r="C8" t="s">
        <v>274</v>
      </c>
      <c r="D8" t="s">
        <v>275</v>
      </c>
      <c r="E8">
        <v>1</v>
      </c>
      <c r="I8" s="94">
        <v>43459</v>
      </c>
      <c r="J8" s="94">
        <v>43459</v>
      </c>
      <c r="K8" t="s">
        <v>529</v>
      </c>
      <c r="L8" t="s">
        <v>495</v>
      </c>
      <c r="M8" s="94">
        <v>43485</v>
      </c>
      <c r="N8" t="s">
        <v>530</v>
      </c>
      <c r="O8" t="s">
        <v>495</v>
      </c>
      <c r="P8" s="94">
        <v>43499</v>
      </c>
      <c r="Q8" s="94">
        <v>43500</v>
      </c>
      <c r="R8" t="s">
        <v>531</v>
      </c>
      <c r="S8" t="s">
        <v>523</v>
      </c>
      <c r="T8" s="94">
        <v>43501</v>
      </c>
      <c r="U8" t="s">
        <v>532</v>
      </c>
      <c r="V8" t="s">
        <v>523</v>
      </c>
      <c r="W8" t="s">
        <v>525</v>
      </c>
    </row>
    <row r="9" spans="1:23" x14ac:dyDescent="0.2">
      <c r="A9" s="93">
        <v>5</v>
      </c>
      <c r="B9" s="93"/>
      <c r="C9" s="93" t="s">
        <v>276</v>
      </c>
      <c r="D9" s="93" t="s">
        <v>277</v>
      </c>
      <c r="E9" s="93">
        <v>1</v>
      </c>
      <c r="F9" s="93"/>
      <c r="G9" s="93"/>
      <c r="H9" s="93"/>
      <c r="I9" s="95">
        <v>43459</v>
      </c>
      <c r="J9" s="95">
        <v>43459</v>
      </c>
      <c r="K9" s="93" t="s">
        <v>533</v>
      </c>
      <c r="L9" s="93" t="s">
        <v>495</v>
      </c>
      <c r="M9" s="95">
        <v>43485</v>
      </c>
      <c r="N9" s="93" t="s">
        <v>530</v>
      </c>
      <c r="O9" s="93" t="s">
        <v>495</v>
      </c>
      <c r="P9" s="95">
        <v>43499</v>
      </c>
      <c r="Q9" s="95">
        <v>43496</v>
      </c>
      <c r="R9" s="93" t="s">
        <v>534</v>
      </c>
      <c r="S9" s="93" t="s">
        <v>523</v>
      </c>
      <c r="T9" s="95">
        <v>43499</v>
      </c>
      <c r="U9" s="93" t="s">
        <v>535</v>
      </c>
      <c r="V9" s="93" t="s">
        <v>523</v>
      </c>
      <c r="W9" s="93" t="s">
        <v>525</v>
      </c>
    </row>
    <row r="10" spans="1:23" x14ac:dyDescent="0.2">
      <c r="A10" s="93">
        <v>13</v>
      </c>
      <c r="B10" s="93"/>
      <c r="C10" s="93" t="s">
        <v>330</v>
      </c>
      <c r="D10" s="93" t="s">
        <v>339</v>
      </c>
      <c r="E10" s="93">
        <v>1</v>
      </c>
      <c r="F10" s="93"/>
      <c r="G10" s="93"/>
      <c r="H10" s="93"/>
      <c r="I10" s="95">
        <v>43526</v>
      </c>
      <c r="J10" s="95">
        <v>43526</v>
      </c>
      <c r="K10" s="93" t="s">
        <v>536</v>
      </c>
      <c r="L10" s="93" t="s">
        <v>495</v>
      </c>
      <c r="M10" s="95">
        <v>43528</v>
      </c>
      <c r="N10" s="93" t="s">
        <v>501</v>
      </c>
      <c r="O10" s="93" t="s">
        <v>495</v>
      </c>
      <c r="P10" s="95">
        <v>43542</v>
      </c>
      <c r="Q10" s="95">
        <v>43541</v>
      </c>
      <c r="R10" s="93" t="s">
        <v>537</v>
      </c>
      <c r="S10" s="93" t="s">
        <v>523</v>
      </c>
      <c r="T10" s="95">
        <v>43541</v>
      </c>
      <c r="U10" s="93" t="s">
        <v>506</v>
      </c>
      <c r="V10" s="93" t="s">
        <v>523</v>
      </c>
      <c r="W10" s="93" t="s">
        <v>525</v>
      </c>
    </row>
    <row r="11" spans="1:23" x14ac:dyDescent="0.2">
      <c r="A11" s="93"/>
      <c r="B11" s="93"/>
      <c r="C11" s="93" t="s">
        <v>330</v>
      </c>
      <c r="D11" s="93" t="s">
        <v>339</v>
      </c>
      <c r="E11" s="93">
        <v>3</v>
      </c>
      <c r="F11" s="93"/>
      <c r="G11" s="93"/>
      <c r="H11" s="93"/>
      <c r="I11" s="95">
        <v>43615</v>
      </c>
      <c r="J11" s="95">
        <v>43664</v>
      </c>
      <c r="K11" s="93" t="s">
        <v>502</v>
      </c>
      <c r="L11" s="93" t="s">
        <v>494</v>
      </c>
      <c r="M11" s="95">
        <v>43670</v>
      </c>
      <c r="N11" s="93" t="s">
        <v>503</v>
      </c>
      <c r="O11" s="93" t="s">
        <v>494</v>
      </c>
      <c r="P11" s="95">
        <v>43684</v>
      </c>
      <c r="Q11" s="95">
        <v>43671</v>
      </c>
      <c r="R11" s="93" t="s">
        <v>538</v>
      </c>
      <c r="S11" s="93" t="s">
        <v>523</v>
      </c>
      <c r="T11" s="95">
        <v>43675</v>
      </c>
      <c r="U11" s="93" t="s">
        <v>539</v>
      </c>
      <c r="V11" s="93" t="s">
        <v>523</v>
      </c>
      <c r="W11" s="93" t="s">
        <v>525</v>
      </c>
    </row>
    <row r="12" spans="1:23" x14ac:dyDescent="0.2">
      <c r="A12" s="93"/>
      <c r="B12" s="93"/>
      <c r="C12" s="93" t="s">
        <v>330</v>
      </c>
      <c r="D12" s="93" t="s">
        <v>339</v>
      </c>
      <c r="E12" s="93">
        <v>4</v>
      </c>
      <c r="F12" s="93"/>
      <c r="G12" s="93"/>
      <c r="H12" s="93"/>
      <c r="I12" s="95">
        <v>43689</v>
      </c>
      <c r="J12" s="95">
        <v>43680</v>
      </c>
      <c r="K12" s="93" t="s">
        <v>514</v>
      </c>
      <c r="L12" s="93" t="s">
        <v>494</v>
      </c>
      <c r="M12" s="95">
        <v>43681</v>
      </c>
      <c r="N12" s="93" t="s">
        <v>515</v>
      </c>
      <c r="O12" s="93" t="s">
        <v>494</v>
      </c>
      <c r="P12" s="95">
        <v>43695</v>
      </c>
      <c r="Q12" s="95">
        <v>43704</v>
      </c>
      <c r="R12" s="93" t="s">
        <v>540</v>
      </c>
      <c r="S12" s="93" t="s">
        <v>523</v>
      </c>
      <c r="T12" s="95">
        <v>43705</v>
      </c>
      <c r="U12" s="93" t="s">
        <v>516</v>
      </c>
      <c r="V12" s="93" t="s">
        <v>523</v>
      </c>
      <c r="W12" s="93" t="s">
        <v>525</v>
      </c>
    </row>
    <row r="13" spans="1:23" x14ac:dyDescent="0.2">
      <c r="A13" s="93">
        <v>14</v>
      </c>
      <c r="B13" s="93"/>
      <c r="C13" s="93" t="s">
        <v>331</v>
      </c>
      <c r="D13" s="93" t="s">
        <v>340</v>
      </c>
      <c r="E13" s="93">
        <v>1</v>
      </c>
      <c r="F13" s="93"/>
      <c r="G13" s="93"/>
      <c r="H13" s="93"/>
      <c r="I13" s="95">
        <v>43517</v>
      </c>
      <c r="J13" s="95">
        <v>43517</v>
      </c>
      <c r="K13" s="93" t="s">
        <v>500</v>
      </c>
      <c r="L13" s="93" t="s">
        <v>495</v>
      </c>
      <c r="M13" s="95">
        <v>43528</v>
      </c>
      <c r="N13" s="93" t="s">
        <v>501</v>
      </c>
      <c r="O13" s="93" t="s">
        <v>495</v>
      </c>
      <c r="P13" s="95">
        <v>43542</v>
      </c>
      <c r="Q13" s="95">
        <v>43541</v>
      </c>
      <c r="R13" s="93" t="s">
        <v>537</v>
      </c>
      <c r="S13" s="93" t="s">
        <v>523</v>
      </c>
      <c r="T13" s="95">
        <v>43541</v>
      </c>
      <c r="U13" s="93" t="s">
        <v>506</v>
      </c>
      <c r="V13" s="93" t="s">
        <v>523</v>
      </c>
      <c r="W13" s="93" t="s">
        <v>525</v>
      </c>
    </row>
    <row r="14" spans="1:23" x14ac:dyDescent="0.2">
      <c r="A14" s="93">
        <v>18</v>
      </c>
      <c r="B14" s="93"/>
      <c r="C14" s="93" t="s">
        <v>284</v>
      </c>
      <c r="D14" s="93" t="s">
        <v>285</v>
      </c>
      <c r="E14" s="93">
        <v>1</v>
      </c>
      <c r="F14" s="93"/>
      <c r="G14" s="93"/>
      <c r="H14" s="93"/>
      <c r="I14" s="95">
        <v>43459</v>
      </c>
      <c r="J14" s="95">
        <v>43459</v>
      </c>
      <c r="K14" s="93" t="s">
        <v>541</v>
      </c>
      <c r="L14" s="93" t="s">
        <v>495</v>
      </c>
      <c r="M14" s="95">
        <v>43500</v>
      </c>
      <c r="N14" s="93" t="s">
        <v>542</v>
      </c>
      <c r="O14" s="93" t="s">
        <v>495</v>
      </c>
      <c r="P14" s="95">
        <v>43514</v>
      </c>
      <c r="Q14" s="95">
        <v>43514</v>
      </c>
      <c r="R14" s="93" t="s">
        <v>543</v>
      </c>
      <c r="S14" s="93" t="s">
        <v>523</v>
      </c>
      <c r="T14" s="95">
        <v>43514</v>
      </c>
      <c r="U14" s="93" t="s">
        <v>499</v>
      </c>
      <c r="V14" s="93" t="s">
        <v>523</v>
      </c>
      <c r="W14" s="93" t="s">
        <v>525</v>
      </c>
    </row>
    <row r="15" spans="1:23" x14ac:dyDescent="0.2">
      <c r="A15" s="93">
        <v>19</v>
      </c>
      <c r="B15" s="93"/>
      <c r="C15" s="93" t="s">
        <v>286</v>
      </c>
      <c r="D15" s="93" t="s">
        <v>314</v>
      </c>
      <c r="E15" s="93">
        <v>1</v>
      </c>
      <c r="F15" s="93"/>
      <c r="G15" s="93"/>
      <c r="H15" s="93"/>
      <c r="I15" s="95">
        <v>43459</v>
      </c>
      <c r="J15" s="95">
        <v>43467</v>
      </c>
      <c r="K15" s="93" t="s">
        <v>544</v>
      </c>
      <c r="L15" s="93" t="s">
        <v>495</v>
      </c>
      <c r="M15" s="95">
        <v>43486</v>
      </c>
      <c r="N15" s="93" t="s">
        <v>545</v>
      </c>
      <c r="O15" s="93" t="s">
        <v>495</v>
      </c>
      <c r="P15" s="95">
        <v>43500</v>
      </c>
      <c r="Q15" s="95">
        <v>43513</v>
      </c>
      <c r="R15" s="93" t="s">
        <v>546</v>
      </c>
      <c r="S15" s="93" t="s">
        <v>523</v>
      </c>
      <c r="T15" s="95">
        <v>43514</v>
      </c>
      <c r="U15" s="93" t="s">
        <v>499</v>
      </c>
      <c r="V15" s="93" t="s">
        <v>523</v>
      </c>
      <c r="W15" s="93" t="s">
        <v>525</v>
      </c>
    </row>
    <row r="16" spans="1:23" x14ac:dyDescent="0.2">
      <c r="A16" s="93">
        <v>20</v>
      </c>
      <c r="B16" s="93"/>
      <c r="C16" s="93" t="s">
        <v>287</v>
      </c>
      <c r="D16" s="93" t="s">
        <v>288</v>
      </c>
      <c r="E16" s="93">
        <v>1</v>
      </c>
      <c r="F16" s="93"/>
      <c r="G16" s="93"/>
      <c r="H16" s="93"/>
      <c r="I16" s="95">
        <v>43459</v>
      </c>
      <c r="J16" s="95">
        <v>43459</v>
      </c>
      <c r="K16" s="93" t="s">
        <v>547</v>
      </c>
      <c r="L16" s="93" t="s">
        <v>495</v>
      </c>
      <c r="M16" s="95">
        <v>43542</v>
      </c>
      <c r="N16" s="93" t="s">
        <v>548</v>
      </c>
      <c r="O16" s="93" t="s">
        <v>495</v>
      </c>
      <c r="P16" s="95">
        <v>43556</v>
      </c>
      <c r="Q16" s="95">
        <v>43586</v>
      </c>
      <c r="R16" s="93" t="s">
        <v>549</v>
      </c>
      <c r="S16" s="93" t="s">
        <v>523</v>
      </c>
      <c r="T16" s="95">
        <v>43587</v>
      </c>
      <c r="U16" s="93" t="s">
        <v>550</v>
      </c>
      <c r="V16" s="93" t="s">
        <v>523</v>
      </c>
      <c r="W16" s="93" t="s">
        <v>525</v>
      </c>
    </row>
    <row r="17" spans="1:23" x14ac:dyDescent="0.2">
      <c r="A17" s="93">
        <v>21</v>
      </c>
      <c r="B17" s="93"/>
      <c r="C17" s="93" t="s">
        <v>289</v>
      </c>
      <c r="D17" s="93" t="s">
        <v>315</v>
      </c>
      <c r="E17" s="93">
        <v>1</v>
      </c>
      <c r="F17" s="93"/>
      <c r="G17" s="93"/>
      <c r="H17" s="93"/>
      <c r="I17" s="95">
        <v>43459</v>
      </c>
      <c r="J17" s="95">
        <v>43459</v>
      </c>
      <c r="K17" s="93" t="s">
        <v>551</v>
      </c>
      <c r="L17" s="93" t="s">
        <v>495</v>
      </c>
      <c r="M17" s="95">
        <v>43542</v>
      </c>
      <c r="N17" s="93" t="s">
        <v>548</v>
      </c>
      <c r="O17" s="93" t="s">
        <v>495</v>
      </c>
      <c r="P17" s="95">
        <v>43556</v>
      </c>
      <c r="Q17" s="95">
        <v>43586</v>
      </c>
      <c r="R17" s="93" t="s">
        <v>549</v>
      </c>
      <c r="S17" s="93" t="s">
        <v>523</v>
      </c>
      <c r="T17" s="95">
        <v>43587</v>
      </c>
      <c r="U17" s="93" t="s">
        <v>550</v>
      </c>
      <c r="V17" s="93" t="s">
        <v>523</v>
      </c>
      <c r="W17" s="93" t="s">
        <v>525</v>
      </c>
    </row>
    <row r="18" spans="1:23" x14ac:dyDescent="0.2">
      <c r="A18" s="93">
        <v>27</v>
      </c>
      <c r="B18" s="93"/>
      <c r="C18" s="93" t="s">
        <v>295</v>
      </c>
      <c r="D18" s="93" t="s">
        <v>364</v>
      </c>
      <c r="E18" s="93">
        <v>1</v>
      </c>
      <c r="F18" s="93"/>
      <c r="G18" s="93"/>
      <c r="H18" s="93"/>
      <c r="I18" s="95">
        <v>43459</v>
      </c>
      <c r="J18" s="95">
        <v>43480</v>
      </c>
      <c r="K18" s="93" t="s">
        <v>552</v>
      </c>
      <c r="L18" s="93" t="s">
        <v>495</v>
      </c>
      <c r="M18" s="95">
        <v>43480</v>
      </c>
      <c r="N18" s="93" t="s">
        <v>553</v>
      </c>
      <c r="O18" s="93" t="s">
        <v>495</v>
      </c>
      <c r="P18" s="95">
        <v>43494</v>
      </c>
      <c r="Q18" s="95">
        <v>43541</v>
      </c>
      <c r="R18" s="93" t="s">
        <v>554</v>
      </c>
      <c r="S18" s="93" t="s">
        <v>523</v>
      </c>
      <c r="T18" s="95">
        <v>43541</v>
      </c>
      <c r="U18" s="93" t="s">
        <v>506</v>
      </c>
      <c r="V18" s="93" t="s">
        <v>523</v>
      </c>
      <c r="W18" s="93" t="s">
        <v>525</v>
      </c>
    </row>
    <row r="19" spans="1:23" x14ac:dyDescent="0.2">
      <c r="A19" s="93">
        <v>28</v>
      </c>
      <c r="B19" s="93"/>
      <c r="C19" s="93" t="s">
        <v>296</v>
      </c>
      <c r="D19" s="93" t="s">
        <v>486</v>
      </c>
      <c r="E19" s="93">
        <v>1</v>
      </c>
      <c r="F19" s="93"/>
      <c r="G19" s="93"/>
      <c r="H19" s="93"/>
      <c r="I19" s="95">
        <v>43459</v>
      </c>
      <c r="J19" s="95">
        <v>43467</v>
      </c>
      <c r="K19" s="93" t="s">
        <v>544</v>
      </c>
      <c r="L19" s="93" t="s">
        <v>495</v>
      </c>
      <c r="M19" s="95">
        <v>43486</v>
      </c>
      <c r="N19" s="93" t="s">
        <v>545</v>
      </c>
      <c r="O19" s="93" t="s">
        <v>495</v>
      </c>
      <c r="P19" s="95">
        <v>43500</v>
      </c>
      <c r="Q19" s="95">
        <v>43514</v>
      </c>
      <c r="R19" s="93" t="s">
        <v>555</v>
      </c>
      <c r="S19" s="93" t="s">
        <v>523</v>
      </c>
      <c r="T19" s="95">
        <v>43514</v>
      </c>
      <c r="U19" s="93" t="s">
        <v>499</v>
      </c>
      <c r="V19" s="93" t="s">
        <v>523</v>
      </c>
      <c r="W19" s="93" t="s">
        <v>525</v>
      </c>
    </row>
    <row r="20" spans="1:23" x14ac:dyDescent="0.2">
      <c r="A20" s="93">
        <v>32</v>
      </c>
      <c r="B20" s="93"/>
      <c r="C20" s="93" t="s">
        <v>444</v>
      </c>
      <c r="D20" s="93" t="s">
        <v>445</v>
      </c>
      <c r="E20" s="93">
        <v>1</v>
      </c>
      <c r="F20" s="93"/>
      <c r="G20" s="93"/>
      <c r="H20" s="93"/>
      <c r="I20" s="95">
        <v>43642</v>
      </c>
      <c r="J20" s="95">
        <v>43642</v>
      </c>
      <c r="K20" s="93" t="s">
        <v>556</v>
      </c>
      <c r="L20" s="93" t="s">
        <v>495</v>
      </c>
      <c r="M20" s="95">
        <v>43699</v>
      </c>
      <c r="N20" s="93" t="s">
        <v>557</v>
      </c>
      <c r="O20" s="93" t="s">
        <v>495</v>
      </c>
      <c r="P20" s="95">
        <v>43713</v>
      </c>
      <c r="Q20" s="95">
        <v>43753</v>
      </c>
      <c r="R20" s="93" t="s">
        <v>558</v>
      </c>
      <c r="S20" s="93" t="s">
        <v>523</v>
      </c>
      <c r="T20" s="95">
        <v>43754</v>
      </c>
      <c r="U20" s="93" t="s">
        <v>517</v>
      </c>
      <c r="V20" s="93" t="s">
        <v>523</v>
      </c>
      <c r="W20" s="93" t="s">
        <v>525</v>
      </c>
    </row>
    <row r="21" spans="1:23" x14ac:dyDescent="0.2">
      <c r="A21" s="93">
        <v>36</v>
      </c>
      <c r="B21" s="93"/>
      <c r="C21" s="93" t="s">
        <v>304</v>
      </c>
      <c r="D21" s="93" t="s">
        <v>305</v>
      </c>
      <c r="E21" s="93">
        <v>1</v>
      </c>
      <c r="F21" s="93"/>
      <c r="G21" s="93"/>
      <c r="H21" s="93"/>
      <c r="I21" s="95">
        <v>43461</v>
      </c>
      <c r="J21" s="95">
        <v>43461</v>
      </c>
      <c r="K21" s="93" t="s">
        <v>559</v>
      </c>
      <c r="L21" s="93" t="s">
        <v>495</v>
      </c>
      <c r="M21" s="95">
        <v>43485</v>
      </c>
      <c r="N21" s="93" t="s">
        <v>530</v>
      </c>
      <c r="O21" s="93" t="s">
        <v>495</v>
      </c>
      <c r="P21" s="95">
        <v>43499</v>
      </c>
      <c r="Q21" s="95">
        <v>43494</v>
      </c>
      <c r="R21" s="93" t="s">
        <v>560</v>
      </c>
      <c r="S21" s="93" t="s">
        <v>523</v>
      </c>
      <c r="T21" s="95">
        <v>43494</v>
      </c>
      <c r="U21" s="93" t="s">
        <v>561</v>
      </c>
      <c r="V21" s="93" t="s">
        <v>523</v>
      </c>
      <c r="W21" s="93" t="s">
        <v>525</v>
      </c>
    </row>
    <row r="22" spans="1:23" x14ac:dyDescent="0.2">
      <c r="A22" s="93">
        <v>37</v>
      </c>
      <c r="B22" s="93"/>
      <c r="C22" s="93" t="s">
        <v>306</v>
      </c>
      <c r="D22" s="93" t="s">
        <v>307</v>
      </c>
      <c r="E22" s="93">
        <v>1</v>
      </c>
      <c r="F22" s="93"/>
      <c r="G22" s="93"/>
      <c r="H22" s="93"/>
      <c r="I22" s="95">
        <v>43461</v>
      </c>
      <c r="J22" s="95">
        <v>43461</v>
      </c>
      <c r="K22" s="93" t="s">
        <v>559</v>
      </c>
      <c r="L22" s="93" t="s">
        <v>495</v>
      </c>
      <c r="M22" s="95">
        <v>43485</v>
      </c>
      <c r="N22" s="93" t="s">
        <v>530</v>
      </c>
      <c r="O22" s="93" t="s">
        <v>495</v>
      </c>
      <c r="P22" s="95">
        <v>43499</v>
      </c>
      <c r="Q22" s="95">
        <v>43496</v>
      </c>
      <c r="R22" s="93" t="s">
        <v>534</v>
      </c>
      <c r="S22" s="93" t="s">
        <v>523</v>
      </c>
      <c r="T22" s="95">
        <v>43499</v>
      </c>
      <c r="U22" s="93" t="s">
        <v>535</v>
      </c>
      <c r="V22" s="93" t="s">
        <v>523</v>
      </c>
      <c r="W22" s="93" t="s">
        <v>525</v>
      </c>
    </row>
    <row r="23" spans="1:23" x14ac:dyDescent="0.2">
      <c r="A23" s="93">
        <v>38</v>
      </c>
      <c r="B23" s="93"/>
      <c r="C23" s="93" t="s">
        <v>308</v>
      </c>
      <c r="D23" s="93" t="s">
        <v>309</v>
      </c>
      <c r="E23" s="93">
        <v>1</v>
      </c>
      <c r="F23" s="93"/>
      <c r="G23" s="93"/>
      <c r="H23" s="93"/>
      <c r="I23" s="95">
        <v>43461</v>
      </c>
      <c r="J23" s="95">
        <v>43461</v>
      </c>
      <c r="K23" s="93" t="s">
        <v>559</v>
      </c>
      <c r="L23" s="93" t="s">
        <v>495</v>
      </c>
      <c r="M23" s="95">
        <v>43485</v>
      </c>
      <c r="N23" s="93" t="s">
        <v>530</v>
      </c>
      <c r="O23" s="93" t="s">
        <v>495</v>
      </c>
      <c r="P23" s="95">
        <v>43499</v>
      </c>
      <c r="Q23" s="95">
        <v>43494</v>
      </c>
      <c r="R23" s="93" t="s">
        <v>560</v>
      </c>
      <c r="S23" s="93" t="s">
        <v>523</v>
      </c>
      <c r="T23" s="95">
        <v>43494</v>
      </c>
      <c r="U23" s="93" t="s">
        <v>561</v>
      </c>
      <c r="V23" s="93" t="s">
        <v>523</v>
      </c>
      <c r="W23" s="93" t="s">
        <v>525</v>
      </c>
    </row>
    <row r="24" spans="1:23" x14ac:dyDescent="0.2">
      <c r="A24" s="93">
        <v>39</v>
      </c>
      <c r="B24" s="93"/>
      <c r="C24" s="93" t="s">
        <v>312</v>
      </c>
      <c r="D24" s="93" t="s">
        <v>311</v>
      </c>
      <c r="E24" s="93">
        <v>1</v>
      </c>
      <c r="F24" s="93"/>
      <c r="G24" s="93"/>
      <c r="H24" s="93"/>
      <c r="I24" s="95">
        <v>43465</v>
      </c>
      <c r="J24" s="95">
        <v>43465</v>
      </c>
      <c r="K24" s="93" t="s">
        <v>562</v>
      </c>
      <c r="L24" s="93" t="s">
        <v>495</v>
      </c>
      <c r="M24" s="95">
        <v>43485</v>
      </c>
      <c r="N24" s="93" t="s">
        <v>530</v>
      </c>
      <c r="O24" s="93" t="s">
        <v>495</v>
      </c>
      <c r="P24" s="95">
        <v>43499</v>
      </c>
      <c r="Q24" s="95">
        <v>43496</v>
      </c>
      <c r="R24" s="93" t="s">
        <v>534</v>
      </c>
      <c r="S24" s="93" t="s">
        <v>523</v>
      </c>
      <c r="T24" s="95">
        <v>43499</v>
      </c>
      <c r="U24" s="93" t="s">
        <v>535</v>
      </c>
      <c r="V24" s="93" t="s">
        <v>523</v>
      </c>
      <c r="W24" s="93" t="s">
        <v>525</v>
      </c>
    </row>
    <row r="25" spans="1:23" x14ac:dyDescent="0.2">
      <c r="A25" s="93">
        <v>40</v>
      </c>
      <c r="B25" s="93"/>
      <c r="C25" s="93" t="s">
        <v>313</v>
      </c>
      <c r="D25" s="93" t="s">
        <v>487</v>
      </c>
      <c r="E25" s="93">
        <v>1</v>
      </c>
      <c r="F25" s="93"/>
      <c r="G25" s="93"/>
      <c r="H25" s="93"/>
      <c r="I25" s="95">
        <v>43499</v>
      </c>
      <c r="J25" s="95">
        <v>43499</v>
      </c>
      <c r="K25" s="93" t="s">
        <v>498</v>
      </c>
      <c r="L25" s="93" t="s">
        <v>495</v>
      </c>
      <c r="M25" s="95">
        <v>43510</v>
      </c>
      <c r="N25" s="93" t="s">
        <v>563</v>
      </c>
      <c r="O25" s="93" t="s">
        <v>495</v>
      </c>
      <c r="P25" s="95">
        <v>43524</v>
      </c>
      <c r="Q25" s="95">
        <v>43520</v>
      </c>
      <c r="R25" s="93" t="s">
        <v>564</v>
      </c>
      <c r="S25" s="93" t="s">
        <v>523</v>
      </c>
      <c r="T25" s="95">
        <v>43528</v>
      </c>
      <c r="U25" s="93" t="s">
        <v>524</v>
      </c>
      <c r="V25" s="93" t="s">
        <v>523</v>
      </c>
      <c r="W25" s="93" t="s">
        <v>525</v>
      </c>
    </row>
    <row r="26" spans="1:23" x14ac:dyDescent="0.2">
      <c r="A26" s="93">
        <v>42</v>
      </c>
      <c r="B26" s="93"/>
      <c r="C26" s="93" t="s">
        <v>320</v>
      </c>
      <c r="D26" s="93" t="s">
        <v>321</v>
      </c>
      <c r="E26" s="93">
        <v>1</v>
      </c>
      <c r="F26" s="93"/>
      <c r="G26" s="93"/>
      <c r="H26" s="93" t="s">
        <v>493</v>
      </c>
      <c r="I26" s="95">
        <v>43503</v>
      </c>
      <c r="J26" s="95">
        <v>43503</v>
      </c>
      <c r="K26" s="93" t="s">
        <v>565</v>
      </c>
      <c r="L26" s="93" t="s">
        <v>495</v>
      </c>
      <c r="M26" s="95">
        <v>43517</v>
      </c>
      <c r="N26" s="93" t="s">
        <v>566</v>
      </c>
      <c r="O26" s="93" t="s">
        <v>495</v>
      </c>
      <c r="P26" s="95">
        <v>43531</v>
      </c>
      <c r="Q26" s="95">
        <v>43520</v>
      </c>
      <c r="R26" s="93" t="s">
        <v>567</v>
      </c>
      <c r="S26" s="93" t="s">
        <v>523</v>
      </c>
      <c r="T26" s="95">
        <v>43528</v>
      </c>
      <c r="U26" s="93" t="s">
        <v>524</v>
      </c>
      <c r="V26" s="93" t="s">
        <v>523</v>
      </c>
      <c r="W26" s="93" t="s">
        <v>525</v>
      </c>
    </row>
    <row r="27" spans="1:23" x14ac:dyDescent="0.2">
      <c r="A27" s="93"/>
      <c r="B27" s="93"/>
      <c r="C27" s="93" t="s">
        <v>324</v>
      </c>
      <c r="D27" s="93" t="s">
        <v>325</v>
      </c>
      <c r="E27" s="93">
        <v>2</v>
      </c>
      <c r="F27" s="93"/>
      <c r="G27" s="93"/>
      <c r="H27" s="93"/>
      <c r="I27" s="95">
        <v>43542</v>
      </c>
      <c r="J27" s="95">
        <v>43554</v>
      </c>
      <c r="K27" s="93" t="s">
        <v>568</v>
      </c>
      <c r="L27" s="93" t="s">
        <v>494</v>
      </c>
      <c r="M27" s="95">
        <v>43565</v>
      </c>
      <c r="N27" s="93" t="s">
        <v>569</v>
      </c>
      <c r="O27" s="93" t="s">
        <v>494</v>
      </c>
      <c r="P27" s="95">
        <v>43579</v>
      </c>
      <c r="Q27" s="95">
        <v>43578</v>
      </c>
      <c r="R27" s="93" t="s">
        <v>570</v>
      </c>
      <c r="S27" s="93" t="s">
        <v>523</v>
      </c>
      <c r="T27" s="95">
        <v>43578</v>
      </c>
      <c r="U27" s="93" t="s">
        <v>505</v>
      </c>
      <c r="V27" s="93" t="s">
        <v>523</v>
      </c>
      <c r="W27" s="93" t="s">
        <v>525</v>
      </c>
    </row>
    <row r="28" spans="1:23" x14ac:dyDescent="0.2">
      <c r="A28" s="93">
        <v>45</v>
      </c>
      <c r="B28" s="93"/>
      <c r="C28" s="93" t="s">
        <v>326</v>
      </c>
      <c r="D28" s="93" t="s">
        <v>368</v>
      </c>
      <c r="E28" s="93">
        <v>1</v>
      </c>
      <c r="F28" s="93"/>
      <c r="G28" s="93"/>
      <c r="H28" s="93"/>
      <c r="I28" s="95">
        <v>43512</v>
      </c>
      <c r="J28" s="95">
        <v>43512</v>
      </c>
      <c r="K28" s="93" t="s">
        <v>571</v>
      </c>
      <c r="L28" s="93" t="s">
        <v>495</v>
      </c>
      <c r="M28" s="95">
        <v>43514</v>
      </c>
      <c r="N28" s="93" t="s">
        <v>572</v>
      </c>
      <c r="O28" s="93" t="s">
        <v>495</v>
      </c>
      <c r="P28" s="95">
        <v>43528</v>
      </c>
      <c r="Q28" s="95">
        <v>43520</v>
      </c>
      <c r="R28" s="93" t="s">
        <v>573</v>
      </c>
      <c r="S28" s="93" t="s">
        <v>523</v>
      </c>
      <c r="T28" s="95">
        <v>43528</v>
      </c>
      <c r="U28" s="93" t="s">
        <v>524</v>
      </c>
      <c r="V28" s="93" t="s">
        <v>523</v>
      </c>
      <c r="W28" s="93" t="s">
        <v>525</v>
      </c>
    </row>
    <row r="29" spans="1:23" x14ac:dyDescent="0.2">
      <c r="A29" s="93"/>
      <c r="B29" s="93"/>
      <c r="C29" s="93" t="s">
        <v>326</v>
      </c>
      <c r="D29" s="93" t="s">
        <v>368</v>
      </c>
      <c r="E29" s="93">
        <v>2</v>
      </c>
      <c r="F29" s="93"/>
      <c r="G29" s="93"/>
      <c r="H29" s="93"/>
      <c r="I29" s="95">
        <v>43542</v>
      </c>
      <c r="J29" s="95">
        <v>43526</v>
      </c>
      <c r="K29" s="93" t="s">
        <v>574</v>
      </c>
      <c r="L29" s="93" t="s">
        <v>494</v>
      </c>
      <c r="M29" s="95">
        <v>43528</v>
      </c>
      <c r="N29" s="93" t="s">
        <v>496</v>
      </c>
      <c r="O29" s="93" t="s">
        <v>494</v>
      </c>
      <c r="P29" s="95">
        <v>43542</v>
      </c>
      <c r="Q29" s="95">
        <v>43544</v>
      </c>
      <c r="R29" s="93" t="s">
        <v>575</v>
      </c>
      <c r="S29" s="93" t="s">
        <v>523</v>
      </c>
      <c r="T29" s="95">
        <v>43545</v>
      </c>
      <c r="U29" s="93" t="s">
        <v>576</v>
      </c>
      <c r="V29" s="93" t="s">
        <v>523</v>
      </c>
      <c r="W29" s="93" t="s">
        <v>525</v>
      </c>
    </row>
    <row r="30" spans="1:23" x14ac:dyDescent="0.2">
      <c r="A30" s="93">
        <v>46</v>
      </c>
      <c r="B30" s="93"/>
      <c r="C30" s="93" t="s">
        <v>344</v>
      </c>
      <c r="D30" s="93" t="s">
        <v>345</v>
      </c>
      <c r="E30" s="93">
        <v>1</v>
      </c>
      <c r="F30" s="93"/>
      <c r="G30" s="93"/>
      <c r="H30" s="93"/>
      <c r="I30" s="95">
        <v>43526</v>
      </c>
      <c r="J30" s="95">
        <v>43526</v>
      </c>
      <c r="K30" s="93" t="s">
        <v>536</v>
      </c>
      <c r="L30" s="93" t="s">
        <v>495</v>
      </c>
      <c r="M30" s="95">
        <v>43528</v>
      </c>
      <c r="N30" s="93" t="s">
        <v>501</v>
      </c>
      <c r="O30" s="93" t="s">
        <v>495</v>
      </c>
      <c r="P30" s="95">
        <v>43542</v>
      </c>
      <c r="Q30" s="95">
        <v>43541</v>
      </c>
      <c r="R30" s="93" t="s">
        <v>537</v>
      </c>
      <c r="S30" s="93" t="s">
        <v>523</v>
      </c>
      <c r="T30" s="95">
        <v>43541</v>
      </c>
      <c r="U30" s="93" t="s">
        <v>506</v>
      </c>
      <c r="V30" s="93" t="s">
        <v>523</v>
      </c>
      <c r="W30" s="93" t="s">
        <v>525</v>
      </c>
    </row>
    <row r="31" spans="1:23" x14ac:dyDescent="0.2">
      <c r="A31" s="93">
        <v>50</v>
      </c>
      <c r="B31" s="93"/>
      <c r="C31" s="93" t="s">
        <v>349</v>
      </c>
      <c r="D31" s="93" t="s">
        <v>354</v>
      </c>
      <c r="E31" s="93">
        <v>1</v>
      </c>
      <c r="F31" s="93"/>
      <c r="G31" s="93"/>
      <c r="H31" s="93"/>
      <c r="I31" s="95">
        <v>43537</v>
      </c>
      <c r="J31" s="95">
        <v>43537</v>
      </c>
      <c r="K31" s="93" t="s">
        <v>577</v>
      </c>
      <c r="L31" s="93" t="s">
        <v>495</v>
      </c>
      <c r="M31" s="95">
        <v>43555</v>
      </c>
      <c r="N31" s="93" t="s">
        <v>578</v>
      </c>
      <c r="O31" s="93" t="s">
        <v>495</v>
      </c>
      <c r="P31" s="95">
        <v>43569</v>
      </c>
      <c r="Q31" s="95">
        <v>43565</v>
      </c>
      <c r="R31" s="93" t="s">
        <v>579</v>
      </c>
      <c r="S31" s="93" t="s">
        <v>523</v>
      </c>
      <c r="T31" s="95">
        <v>43565</v>
      </c>
      <c r="U31" s="93" t="s">
        <v>497</v>
      </c>
      <c r="V31" s="93" t="s">
        <v>523</v>
      </c>
      <c r="W31" s="93" t="s">
        <v>525</v>
      </c>
    </row>
    <row r="32" spans="1:23" x14ac:dyDescent="0.2">
      <c r="A32" s="93">
        <v>51</v>
      </c>
      <c r="B32" s="93"/>
      <c r="C32" s="93" t="s">
        <v>350</v>
      </c>
      <c r="D32" s="93" t="s">
        <v>355</v>
      </c>
      <c r="E32" s="93">
        <v>1</v>
      </c>
      <c r="F32" s="93"/>
      <c r="G32" s="93"/>
      <c r="H32" s="93"/>
      <c r="I32" s="95">
        <v>43537</v>
      </c>
      <c r="J32" s="95">
        <v>43537</v>
      </c>
      <c r="K32" s="93" t="s">
        <v>577</v>
      </c>
      <c r="L32" s="93" t="s">
        <v>495</v>
      </c>
      <c r="M32" s="95">
        <v>43555</v>
      </c>
      <c r="N32" s="93" t="s">
        <v>578</v>
      </c>
      <c r="O32" s="93" t="s">
        <v>495</v>
      </c>
      <c r="P32" s="95">
        <v>43569</v>
      </c>
      <c r="Q32" s="95">
        <v>43565</v>
      </c>
      <c r="R32" s="93" t="s">
        <v>579</v>
      </c>
      <c r="S32" s="93" t="s">
        <v>523</v>
      </c>
      <c r="T32" s="95">
        <v>43565</v>
      </c>
      <c r="U32" s="93" t="s">
        <v>497</v>
      </c>
      <c r="V32" s="93" t="s">
        <v>523</v>
      </c>
      <c r="W32" s="93" t="s">
        <v>525</v>
      </c>
    </row>
    <row r="33" spans="1:23" x14ac:dyDescent="0.2">
      <c r="A33" s="93">
        <v>53</v>
      </c>
      <c r="B33" s="93"/>
      <c r="C33" s="93" t="s">
        <v>352</v>
      </c>
      <c r="D33" s="93" t="s">
        <v>356</v>
      </c>
      <c r="E33" s="93">
        <v>1</v>
      </c>
      <c r="F33" s="93"/>
      <c r="G33" s="93"/>
      <c r="H33" s="93" t="s">
        <v>493</v>
      </c>
      <c r="I33" s="95">
        <v>43554</v>
      </c>
      <c r="J33" s="95">
        <v>43554</v>
      </c>
      <c r="K33" s="93" t="s">
        <v>568</v>
      </c>
      <c r="L33" s="93" t="s">
        <v>495</v>
      </c>
      <c r="M33" s="95">
        <v>43565</v>
      </c>
      <c r="N33" s="93" t="s">
        <v>580</v>
      </c>
      <c r="O33" s="93" t="s">
        <v>495</v>
      </c>
      <c r="P33" s="95">
        <v>43579</v>
      </c>
      <c r="Q33" s="95">
        <v>43578</v>
      </c>
      <c r="R33" s="93" t="s">
        <v>581</v>
      </c>
      <c r="S33" s="93" t="s">
        <v>523</v>
      </c>
      <c r="T33" s="95">
        <v>43578</v>
      </c>
      <c r="U33" s="93" t="s">
        <v>505</v>
      </c>
      <c r="V33" s="93" t="s">
        <v>523</v>
      </c>
      <c r="W33" s="93" t="s">
        <v>525</v>
      </c>
    </row>
    <row r="34" spans="1:23" x14ac:dyDescent="0.2">
      <c r="A34" s="93"/>
      <c r="B34" s="93"/>
      <c r="C34" s="93" t="s">
        <v>352</v>
      </c>
      <c r="D34" s="93" t="s">
        <v>356</v>
      </c>
      <c r="E34" s="93">
        <v>3</v>
      </c>
      <c r="F34" s="93"/>
      <c r="G34" s="93"/>
      <c r="H34" s="93"/>
      <c r="I34" s="93"/>
      <c r="J34" s="95">
        <v>43583</v>
      </c>
      <c r="K34" s="93" t="s">
        <v>507</v>
      </c>
      <c r="L34" s="93" t="s">
        <v>494</v>
      </c>
      <c r="M34" s="95">
        <v>43591</v>
      </c>
      <c r="N34" s="93" t="s">
        <v>508</v>
      </c>
      <c r="O34" s="93" t="s">
        <v>494</v>
      </c>
      <c r="P34" s="95">
        <v>43605</v>
      </c>
      <c r="Q34" s="95">
        <v>43604</v>
      </c>
      <c r="R34" s="93" t="s">
        <v>582</v>
      </c>
      <c r="S34" s="93" t="s">
        <v>523</v>
      </c>
      <c r="T34" s="95">
        <v>43606</v>
      </c>
      <c r="U34" s="93" t="s">
        <v>509</v>
      </c>
      <c r="V34" s="93" t="s">
        <v>523</v>
      </c>
      <c r="W34" s="93" t="s">
        <v>525</v>
      </c>
    </row>
    <row r="35" spans="1:23" x14ac:dyDescent="0.2">
      <c r="A35" s="93">
        <v>59</v>
      </c>
      <c r="B35" s="93"/>
      <c r="C35" s="93" t="s">
        <v>371</v>
      </c>
      <c r="D35" s="93" t="s">
        <v>372</v>
      </c>
      <c r="E35" s="93">
        <v>1</v>
      </c>
      <c r="F35" s="93"/>
      <c r="G35" s="93"/>
      <c r="H35" s="93"/>
      <c r="I35" s="95">
        <v>43552</v>
      </c>
      <c r="J35" s="95">
        <v>43552</v>
      </c>
      <c r="K35" s="93" t="s">
        <v>583</v>
      </c>
      <c r="L35" s="93" t="s">
        <v>495</v>
      </c>
      <c r="M35" s="95">
        <v>43566</v>
      </c>
      <c r="N35" s="93" t="s">
        <v>584</v>
      </c>
      <c r="O35" s="93" t="s">
        <v>495</v>
      </c>
      <c r="P35" s="95">
        <v>43580</v>
      </c>
      <c r="Q35" s="95">
        <v>43579</v>
      </c>
      <c r="R35" s="93" t="s">
        <v>585</v>
      </c>
      <c r="S35" s="93" t="s">
        <v>523</v>
      </c>
      <c r="T35" s="95">
        <v>43584</v>
      </c>
      <c r="U35" s="93" t="s">
        <v>510</v>
      </c>
      <c r="V35" s="93" t="s">
        <v>523</v>
      </c>
      <c r="W35" s="93" t="s">
        <v>525</v>
      </c>
    </row>
    <row r="36" spans="1:23" x14ac:dyDescent="0.2">
      <c r="A36" s="93"/>
      <c r="B36" s="93"/>
      <c r="C36" s="93" t="s">
        <v>406</v>
      </c>
      <c r="D36" s="93" t="s">
        <v>407</v>
      </c>
      <c r="E36" s="93">
        <v>2</v>
      </c>
      <c r="F36" s="93"/>
      <c r="G36" s="93"/>
      <c r="H36" s="93"/>
      <c r="I36" s="95">
        <v>43620</v>
      </c>
      <c r="J36" s="95">
        <v>43618</v>
      </c>
      <c r="K36" s="93" t="s">
        <v>586</v>
      </c>
      <c r="L36" s="93" t="s">
        <v>494</v>
      </c>
      <c r="M36" s="95">
        <v>43619</v>
      </c>
      <c r="N36" s="93" t="s">
        <v>587</v>
      </c>
      <c r="O36" s="93" t="s">
        <v>494</v>
      </c>
      <c r="P36" s="95">
        <v>43633</v>
      </c>
      <c r="Q36" s="95">
        <v>43635</v>
      </c>
      <c r="R36" s="93" t="s">
        <v>588</v>
      </c>
      <c r="S36" s="93" t="s">
        <v>523</v>
      </c>
      <c r="T36" s="95">
        <v>43635</v>
      </c>
      <c r="U36" s="93" t="s">
        <v>589</v>
      </c>
      <c r="V36" s="93" t="s">
        <v>523</v>
      </c>
      <c r="W36" s="93" t="s">
        <v>525</v>
      </c>
    </row>
    <row r="37" spans="1:23" x14ac:dyDescent="0.2">
      <c r="A37" s="93">
        <v>67</v>
      </c>
      <c r="B37" s="93"/>
      <c r="C37" s="93" t="s">
        <v>410</v>
      </c>
      <c r="D37" s="93" t="s">
        <v>411</v>
      </c>
      <c r="E37" s="93">
        <v>1</v>
      </c>
      <c r="F37" s="93"/>
      <c r="G37" s="93"/>
      <c r="H37" s="93"/>
      <c r="I37" s="95">
        <v>43585</v>
      </c>
      <c r="J37" s="95">
        <v>43585</v>
      </c>
      <c r="K37" s="93" t="s">
        <v>511</v>
      </c>
      <c r="L37" s="93" t="s">
        <v>495</v>
      </c>
      <c r="M37" s="95">
        <v>43591</v>
      </c>
      <c r="N37" s="93" t="s">
        <v>512</v>
      </c>
      <c r="O37" s="93" t="s">
        <v>495</v>
      </c>
      <c r="P37" s="95">
        <v>43605</v>
      </c>
      <c r="Q37" s="95">
        <v>43604</v>
      </c>
      <c r="R37" s="93" t="s">
        <v>513</v>
      </c>
      <c r="S37" s="93" t="s">
        <v>523</v>
      </c>
      <c r="T37" s="95">
        <v>43606</v>
      </c>
      <c r="U37" s="93" t="s">
        <v>509</v>
      </c>
      <c r="V37" s="93" t="s">
        <v>523</v>
      </c>
      <c r="W37" s="93" t="s">
        <v>525</v>
      </c>
    </row>
    <row r="38" spans="1:23" x14ac:dyDescent="0.2">
      <c r="A38" s="93">
        <v>68</v>
      </c>
      <c r="B38" s="93"/>
      <c r="C38" s="93" t="s">
        <v>413</v>
      </c>
      <c r="D38" s="93" t="s">
        <v>416</v>
      </c>
      <c r="E38" s="93">
        <v>1</v>
      </c>
      <c r="F38" s="93"/>
      <c r="G38" s="93"/>
      <c r="H38" s="93"/>
      <c r="I38" s="95">
        <v>43593</v>
      </c>
      <c r="J38" s="95">
        <v>43593</v>
      </c>
      <c r="K38" s="93" t="s">
        <v>590</v>
      </c>
      <c r="L38" s="93" t="s">
        <v>495</v>
      </c>
      <c r="M38" s="95">
        <v>43607</v>
      </c>
      <c r="N38" s="93" t="s">
        <v>591</v>
      </c>
      <c r="O38" s="93" t="s">
        <v>495</v>
      </c>
      <c r="P38" s="95">
        <v>43621</v>
      </c>
      <c r="Q38" s="95">
        <v>43628</v>
      </c>
      <c r="R38" s="93" t="s">
        <v>592</v>
      </c>
      <c r="S38" s="93" t="s">
        <v>523</v>
      </c>
      <c r="T38" s="95">
        <v>43632</v>
      </c>
      <c r="U38" s="93" t="s">
        <v>593</v>
      </c>
      <c r="V38" s="93" t="s">
        <v>523</v>
      </c>
      <c r="W38" s="93" t="s">
        <v>525</v>
      </c>
    </row>
    <row r="39" spans="1:23" x14ac:dyDescent="0.2">
      <c r="A39" s="93"/>
      <c r="B39" s="93"/>
      <c r="C39" s="93" t="s">
        <v>413</v>
      </c>
      <c r="D39" s="93" t="s">
        <v>416</v>
      </c>
      <c r="E39" s="93">
        <v>2</v>
      </c>
      <c r="F39" s="93"/>
      <c r="G39" s="93"/>
      <c r="H39" s="93"/>
      <c r="I39" s="95">
        <v>43646</v>
      </c>
      <c r="J39" s="95">
        <v>43645</v>
      </c>
      <c r="K39" s="93" t="s">
        <v>594</v>
      </c>
      <c r="L39" s="93" t="s">
        <v>494</v>
      </c>
      <c r="M39" s="95">
        <v>43646</v>
      </c>
      <c r="N39" s="93" t="s">
        <v>595</v>
      </c>
      <c r="O39" s="93" t="s">
        <v>494</v>
      </c>
      <c r="P39" s="95">
        <v>43660</v>
      </c>
      <c r="Q39" s="95">
        <v>43650</v>
      </c>
      <c r="R39" s="93" t="s">
        <v>596</v>
      </c>
      <c r="S39" s="93" t="s">
        <v>523</v>
      </c>
      <c r="T39" s="95">
        <v>43653</v>
      </c>
      <c r="U39" s="93" t="s">
        <v>597</v>
      </c>
      <c r="V39" s="93" t="s">
        <v>523</v>
      </c>
      <c r="W39" s="93" t="s">
        <v>525</v>
      </c>
    </row>
    <row r="40" spans="1:23" x14ac:dyDescent="0.2">
      <c r="A40" s="93"/>
      <c r="B40" s="93"/>
      <c r="C40" s="93" t="s">
        <v>413</v>
      </c>
      <c r="D40" s="93" t="s">
        <v>416</v>
      </c>
      <c r="E40" s="93">
        <v>3</v>
      </c>
      <c r="F40" s="93"/>
      <c r="G40" s="93"/>
      <c r="H40" s="93"/>
      <c r="I40" s="95">
        <v>43667</v>
      </c>
      <c r="J40" s="95">
        <v>43664</v>
      </c>
      <c r="K40" s="93" t="s">
        <v>502</v>
      </c>
      <c r="L40" s="93" t="s">
        <v>494</v>
      </c>
      <c r="M40" s="95">
        <v>43670</v>
      </c>
      <c r="N40" s="93" t="s">
        <v>503</v>
      </c>
      <c r="O40" s="93" t="s">
        <v>494</v>
      </c>
      <c r="P40" s="95">
        <v>43684</v>
      </c>
      <c r="Q40" s="95">
        <v>43683</v>
      </c>
      <c r="R40" s="93" t="s">
        <v>598</v>
      </c>
      <c r="S40" s="93" t="s">
        <v>523</v>
      </c>
      <c r="T40" s="95">
        <v>43684</v>
      </c>
      <c r="U40" s="93" t="s">
        <v>504</v>
      </c>
      <c r="V40" s="93" t="s">
        <v>523</v>
      </c>
      <c r="W40" s="93" t="s">
        <v>525</v>
      </c>
    </row>
    <row r="41" spans="1:23" x14ac:dyDescent="0.2">
      <c r="A41" s="93">
        <v>69</v>
      </c>
      <c r="B41" s="93"/>
      <c r="C41" s="93" t="s">
        <v>414</v>
      </c>
      <c r="D41" s="93" t="s">
        <v>417</v>
      </c>
      <c r="E41" s="93">
        <v>1</v>
      </c>
      <c r="F41" s="93"/>
      <c r="G41" s="93"/>
      <c r="H41" s="93"/>
      <c r="I41" s="95">
        <v>43593</v>
      </c>
      <c r="J41" s="95">
        <v>43593</v>
      </c>
      <c r="K41" s="93" t="s">
        <v>599</v>
      </c>
      <c r="L41" s="93" t="s">
        <v>495</v>
      </c>
      <c r="M41" s="95">
        <v>43604</v>
      </c>
      <c r="N41" s="93" t="s">
        <v>600</v>
      </c>
      <c r="O41" s="93" t="s">
        <v>495</v>
      </c>
      <c r="P41" s="95">
        <v>43618</v>
      </c>
      <c r="Q41" s="95">
        <v>43671</v>
      </c>
      <c r="R41" s="93" t="s">
        <v>601</v>
      </c>
      <c r="S41" s="93" t="s">
        <v>523</v>
      </c>
      <c r="T41" s="95">
        <v>43675</v>
      </c>
      <c r="U41" s="93" t="s">
        <v>539</v>
      </c>
      <c r="V41" s="93" t="s">
        <v>523</v>
      </c>
      <c r="W41" s="93" t="s">
        <v>525</v>
      </c>
    </row>
    <row r="42" spans="1:23" x14ac:dyDescent="0.2">
      <c r="A42" s="93">
        <v>70</v>
      </c>
      <c r="B42" s="93"/>
      <c r="C42" s="93" t="s">
        <v>415</v>
      </c>
      <c r="D42" s="93" t="s">
        <v>418</v>
      </c>
      <c r="E42" s="93">
        <v>1</v>
      </c>
      <c r="F42" s="93"/>
      <c r="G42" s="93"/>
      <c r="H42" s="93"/>
      <c r="I42" s="95">
        <v>43593</v>
      </c>
      <c r="J42" s="95">
        <v>43593</v>
      </c>
      <c r="K42" s="93" t="s">
        <v>599</v>
      </c>
      <c r="L42" s="93" t="s">
        <v>495</v>
      </c>
      <c r="M42" s="95">
        <v>43604</v>
      </c>
      <c r="N42" s="93" t="s">
        <v>600</v>
      </c>
      <c r="O42" s="93" t="s">
        <v>495</v>
      </c>
      <c r="P42" s="95">
        <v>43618</v>
      </c>
      <c r="Q42" s="95">
        <v>43641</v>
      </c>
      <c r="R42" s="93" t="s">
        <v>602</v>
      </c>
      <c r="S42" s="93" t="s">
        <v>523</v>
      </c>
      <c r="T42" s="95">
        <v>43642</v>
      </c>
      <c r="U42" s="93" t="s">
        <v>603</v>
      </c>
      <c r="V42" s="93" t="s">
        <v>523</v>
      </c>
      <c r="W42" s="93" t="s">
        <v>525</v>
      </c>
    </row>
    <row r="43" spans="1:23" x14ac:dyDescent="0.2">
      <c r="A43" s="93"/>
      <c r="B43" s="93"/>
      <c r="C43" s="93" t="s">
        <v>415</v>
      </c>
      <c r="D43" s="93" t="s">
        <v>418</v>
      </c>
      <c r="E43" s="93">
        <v>2</v>
      </c>
      <c r="F43" s="93"/>
      <c r="G43" s="93"/>
      <c r="H43" s="93"/>
      <c r="I43" s="95">
        <v>43656</v>
      </c>
      <c r="J43" s="95">
        <v>43645</v>
      </c>
      <c r="K43" s="93" t="s">
        <v>594</v>
      </c>
      <c r="L43" s="93" t="s">
        <v>494</v>
      </c>
      <c r="M43" s="95">
        <v>43646</v>
      </c>
      <c r="N43" s="93" t="s">
        <v>595</v>
      </c>
      <c r="O43" s="93" t="s">
        <v>494</v>
      </c>
      <c r="P43" s="95">
        <v>43660</v>
      </c>
      <c r="Q43" s="95">
        <v>43650</v>
      </c>
      <c r="R43" s="93" t="s">
        <v>604</v>
      </c>
      <c r="S43" s="93" t="s">
        <v>523</v>
      </c>
      <c r="T43" s="95">
        <v>43653</v>
      </c>
      <c r="U43" s="93" t="s">
        <v>597</v>
      </c>
      <c r="V43" s="93" t="s">
        <v>523</v>
      </c>
      <c r="W43" s="93" t="s">
        <v>525</v>
      </c>
    </row>
    <row r="44" spans="1:23" x14ac:dyDescent="0.2">
      <c r="A44" s="93"/>
      <c r="B44" s="93"/>
      <c r="C44" s="93" t="s">
        <v>415</v>
      </c>
      <c r="D44" s="93" t="s">
        <v>418</v>
      </c>
      <c r="E44" s="93">
        <v>3</v>
      </c>
      <c r="F44" s="93"/>
      <c r="G44" s="93"/>
      <c r="H44" s="93"/>
      <c r="I44" s="95">
        <v>43667</v>
      </c>
      <c r="J44" s="95">
        <v>43664</v>
      </c>
      <c r="K44" s="93" t="s">
        <v>502</v>
      </c>
      <c r="L44" s="93" t="s">
        <v>494</v>
      </c>
      <c r="M44" s="95">
        <v>43670</v>
      </c>
      <c r="N44" s="93" t="s">
        <v>503</v>
      </c>
      <c r="O44" s="93" t="s">
        <v>494</v>
      </c>
      <c r="P44" s="95">
        <v>43684</v>
      </c>
      <c r="Q44" s="95">
        <v>43725</v>
      </c>
      <c r="R44" s="93" t="s">
        <v>605</v>
      </c>
      <c r="S44" s="93" t="s">
        <v>523</v>
      </c>
      <c r="T44" s="95">
        <v>43726</v>
      </c>
      <c r="U44" s="93" t="s">
        <v>606</v>
      </c>
      <c r="V44" s="93" t="s">
        <v>523</v>
      </c>
      <c r="W44" s="93" t="s">
        <v>525</v>
      </c>
    </row>
    <row r="45" spans="1:23" x14ac:dyDescent="0.2">
      <c r="A45" s="93">
        <v>71</v>
      </c>
      <c r="B45" s="93"/>
      <c r="C45" s="93" t="s">
        <v>422</v>
      </c>
      <c r="D45" s="93" t="s">
        <v>423</v>
      </c>
      <c r="E45" s="93">
        <v>1</v>
      </c>
      <c r="F45" s="93"/>
      <c r="G45" s="93"/>
      <c r="H45" s="93"/>
      <c r="I45" s="95">
        <v>43599</v>
      </c>
      <c r="J45" s="95">
        <v>43599</v>
      </c>
      <c r="K45" s="93" t="s">
        <v>607</v>
      </c>
      <c r="L45" s="93" t="s">
        <v>495</v>
      </c>
      <c r="M45" s="95">
        <v>43604</v>
      </c>
      <c r="N45" s="93" t="s">
        <v>518</v>
      </c>
      <c r="O45" s="93" t="s">
        <v>495</v>
      </c>
      <c r="P45" s="95">
        <v>43618</v>
      </c>
      <c r="Q45" s="95">
        <v>43618</v>
      </c>
      <c r="R45" s="93" t="s">
        <v>519</v>
      </c>
      <c r="S45" s="93" t="s">
        <v>523</v>
      </c>
      <c r="T45" s="95">
        <v>43619</v>
      </c>
      <c r="U45" s="93" t="s">
        <v>520</v>
      </c>
      <c r="V45" s="93" t="s">
        <v>523</v>
      </c>
      <c r="W45" s="93" t="s">
        <v>525</v>
      </c>
    </row>
    <row r="46" spans="1:23" x14ac:dyDescent="0.2">
      <c r="A46" s="93">
        <v>75</v>
      </c>
      <c r="B46" s="93"/>
      <c r="C46" s="93" t="s">
        <v>450</v>
      </c>
      <c r="D46" s="93" t="s">
        <v>451</v>
      </c>
      <c r="E46" s="93">
        <v>1</v>
      </c>
      <c r="F46" s="93"/>
      <c r="G46" s="93"/>
      <c r="H46" s="93" t="s">
        <v>493</v>
      </c>
      <c r="I46" s="95">
        <v>43649</v>
      </c>
      <c r="J46" s="95">
        <v>43649</v>
      </c>
      <c r="K46" s="93" t="s">
        <v>608</v>
      </c>
      <c r="L46" s="93" t="s">
        <v>495</v>
      </c>
      <c r="M46" s="95">
        <v>43650</v>
      </c>
      <c r="N46" s="93" t="s">
        <v>609</v>
      </c>
      <c r="O46" s="93" t="s">
        <v>495</v>
      </c>
      <c r="P46" s="95">
        <v>43664</v>
      </c>
      <c r="Q46" s="95">
        <v>43662</v>
      </c>
      <c r="R46" s="93" t="s">
        <v>610</v>
      </c>
      <c r="S46" s="93" t="s">
        <v>523</v>
      </c>
      <c r="T46" s="95">
        <v>43663</v>
      </c>
      <c r="U46" s="93" t="s">
        <v>611</v>
      </c>
      <c r="V46" s="93" t="s">
        <v>523</v>
      </c>
      <c r="W46" s="93" t="s">
        <v>525</v>
      </c>
    </row>
  </sheetData>
  <conditionalFormatting sqref="B5">
    <cfRule type="duplicateValues" dxfId="482" priority="3" stopIfTrue="1"/>
  </conditionalFormatting>
  <conditionalFormatting sqref="B5">
    <cfRule type="duplicateValues" dxfId="481" priority="2"/>
  </conditionalFormatting>
  <conditionalFormatting sqref="B5">
    <cfRule type="duplicateValues" dxfId="48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boBox1">
          <controlPr defaultSize="0" autoLine="0" r:id="rId4">
            <anchor moveWithCells="1">
              <from>
                <xdr:col>3</xdr:col>
                <xdr:colOff>38100</xdr:colOff>
                <xdr:row>0</xdr:row>
                <xdr:rowOff>66675</xdr:rowOff>
              </from>
              <to>
                <xdr:col>3</xdr:col>
                <xdr:colOff>2438400</xdr:colOff>
                <xdr:row>2</xdr:row>
                <xdr:rowOff>66675</xdr:rowOff>
              </to>
            </anchor>
          </controlPr>
        </control>
      </mc:Choice>
      <mc:Fallback>
        <control shapeId="1025" r:id="rId3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W423"/>
  <sheetViews>
    <sheetView view="pageBreakPreview" topLeftCell="L1" zoomScaleNormal="100" zoomScaleSheetLayoutView="100" workbookViewId="0">
      <pane ySplit="5" topLeftCell="A6" activePane="bottomLeft" state="frozen"/>
      <selection pane="bottomLeft" activeCell="A4" sqref="A4:W4"/>
    </sheetView>
  </sheetViews>
  <sheetFormatPr defaultRowHeight="12.75" x14ac:dyDescent="0.2"/>
  <cols>
    <col min="1" max="1" width="4.28515625" style="1" customWidth="1"/>
    <col min="2" max="2" width="45.7109375" style="1" customWidth="1"/>
    <col min="3" max="3" width="35.5703125" style="1" customWidth="1"/>
    <col min="4" max="4" width="67.140625" style="19" bestFit="1" customWidth="1"/>
    <col min="5" max="5" width="5.42578125" style="21" customWidth="1"/>
    <col min="6" max="7" width="10" style="21" bestFit="1" customWidth="1"/>
    <col min="8" max="8" width="6.7109375" style="21" customWidth="1"/>
    <col min="9" max="9" width="11.42578125" style="25" customWidth="1"/>
    <col min="10" max="10" width="10.28515625" style="2" customWidth="1"/>
    <col min="11" max="11" width="22.42578125" style="2" bestFit="1" customWidth="1"/>
    <col min="12" max="12" width="9.140625" style="2" customWidth="1"/>
    <col min="13" max="13" width="11.42578125" style="2" customWidth="1"/>
    <col min="14" max="14" width="23.7109375" style="2" customWidth="1"/>
    <col min="15" max="15" width="8.7109375" style="2" customWidth="1"/>
    <col min="16" max="16" width="10.42578125" style="2" customWidth="1"/>
    <col min="17" max="17" width="12.5703125" style="2" customWidth="1"/>
    <col min="18" max="18" width="22.42578125" style="2" customWidth="1"/>
    <col min="19" max="19" width="9.28515625" style="11" customWidth="1"/>
    <col min="20" max="20" width="10.85546875" style="2" customWidth="1"/>
    <col min="21" max="21" width="28.5703125" style="2" bestFit="1" customWidth="1"/>
    <col min="22" max="22" width="9.7109375" style="2" customWidth="1"/>
    <col min="23" max="23" width="25.28515625" style="1" customWidth="1"/>
    <col min="24" max="16384" width="9.140625" style="1"/>
  </cols>
  <sheetData>
    <row r="1" spans="1:23" ht="27" customHeight="1" x14ac:dyDescent="0.2">
      <c r="A1" s="100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2"/>
    </row>
    <row r="2" spans="1:23" ht="20.25" customHeight="1" x14ac:dyDescent="0.2">
      <c r="A2" s="103"/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5"/>
    </row>
    <row r="3" spans="1:23" ht="21" x14ac:dyDescent="0.2">
      <c r="A3" s="106"/>
      <c r="B3" s="107"/>
      <c r="C3" s="107"/>
      <c r="D3" s="107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"/>
      <c r="T3" s="10"/>
      <c r="U3" s="10"/>
      <c r="V3" s="10" t="s">
        <v>256</v>
      </c>
      <c r="W3" s="12">
        <f ca="1">TODAY()</f>
        <v>43811</v>
      </c>
    </row>
    <row r="4" spans="1:23" ht="42" x14ac:dyDescent="0.2">
      <c r="A4" s="8" t="s">
        <v>2</v>
      </c>
      <c r="B4" s="27" t="s">
        <v>266</v>
      </c>
      <c r="C4" s="14" t="s">
        <v>248</v>
      </c>
      <c r="D4" s="8" t="s">
        <v>1</v>
      </c>
      <c r="E4" s="8" t="s">
        <v>0</v>
      </c>
      <c r="F4" s="8" t="s">
        <v>491</v>
      </c>
      <c r="G4" s="8" t="s">
        <v>492</v>
      </c>
      <c r="H4" s="8" t="s">
        <v>267</v>
      </c>
      <c r="I4" s="9" t="s">
        <v>261</v>
      </c>
      <c r="J4" s="26" t="s">
        <v>262</v>
      </c>
      <c r="K4" s="26" t="s">
        <v>263</v>
      </c>
      <c r="L4" s="26" t="s">
        <v>260</v>
      </c>
      <c r="M4" s="17" t="s">
        <v>250</v>
      </c>
      <c r="N4" s="17" t="s">
        <v>251</v>
      </c>
      <c r="O4" s="17" t="s">
        <v>260</v>
      </c>
      <c r="P4" s="13" t="s">
        <v>252</v>
      </c>
      <c r="Q4" s="17" t="s">
        <v>253</v>
      </c>
      <c r="R4" s="17" t="s">
        <v>254</v>
      </c>
      <c r="S4" s="18" t="s">
        <v>255</v>
      </c>
      <c r="T4" s="26" t="s">
        <v>264</v>
      </c>
      <c r="U4" s="26" t="s">
        <v>265</v>
      </c>
      <c r="V4" s="26" t="s">
        <v>268</v>
      </c>
      <c r="W4" s="8" t="s">
        <v>249</v>
      </c>
    </row>
    <row r="5" spans="1:23" ht="18.75" customHeight="1" x14ac:dyDescent="0.2">
      <c r="A5" s="109" t="s">
        <v>257</v>
      </c>
      <c r="B5" s="110"/>
      <c r="C5" s="110"/>
      <c r="D5" s="23" t="s">
        <v>258</v>
      </c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1" t="s">
        <v>259</v>
      </c>
      <c r="R5" s="111"/>
      <c r="S5" s="111"/>
      <c r="T5" s="111"/>
      <c r="U5" s="111"/>
      <c r="V5" s="111"/>
      <c r="W5" s="112"/>
    </row>
    <row r="6" spans="1:23" s="16" customFormat="1" x14ac:dyDescent="0.2">
      <c r="A6" s="97">
        <v>1</v>
      </c>
      <c r="B6" s="28" t="str">
        <f>CONCATENATE(C6,"-",E6)</f>
        <v>KHF-00-104265-AA-4880-01301-0000-1</v>
      </c>
      <c r="C6" s="31" t="s">
        <v>269</v>
      </c>
      <c r="D6" s="24" t="s">
        <v>270</v>
      </c>
      <c r="E6" s="20">
        <v>1</v>
      </c>
      <c r="F6" s="20"/>
      <c r="G6" s="20"/>
      <c r="H6" s="20" t="str">
        <f t="shared" ref="H6:H11" si="0">IF(AND(C6=C7,J7="",J6&lt;&gt;""),"L","")</f>
        <v>L</v>
      </c>
      <c r="I6" s="3">
        <v>43453</v>
      </c>
      <c r="J6" s="15">
        <f>IFERROR(VLOOKUP(B6,'[1]Incoming from JEL'!$A$6:$G$5002,3,0),"")</f>
        <v>43453</v>
      </c>
      <c r="K6" s="15" t="str">
        <f>IFERROR(VLOOKUP(B6,'[1]Incoming from JEL'!$A$6:$G$5002,2,0),"")</f>
        <v>AIP-YKP-JEL-T-0001</v>
      </c>
      <c r="L6" s="15" t="str">
        <f>IFERROR(VLOOKUP(B6,'[1]Incoming from JEL'!$A$6:$G$5002,7,0),"")</f>
        <v>IFI</v>
      </c>
      <c r="M6" s="15" t="str">
        <f>IFERROR(VLOOKUP(B6,'[2]Outgoing Transmittals to PDO'!$A$6:$G$20000,3,0),"")</f>
        <v/>
      </c>
      <c r="N6" s="15" t="str">
        <f>IFERROR(VLOOKUP(B6,'[2]Outgoing Transmittals to PDO'!$A$6:$G$20000,2,0),"")</f>
        <v/>
      </c>
      <c r="O6" s="15" t="str">
        <f>IFERROR(VLOOKUP(B6,'[2]Outgoing Transmittals to PDO'!$A$6:$G$20000,7,0),"")</f>
        <v/>
      </c>
      <c r="P6" s="15" t="str">
        <f t="shared" ref="P6" si="1">IF(ISNUMBER(M6),SUM(M6+14),"")</f>
        <v/>
      </c>
      <c r="Q6" s="15" t="str">
        <f>IFERROR(VLOOKUP(B6,'[3]Incoming Transmittals from PDO'!$A$6:$G$20000,3,0),"")</f>
        <v/>
      </c>
      <c r="R6" s="15" t="str">
        <f>IFERROR(VLOOKUP(B6,'[3]Incoming Transmittals from PDO'!$A$6:$G$20000,2,0),"")</f>
        <v/>
      </c>
      <c r="S6" s="15" t="str">
        <f>IFERROR(VLOOKUP(B6,'[3]Incoming Transmittals from PDO'!$A$6:$G$20000,7,0),"")</f>
        <v/>
      </c>
      <c r="T6" s="15" t="str">
        <f>IFERROR(VLOOKUP(B6,'[1]Outgoing to JEL'!$A$6:$G$5000,3,0),"")</f>
        <v/>
      </c>
      <c r="U6" s="15" t="str">
        <f>IFERROR(VLOOKUP(B6,'[1]Outgoing to JEL'!$A$6:$G$5000,2,0),"")</f>
        <v/>
      </c>
      <c r="V6" s="15" t="str">
        <f>IFERROR(VLOOKUP(B6,'[1]Outgoing to JEL'!$A$6:$G$5000,7,0),"")</f>
        <v/>
      </c>
      <c r="W6" s="3" t="str">
        <f>IF(S6="Code A","Approved by PDO",IF(S6="Code B","Comments from PDO",IF(S6="Code C","Review not Required",IF(S6="Code D","Rejected by PDO",IF(V6="Code A","Approved by AIP",IF(V6="Code B","Comments from AIP",IF(V6="Code C","Review not Required",IF(V6="Code D","Rejected by AIP",IF(AND(M6="-",Q6="-"),"Pending for AIP review",IF(O6="IFI","Issued for Information",IF(M6&lt;&gt;"","Pending for PDO Approval",IF(L6="IFI","Issued for AIP Information",IF(J6&lt;&gt;"","Pending for PDO submission",IF(I6&lt;&gt;"","Pending from JEL",""))))))))))))))</f>
        <v>Issued for AIP Information</v>
      </c>
    </row>
    <row r="7" spans="1:23" s="16" customFormat="1" x14ac:dyDescent="0.2">
      <c r="A7" s="98"/>
      <c r="B7" s="29" t="str">
        <f t="shared" ref="B7:B11" si="2">CONCATENATE(C7,"-",E7)</f>
        <v>KHF-00-104265-AA-4880-01301-0000-2</v>
      </c>
      <c r="C7" s="31" t="s">
        <v>269</v>
      </c>
      <c r="D7" s="32" t="s">
        <v>270</v>
      </c>
      <c r="E7" s="20">
        <v>2</v>
      </c>
      <c r="F7" s="20"/>
      <c r="G7" s="20"/>
      <c r="H7" s="20" t="str">
        <f t="shared" si="0"/>
        <v/>
      </c>
      <c r="I7" s="3" t="str">
        <f t="shared" ref="I7:I98" si="3">IFERROR(IF(OR(V6="Code B",V6="Code D",V6="-",ISNUMBER(J7)),T6+14,""),"")</f>
        <v/>
      </c>
      <c r="J7" s="15" t="str">
        <f>IFERROR(VLOOKUP(B7,'[1]Incoming from JEL'!$A$6:$G$5002,3,0),"")</f>
        <v/>
      </c>
      <c r="K7" s="15" t="str">
        <f>IFERROR(VLOOKUP(B7,'[1]Incoming from JEL'!$A$6:$G$5002,2,0),"")</f>
        <v/>
      </c>
      <c r="L7" s="15" t="str">
        <f>IFERROR(VLOOKUP(B7,'[1]Incoming from JEL'!$A$6:$G$5002,7,0),"")</f>
        <v/>
      </c>
      <c r="M7" s="15" t="str">
        <f>IFERROR(VLOOKUP(B7,'[2]Outgoing Transmittals to PDO'!$A$6:$G$20000,3,0),"")</f>
        <v/>
      </c>
      <c r="N7" s="15" t="str">
        <f>IFERROR(VLOOKUP(B7,'[2]Outgoing Transmittals to PDO'!$A$6:$G$20000,2,0),"")</f>
        <v/>
      </c>
      <c r="O7" s="15" t="str">
        <f>IFERROR(VLOOKUP(B7,'[2]Outgoing Transmittals to PDO'!$A$6:$G$20000,7,0),"")</f>
        <v/>
      </c>
      <c r="P7" s="15" t="str">
        <f t="shared" ref="P7:P98" si="4">IF(ISNUMBER(M7),SUM(M7+14),"")</f>
        <v/>
      </c>
      <c r="Q7" s="15" t="str">
        <f>IFERROR(VLOOKUP(B7,'[3]Incoming Transmittals from PDO'!$A$6:$G$20000,3,0),"")</f>
        <v/>
      </c>
      <c r="R7" s="15" t="str">
        <f>IFERROR(VLOOKUP(B7,'[3]Incoming Transmittals from PDO'!$A$6:$G$20000,2,0),"")</f>
        <v/>
      </c>
      <c r="S7" s="15" t="str">
        <f>IFERROR(VLOOKUP(B7,'[3]Incoming Transmittals from PDO'!$A$6:$G$20000,7,0),"")</f>
        <v/>
      </c>
      <c r="T7" s="15" t="str">
        <f>IFERROR(VLOOKUP(B7,'[1]Outgoing to JEL'!$A$6:$G$5000,3,0),"")</f>
        <v/>
      </c>
      <c r="U7" s="15" t="str">
        <f>IFERROR(VLOOKUP(B7,'[1]Outgoing to JEL'!$A$6:$G$5000,2,0),"")</f>
        <v/>
      </c>
      <c r="V7" s="15" t="str">
        <f>IFERROR(VLOOKUP(B7,'[1]Outgoing to JEL'!$A$6:$G$5000,7,0),"")</f>
        <v/>
      </c>
      <c r="W7" s="3" t="str">
        <f t="shared" ref="W7:W98" si="5">IF(S7="Code A","Approved by PDO",IF(S7="Code B","Comments from PDO",IF(S7="Code C","Review not Required",IF(S7="Code D","Rejected by PDO",IF(V7="Code A","Approved by AIP",IF(V7="Code B","Comments from AIP",IF(V7="Code C","Review not Required",IF(V7="Code D","Rejected by AIP",IF(AND(M7="-",Q7="-"),"Pending for AIP review",IF(O7="IFI","Issued for Information",IF(M7&lt;&gt;"","Pending for PDO Approval",IF(L7="IFI","Issued for AIP Information",IF(J7&lt;&gt;"","Pending for PDO submission",IF(I7&lt;&gt;"","Pending from JEL",""))))))))))))))</f>
        <v/>
      </c>
    </row>
    <row r="8" spans="1:23" s="16" customFormat="1" x14ac:dyDescent="0.2">
      <c r="A8" s="99"/>
      <c r="B8" s="29" t="str">
        <f t="shared" si="2"/>
        <v>KHF-00-104265-AA-4880-01301-0000-3</v>
      </c>
      <c r="C8" s="31" t="s">
        <v>269</v>
      </c>
      <c r="D8" s="32" t="s">
        <v>270</v>
      </c>
      <c r="E8" s="20">
        <v>3</v>
      </c>
      <c r="F8" s="20"/>
      <c r="G8" s="20"/>
      <c r="H8" s="20" t="str">
        <f t="shared" si="0"/>
        <v/>
      </c>
      <c r="I8" s="3" t="str">
        <f t="shared" si="3"/>
        <v/>
      </c>
      <c r="J8" s="15" t="str">
        <f>IFERROR(VLOOKUP(B8,'[1]Incoming from JEL'!$A$6:$G$5002,3,0),"")</f>
        <v/>
      </c>
      <c r="K8" s="15" t="str">
        <f>IFERROR(VLOOKUP(B8,'[1]Incoming from JEL'!$A$6:$G$5002,2,0),"")</f>
        <v/>
      </c>
      <c r="L8" s="15" t="str">
        <f>IFERROR(VLOOKUP(B8,'[1]Incoming from JEL'!$A$6:$G$5002,7,0),"")</f>
        <v/>
      </c>
      <c r="M8" s="15" t="str">
        <f>IFERROR(VLOOKUP(B8,'[2]Outgoing Transmittals to PDO'!$A$6:$G$20000,3,0),"")</f>
        <v/>
      </c>
      <c r="N8" s="15" t="str">
        <f>IFERROR(VLOOKUP(B8,'[2]Outgoing Transmittals to PDO'!$A$6:$G$20000,2,0),"")</f>
        <v/>
      </c>
      <c r="O8" s="15" t="str">
        <f>IFERROR(VLOOKUP(B8,'[2]Outgoing Transmittals to PDO'!$A$6:$G$20000,7,0),"")</f>
        <v/>
      </c>
      <c r="P8" s="15" t="str">
        <f t="shared" si="4"/>
        <v/>
      </c>
      <c r="Q8" s="15" t="str">
        <f>IFERROR(VLOOKUP(B8,'[3]Incoming Transmittals from PDO'!$A$6:$G$20000,3,0),"")</f>
        <v/>
      </c>
      <c r="R8" s="15" t="str">
        <f>IFERROR(VLOOKUP(B8,'[3]Incoming Transmittals from PDO'!$A$6:$G$20000,2,0),"")</f>
        <v/>
      </c>
      <c r="S8" s="15" t="str">
        <f>IFERROR(VLOOKUP(B8,'[3]Incoming Transmittals from PDO'!$A$6:$G$20000,7,0),"")</f>
        <v/>
      </c>
      <c r="T8" s="15" t="str">
        <f>IFERROR(VLOOKUP(B8,'[1]Outgoing to JEL'!$A$6:$G$5000,3,0),"")</f>
        <v/>
      </c>
      <c r="U8" s="15" t="str">
        <f>IFERROR(VLOOKUP(B8,'[1]Outgoing to JEL'!$A$6:$G$5000,2,0),"")</f>
        <v/>
      </c>
      <c r="V8" s="15" t="str">
        <f>IFERROR(VLOOKUP(B8,'[1]Outgoing to JEL'!$A$6:$G$5000,7,0),"")</f>
        <v/>
      </c>
      <c r="W8" s="3" t="str">
        <f t="shared" si="5"/>
        <v/>
      </c>
    </row>
    <row r="9" spans="1:23" s="16" customFormat="1" x14ac:dyDescent="0.2">
      <c r="A9" s="97">
        <f>A6+1</f>
        <v>2</v>
      </c>
      <c r="B9" s="29" t="str">
        <f t="shared" si="2"/>
        <v>KHF-00-104265-QA-5733-01301-0000-1</v>
      </c>
      <c r="C9" s="31" t="s">
        <v>271</v>
      </c>
      <c r="D9" s="32" t="s">
        <v>272</v>
      </c>
      <c r="E9" s="20">
        <v>1</v>
      </c>
      <c r="F9" s="20"/>
      <c r="G9" s="20"/>
      <c r="H9" s="20" t="str">
        <f t="shared" si="0"/>
        <v/>
      </c>
      <c r="I9" s="3">
        <v>43459</v>
      </c>
      <c r="J9" s="15">
        <f>IFERROR(VLOOKUP(B9,'[1]Incoming from JEL'!$A$6:$G$5002,3,0),"")</f>
        <v>43499</v>
      </c>
      <c r="K9" s="15" t="str">
        <f>IFERROR(VLOOKUP(B9,'[1]Incoming from JEL'!$A$6:$G$5002,2,0),"")</f>
        <v>AIP-YKP-JEL-T-0016</v>
      </c>
      <c r="L9" s="15" t="str">
        <f>IFERROR(VLOOKUP(B9,'[1]Incoming from JEL'!$A$6:$G$5002,7,0),"")</f>
        <v>IFR</v>
      </c>
      <c r="M9" s="15">
        <f>IFERROR(VLOOKUP(B9,'[2]Outgoing Transmittals to PDO'!$A$6:$G$20000,3,0),"")</f>
        <v>43501</v>
      </c>
      <c r="N9" s="15" t="str">
        <f>IFERROR(VLOOKUP(B9,'[2]Outgoing Transmittals to PDO'!$A$6:$G$20000,2,0),"")</f>
        <v>AIP-PDO-P1701009-T-0972</v>
      </c>
      <c r="O9" s="15" t="str">
        <f>IFERROR(VLOOKUP(B9,'[2]Outgoing Transmittals to PDO'!$A$6:$G$20000,7,0),"")</f>
        <v>IFR</v>
      </c>
      <c r="P9" s="15">
        <f t="shared" si="4"/>
        <v>43515</v>
      </c>
      <c r="Q9" s="15">
        <f>IFERROR(VLOOKUP(B9,'[3]Incoming Transmittals from PDO'!$A$6:$G$20000,3,0),"")</f>
        <v>43520</v>
      </c>
      <c r="R9" s="15" t="str">
        <f>IFERROR(VLOOKUP(B9,'[3]Incoming Transmittals from PDO'!$A$6:$G$20000,2,0),"")</f>
        <v>KHF_AIP_D_EXT_01035</v>
      </c>
      <c r="S9" s="15" t="str">
        <f>IFERROR(VLOOKUP(B9,'[3]Incoming Transmittals from PDO'!$A$6:$G$20000,7,0),"")</f>
        <v>Code B</v>
      </c>
      <c r="T9" s="15">
        <f>IFERROR(VLOOKUP(B9,'[1]Outgoing to JEL'!$A$6:$G$5000,3,0),"")</f>
        <v>43528</v>
      </c>
      <c r="U9" s="15" t="str">
        <f>IFERROR(VLOOKUP(B9,'[1]Outgoing to JEL'!$A$6:$G$5000,2,0),"")</f>
        <v>AIP-YKP-JEL-P1701009-T-0011</v>
      </c>
      <c r="V9" s="15" t="str">
        <f>IFERROR(VLOOKUP(B9,'[1]Outgoing to JEL'!$A$6:$G$5000,7,0),"")</f>
        <v>Code B</v>
      </c>
      <c r="W9" s="3" t="str">
        <f t="shared" si="5"/>
        <v>Comments from PDO</v>
      </c>
    </row>
    <row r="10" spans="1:23" s="16" customFormat="1" x14ac:dyDescent="0.2">
      <c r="A10" s="98"/>
      <c r="B10" s="29" t="str">
        <f t="shared" si="2"/>
        <v>KHF-00-104265-QA-5733-01301-0000-2</v>
      </c>
      <c r="C10" s="31" t="s">
        <v>271</v>
      </c>
      <c r="D10" s="32" t="s">
        <v>272</v>
      </c>
      <c r="E10" s="20">
        <v>2</v>
      </c>
      <c r="F10" s="20"/>
      <c r="G10" s="20"/>
      <c r="H10" s="20" t="str">
        <f t="shared" si="0"/>
        <v>L</v>
      </c>
      <c r="I10" s="3">
        <f t="shared" si="3"/>
        <v>43542</v>
      </c>
      <c r="J10" s="15">
        <f>IFERROR(VLOOKUP(B10,'[1]Incoming from JEL'!$A$6:$G$5002,3,0),"")</f>
        <v>43526</v>
      </c>
      <c r="K10" s="15" t="str">
        <f>IFERROR(VLOOKUP(B10,'[1]Incoming from JEL'!$A$6:$G$5002,2,0),"")</f>
        <v>AIP-YKP-JEL-T-0016R2</v>
      </c>
      <c r="L10" s="15" t="str">
        <f>IFERROR(VLOOKUP(B10,'[1]Incoming from JEL'!$A$6:$G$5002,7,0),"")</f>
        <v>IFA</v>
      </c>
      <c r="M10" s="15">
        <f>IFERROR(VLOOKUP(B10,'[2]Outgoing Transmittals to PDO'!$A$6:$G$20000,3,0),"")</f>
        <v>43528</v>
      </c>
      <c r="N10" s="15" t="str">
        <f>IFERROR(VLOOKUP(B10,'[2]Outgoing Transmittals to PDO'!$A$6:$G$20000,2,0),"")</f>
        <v>AIP-PDO-P1701009-T-1036</v>
      </c>
      <c r="O10" s="15" t="str">
        <f>IFERROR(VLOOKUP(B10,'[2]Outgoing Transmittals to PDO'!$A$6:$G$20000,7,0),"")</f>
        <v>IFA</v>
      </c>
      <c r="P10" s="15">
        <f t="shared" si="4"/>
        <v>43542</v>
      </c>
      <c r="Q10" s="15">
        <f>IFERROR(VLOOKUP(B10,'[3]Incoming Transmittals from PDO'!$A$6:$G$20000,3,0),"")</f>
        <v>43537</v>
      </c>
      <c r="R10" s="15" t="str">
        <f>IFERROR(VLOOKUP(B10,'[3]Incoming Transmittals from PDO'!$A$6:$G$20000,2,0),"")</f>
        <v>KHF_AIP_D_EXT_01088</v>
      </c>
      <c r="S10" s="15" t="str">
        <f>IFERROR(VLOOKUP(B10,'[3]Incoming Transmittals from PDO'!$A$6:$G$20000,7,0),"")</f>
        <v>Code A</v>
      </c>
      <c r="T10" s="15">
        <f>IFERROR(VLOOKUP(B10,'[1]Outgoing to JEL'!$A$6:$G$5000,3,0),"")</f>
        <v>43537</v>
      </c>
      <c r="U10" s="15" t="str">
        <f>IFERROR(VLOOKUP(B10,'[1]Outgoing to JEL'!$A$6:$G$5000,2,0),"")</f>
        <v>AIP-YKP-JEL-P1701009-T-0014</v>
      </c>
      <c r="V10" s="15" t="str">
        <f>IFERROR(VLOOKUP(B10,'[1]Outgoing to JEL'!$A$6:$G$5000,7,0),"")</f>
        <v>Code A</v>
      </c>
      <c r="W10" s="3" t="str">
        <f t="shared" si="5"/>
        <v>Approved by PDO</v>
      </c>
    </row>
    <row r="11" spans="1:23" s="16" customFormat="1" x14ac:dyDescent="0.2">
      <c r="A11" s="99"/>
      <c r="B11" s="29" t="str">
        <f t="shared" si="2"/>
        <v>KHF-00-104265-QA-5733-01301-0000-3</v>
      </c>
      <c r="C11" s="31" t="s">
        <v>271</v>
      </c>
      <c r="D11" s="32" t="s">
        <v>272</v>
      </c>
      <c r="E11" s="20">
        <v>3</v>
      </c>
      <c r="F11" s="20"/>
      <c r="G11" s="20"/>
      <c r="H11" s="20" t="str">
        <f t="shared" si="0"/>
        <v/>
      </c>
      <c r="I11" s="3" t="str">
        <f t="shared" si="3"/>
        <v/>
      </c>
      <c r="J11" s="15" t="str">
        <f>IFERROR(VLOOKUP(B11,'[1]Incoming from JEL'!$A$6:$G$5002,3,0),"")</f>
        <v/>
      </c>
      <c r="K11" s="15" t="str">
        <f>IFERROR(VLOOKUP(B11,'[1]Incoming from JEL'!$A$6:$G$5002,2,0),"")</f>
        <v/>
      </c>
      <c r="L11" s="15" t="str">
        <f>IFERROR(VLOOKUP(B11,'[1]Incoming from JEL'!$A$6:$G$5002,7,0),"")</f>
        <v/>
      </c>
      <c r="M11" s="15" t="str">
        <f>IFERROR(VLOOKUP(B11,'[2]Outgoing Transmittals to PDO'!$A$6:$G$20000,3,0),"")</f>
        <v/>
      </c>
      <c r="N11" s="15" t="str">
        <f>IFERROR(VLOOKUP(B11,'[2]Outgoing Transmittals to PDO'!$A$6:$G$20000,2,0),"")</f>
        <v/>
      </c>
      <c r="O11" s="15" t="str">
        <f>IFERROR(VLOOKUP(B11,'[2]Outgoing Transmittals to PDO'!$A$6:$G$20000,7,0),"")</f>
        <v/>
      </c>
      <c r="P11" s="15" t="str">
        <f t="shared" si="4"/>
        <v/>
      </c>
      <c r="Q11" s="15" t="str">
        <f>IFERROR(VLOOKUP(B11,'[3]Incoming Transmittals from PDO'!$A$6:$G$20000,3,0),"")</f>
        <v/>
      </c>
      <c r="R11" s="15" t="str">
        <f>IFERROR(VLOOKUP(B11,'[3]Incoming Transmittals from PDO'!$A$6:$G$20000,2,0),"")</f>
        <v/>
      </c>
      <c r="S11" s="15" t="str">
        <f>IFERROR(VLOOKUP(B11,'[3]Incoming Transmittals from PDO'!$A$6:$G$20000,7,0),"")</f>
        <v/>
      </c>
      <c r="T11" s="15" t="str">
        <f>IFERROR(VLOOKUP(B11,'[1]Outgoing to JEL'!$A$6:$G$5000,3,0),"")</f>
        <v/>
      </c>
      <c r="U11" s="15" t="str">
        <f>IFERROR(VLOOKUP(B11,'[1]Outgoing to JEL'!$A$6:$G$5000,2,0),"")</f>
        <v/>
      </c>
      <c r="V11" s="15" t="str">
        <f>IFERROR(VLOOKUP(B11,'[1]Outgoing to JEL'!$A$6:$G$5000,7,0),"")</f>
        <v/>
      </c>
      <c r="W11" s="3" t="str">
        <f t="shared" si="5"/>
        <v/>
      </c>
    </row>
    <row r="12" spans="1:23" s="16" customFormat="1" x14ac:dyDescent="0.2">
      <c r="A12" s="97">
        <f t="shared" ref="A12" si="6">A9+1</f>
        <v>3</v>
      </c>
      <c r="B12" s="30" t="str">
        <f>CONCATENATE(C12,"-",E12)</f>
        <v>KHF-00-104265-QA-5733-01302-0000-1</v>
      </c>
      <c r="C12" s="31" t="s">
        <v>273</v>
      </c>
      <c r="D12" s="32" t="s">
        <v>367</v>
      </c>
      <c r="E12" s="20">
        <v>1</v>
      </c>
      <c r="F12" s="20"/>
      <c r="G12" s="20"/>
      <c r="H12" s="20" t="str">
        <f t="shared" ref="H12:H18" si="7">IF(AND(C12=C13,J13="",J12&lt;&gt;""),"L","")</f>
        <v/>
      </c>
      <c r="I12" s="3">
        <v>43459</v>
      </c>
      <c r="J12" s="15">
        <f>IFERROR(VLOOKUP(B12,'[1]Incoming from JEL'!$A$6:$G$5002,3,0),"")</f>
        <v>43464</v>
      </c>
      <c r="K12" s="15" t="str">
        <f>IFERROR(VLOOKUP(B12,'[1]Incoming from JEL'!$A$6:$G$5002,2,0),"")</f>
        <v>AIP-YKP-JEL-T-0010</v>
      </c>
      <c r="L12" s="15" t="str">
        <f>IFERROR(VLOOKUP(B12,'[1]Incoming from JEL'!$A$6:$G$5002,7,0),"")</f>
        <v>IFR</v>
      </c>
      <c r="M12" s="15">
        <f>IFERROR(VLOOKUP(B12,'[2]Outgoing Transmittals to PDO'!$A$6:$G$20000,3,0),"")</f>
        <v>43486</v>
      </c>
      <c r="N12" s="15" t="str">
        <f>IFERROR(VLOOKUP(B12,'[2]Outgoing Transmittals to PDO'!$A$6:$G$20000,2,0),"")</f>
        <v>AIP-PDO-P1701009-T-0931</v>
      </c>
      <c r="O12" s="15" t="str">
        <f>IFERROR(VLOOKUP(B12,'[2]Outgoing Transmittals to PDO'!$A$6:$G$20000,7,0),"")</f>
        <v>IFR</v>
      </c>
      <c r="P12" s="15">
        <f t="shared" si="4"/>
        <v>43500</v>
      </c>
      <c r="Q12" s="15">
        <f>IFERROR(VLOOKUP(B12,'[3]Incoming Transmittals from PDO'!$A$6:$G$20000,3,0),"")</f>
        <v>43493</v>
      </c>
      <c r="R12" s="15" t="str">
        <f>IFERROR(VLOOKUP(B12,'[3]Incoming Transmittals from PDO'!$A$6:$G$20000,2,0),"")</f>
        <v>KHF_AIP_D_EXT_00957</v>
      </c>
      <c r="S12" s="15" t="str">
        <f>IFERROR(VLOOKUP(B12,'[3]Incoming Transmittals from PDO'!$A$6:$G$20000,7,0),"")</f>
        <v>Code D</v>
      </c>
      <c r="T12" s="15">
        <f>IFERROR(VLOOKUP(B12,'[1]Outgoing to JEL'!$A$6:$G$5000,3,0),"")</f>
        <v>43493</v>
      </c>
      <c r="U12" s="15" t="str">
        <f>IFERROR(VLOOKUP(B12,'[1]Outgoing to JEL'!$A$6:$G$5000,2,0),"")</f>
        <v>AIP-YKP-JEL-P1701009-T-0004</v>
      </c>
      <c r="V12" s="15" t="str">
        <f>IFERROR(VLOOKUP(B12,'[1]Outgoing to JEL'!$A$6:$G$5000,7,0),"")</f>
        <v>Code D</v>
      </c>
      <c r="W12" s="3" t="str">
        <f t="shared" si="5"/>
        <v>Rejected by PDO</v>
      </c>
    </row>
    <row r="13" spans="1:23" s="16" customFormat="1" x14ac:dyDescent="0.2">
      <c r="A13" s="98"/>
      <c r="B13" s="30" t="str">
        <f t="shared" ref="B13:B18" si="8">CONCATENATE(C13,"-",E13)</f>
        <v>KHF-00-104265-QA-5733-01302-0000-2</v>
      </c>
      <c r="C13" s="31" t="s">
        <v>273</v>
      </c>
      <c r="D13" s="32" t="s">
        <v>367</v>
      </c>
      <c r="E13" s="20">
        <v>2</v>
      </c>
      <c r="F13" s="20"/>
      <c r="G13" s="20"/>
      <c r="H13" s="20" t="str">
        <f t="shared" si="7"/>
        <v/>
      </c>
      <c r="I13" s="3">
        <f t="shared" si="3"/>
        <v>43507</v>
      </c>
      <c r="J13" s="15">
        <f>IFERROR(VLOOKUP(B13,'[1]Incoming from JEL'!$A$6:$G$5002,3,0),"")</f>
        <v>43501</v>
      </c>
      <c r="K13" s="15" t="str">
        <f>IFERROR(VLOOKUP(B13,'[1]Incoming from JEL'!$A$6:$G$5002,2,0),"")</f>
        <v>AIP-YKP-JEL-T-0010R1</v>
      </c>
      <c r="L13" s="15" t="str">
        <f>IFERROR(VLOOKUP(B13,'[1]Incoming from JEL'!$A$6:$G$5002,7,0),"")</f>
        <v>IFA</v>
      </c>
      <c r="M13" s="15">
        <f>IFERROR(VLOOKUP(B13,'[2]Outgoing Transmittals to PDO'!$A$6:$G$20000,3,0),"")</f>
        <v>43502</v>
      </c>
      <c r="N13" s="15" t="str">
        <f>IFERROR(VLOOKUP(B13,'[2]Outgoing Transmittals to PDO'!$A$6:$G$20000,2,0),"")</f>
        <v>AIP-PDO-P1701009-T-0975</v>
      </c>
      <c r="O13" s="15" t="str">
        <f>IFERROR(VLOOKUP(B13,'[2]Outgoing Transmittals to PDO'!$A$6:$G$20000,7,0),"")</f>
        <v>IFA</v>
      </c>
      <c r="P13" s="15">
        <f t="shared" si="4"/>
        <v>43516</v>
      </c>
      <c r="Q13" s="15">
        <f>IFERROR(VLOOKUP(B13,'[3]Incoming Transmittals from PDO'!$A$6:$G$20000,3,0),"")</f>
        <v>43520</v>
      </c>
      <c r="R13" s="15" t="str">
        <f>IFERROR(VLOOKUP(B13,'[3]Incoming Transmittals from PDO'!$A$6:$G$20000,2,0),"")</f>
        <v>KHF_AIP_D_EXT_01036</v>
      </c>
      <c r="S13" s="15" t="str">
        <f>IFERROR(VLOOKUP(B13,'[3]Incoming Transmittals from PDO'!$A$6:$G$20000,7,0),"")</f>
        <v>Code B</v>
      </c>
      <c r="T13" s="15">
        <f>IFERROR(VLOOKUP(B13,'[1]Outgoing to JEL'!$A$6:$G$5000,3,0),"")</f>
        <v>43528</v>
      </c>
      <c r="U13" s="15" t="str">
        <f>IFERROR(VLOOKUP(B13,'[1]Outgoing to JEL'!$A$6:$G$5000,2,0),"")</f>
        <v>AIP-YKP-JEL-P1701009-T-0011</v>
      </c>
      <c r="V13" s="15" t="str">
        <f>IFERROR(VLOOKUP(B13,'[1]Outgoing to JEL'!$A$6:$G$5000,7,0),"")</f>
        <v>Code B</v>
      </c>
      <c r="W13" s="3" t="str">
        <f t="shared" si="5"/>
        <v>Comments from PDO</v>
      </c>
    </row>
    <row r="14" spans="1:23" s="16" customFormat="1" x14ac:dyDescent="0.2">
      <c r="A14" s="98"/>
      <c r="B14" s="49" t="str">
        <f t="shared" ref="B14" si="9">CONCATENATE(C14,"-",E14)</f>
        <v>KHF-00-104265-QA-5733-01302-0000-3</v>
      </c>
      <c r="C14" s="31" t="s">
        <v>273</v>
      </c>
      <c r="D14" s="32" t="s">
        <v>367</v>
      </c>
      <c r="E14" s="20">
        <v>3</v>
      </c>
      <c r="F14" s="20"/>
      <c r="G14" s="20"/>
      <c r="H14" s="20" t="str">
        <f t="shared" si="7"/>
        <v>L</v>
      </c>
      <c r="I14" s="3">
        <f t="shared" si="3"/>
        <v>43542</v>
      </c>
      <c r="J14" s="15">
        <f>IFERROR(VLOOKUP(B14,'[1]Incoming from JEL'!$A$6:$G$5002,3,0),"")</f>
        <v>43551</v>
      </c>
      <c r="K14" s="15" t="str">
        <f>IFERROR(VLOOKUP(B14,'[1]Incoming from JEL'!$A$6:$G$5002,2,0),"")</f>
        <v>AIP-YKP-JEL-T-0010R2</v>
      </c>
      <c r="L14" s="15" t="str">
        <f>IFERROR(VLOOKUP(B14,'[1]Incoming from JEL'!$A$6:$G$5002,7,0),"")</f>
        <v>IFA</v>
      </c>
      <c r="M14" s="15">
        <f>IFERROR(VLOOKUP(B14,'[2]Outgoing Transmittals to PDO'!$A$6:$G$20000,3,0),"")</f>
        <v>43552</v>
      </c>
      <c r="N14" s="15" t="str">
        <f>IFERROR(VLOOKUP(B14,'[2]Outgoing Transmittals to PDO'!$A$6:$G$20000,2,0),"")</f>
        <v>AIP-PDO-P1701009-T-1112</v>
      </c>
      <c r="O14" s="15" t="str">
        <f>IFERROR(VLOOKUP(B14,'[2]Outgoing Transmittals to PDO'!$A$6:$G$20000,7,0),"")</f>
        <v>IFA</v>
      </c>
      <c r="P14" s="15">
        <f t="shared" ref="P14" si="10">IF(ISNUMBER(M14),SUM(M14+14),"")</f>
        <v>43566</v>
      </c>
      <c r="Q14" s="15">
        <f>IFERROR(VLOOKUP(B14,'[3]Incoming Transmittals from PDO'!$A$6:$G$20000,3,0),"")</f>
        <v>43562</v>
      </c>
      <c r="R14" s="15" t="str">
        <f>IFERROR(VLOOKUP(B14,'[3]Incoming Transmittals from PDO'!$A$6:$G$20000,2,0),"")</f>
        <v>KHF_AIP_D_EXT_01149</v>
      </c>
      <c r="S14" s="15" t="str">
        <f>IFERROR(VLOOKUP(B14,'[3]Incoming Transmittals from PDO'!$A$6:$G$20000,7,0),"")</f>
        <v>Code A</v>
      </c>
      <c r="T14" s="15">
        <f>IFERROR(VLOOKUP(B14,'[1]Outgoing to JEL'!$A$6:$G$5000,3,0),"")</f>
        <v>43565</v>
      </c>
      <c r="U14" s="15" t="str">
        <f>IFERROR(VLOOKUP(B14,'[1]Outgoing to JEL'!$A$6:$G$5000,2,0),"")</f>
        <v>AIP-YKP-JEL-P1701009-T-0020</v>
      </c>
      <c r="V14" s="15" t="str">
        <f>IFERROR(VLOOKUP(B14,'[1]Outgoing to JEL'!$A$6:$G$5000,7,0),"")</f>
        <v>Code A</v>
      </c>
      <c r="W14" s="3" t="str">
        <f t="shared" ref="W14" si="11">IF(S14="Code A","Approved by PDO",IF(S14="Code B","Comments from PDO",IF(S14="Code C","Review not Required",IF(S14="Code D","Rejected by PDO",IF(V14="Code A","Approved by AIP",IF(V14="Code B","Comments from AIP",IF(V14="Code C","Review not Required",IF(V14="Code D","Rejected by AIP",IF(AND(M14="-",Q14="-"),"Pending for AIP review",IF(O14="IFI","Issued for Information",IF(M14&lt;&gt;"","Pending for PDO Approval",IF(L14="IFI","Issued for AIP Information",IF(J14&lt;&gt;"","Pending for PDO submission",IF(I14&lt;&gt;"","Pending from JEL",""))))))))))))))</f>
        <v>Approved by PDO</v>
      </c>
    </row>
    <row r="15" spans="1:23" s="16" customFormat="1" x14ac:dyDescent="0.2">
      <c r="A15" s="99"/>
      <c r="B15" s="30" t="str">
        <f t="shared" si="8"/>
        <v>KHF-00-104265-QA-5733-01302-0000-4</v>
      </c>
      <c r="C15" s="31" t="s">
        <v>273</v>
      </c>
      <c r="D15" s="32" t="s">
        <v>367</v>
      </c>
      <c r="E15" s="20">
        <v>4</v>
      </c>
      <c r="F15" s="20"/>
      <c r="G15" s="20"/>
      <c r="H15" s="20" t="str">
        <f t="shared" si="7"/>
        <v/>
      </c>
      <c r="I15" s="3" t="str">
        <f t="shared" si="3"/>
        <v/>
      </c>
      <c r="J15" s="15" t="str">
        <f>IFERROR(VLOOKUP(B15,'[1]Incoming from JEL'!$A$6:$G$5002,3,0),"")</f>
        <v/>
      </c>
      <c r="K15" s="15" t="str">
        <f>IFERROR(VLOOKUP(B15,'[1]Incoming from JEL'!$A$6:$G$5002,2,0),"")</f>
        <v/>
      </c>
      <c r="L15" s="15" t="str">
        <f>IFERROR(VLOOKUP(B15,'[1]Incoming from JEL'!$A$6:$G$5002,7,0),"")</f>
        <v/>
      </c>
      <c r="M15" s="15" t="str">
        <f>IFERROR(VLOOKUP(B15,'[2]Outgoing Transmittals to PDO'!$A$6:$G$20000,3,0),"")</f>
        <v/>
      </c>
      <c r="N15" s="15" t="str">
        <f>IFERROR(VLOOKUP(B15,'[2]Outgoing Transmittals to PDO'!$A$6:$G$20000,2,0),"")</f>
        <v/>
      </c>
      <c r="O15" s="15" t="str">
        <f>IFERROR(VLOOKUP(B15,'[2]Outgoing Transmittals to PDO'!$A$6:$G$20000,7,0),"")</f>
        <v/>
      </c>
      <c r="P15" s="15" t="str">
        <f t="shared" si="4"/>
        <v/>
      </c>
      <c r="Q15" s="15" t="str">
        <f>IFERROR(VLOOKUP(B15,'[3]Incoming Transmittals from PDO'!$A$6:$G$20000,3,0),"")</f>
        <v/>
      </c>
      <c r="R15" s="15" t="str">
        <f>IFERROR(VLOOKUP(B15,'[3]Incoming Transmittals from PDO'!$A$6:$G$20000,2,0),"")</f>
        <v/>
      </c>
      <c r="S15" s="15" t="str">
        <f>IFERROR(VLOOKUP(B15,'[3]Incoming Transmittals from PDO'!$A$6:$G$20000,7,0),"")</f>
        <v/>
      </c>
      <c r="T15" s="15" t="str">
        <f>IFERROR(VLOOKUP(B15,'[1]Outgoing to JEL'!$A$6:$G$5000,3,0),"")</f>
        <v/>
      </c>
      <c r="U15" s="15" t="str">
        <f>IFERROR(VLOOKUP(B15,'[1]Outgoing to JEL'!$A$6:$G$5000,2,0),"")</f>
        <v/>
      </c>
      <c r="V15" s="15" t="str">
        <f>IFERROR(VLOOKUP(B15,'[1]Outgoing to JEL'!$A$6:$G$5000,7,0),"")</f>
        <v/>
      </c>
      <c r="W15" s="3" t="str">
        <f t="shared" si="5"/>
        <v/>
      </c>
    </row>
    <row r="16" spans="1:23" s="16" customFormat="1" x14ac:dyDescent="0.2">
      <c r="A16" s="97">
        <f t="shared" ref="A16" si="12">A12+1</f>
        <v>4</v>
      </c>
      <c r="B16" s="30" t="str">
        <f t="shared" si="8"/>
        <v>KHF-00-104265-QA-5733-01303-0000-1</v>
      </c>
      <c r="C16" s="31" t="s">
        <v>274</v>
      </c>
      <c r="D16" s="32" t="s">
        <v>275</v>
      </c>
      <c r="E16" s="20">
        <v>1</v>
      </c>
      <c r="F16" s="20"/>
      <c r="G16" s="20"/>
      <c r="H16" s="20" t="str">
        <f t="shared" si="7"/>
        <v/>
      </c>
      <c r="I16" s="3">
        <v>43459</v>
      </c>
      <c r="J16" s="15">
        <f>IFERROR(VLOOKUP(B16,'[1]Incoming from JEL'!$A$6:$G$5002,3,0),"")</f>
        <v>43459</v>
      </c>
      <c r="K16" s="15" t="str">
        <f>IFERROR(VLOOKUP(B16,'[1]Incoming from JEL'!$A$6:$G$5002,2,0),"")</f>
        <v>AIP-YKP-JEL-T-0008</v>
      </c>
      <c r="L16" s="15" t="str">
        <f>IFERROR(VLOOKUP(B16,'[1]Incoming from JEL'!$A$6:$G$5002,7,0),"")</f>
        <v>IFR</v>
      </c>
      <c r="M16" s="15">
        <f>IFERROR(VLOOKUP(B16,'[2]Outgoing Transmittals to PDO'!$A$6:$G$20000,3,0),"")</f>
        <v>43485</v>
      </c>
      <c r="N16" s="15" t="str">
        <f>IFERROR(VLOOKUP(B16,'[2]Outgoing Transmittals to PDO'!$A$6:$G$20000,2,0),"")</f>
        <v>AIP-PDO-P1701009-T-0927</v>
      </c>
      <c r="O16" s="15" t="str">
        <f>IFERROR(VLOOKUP(B16,'[2]Outgoing Transmittals to PDO'!$A$6:$G$20000,7,0),"")</f>
        <v>IFR</v>
      </c>
      <c r="P16" s="15">
        <f t="shared" si="4"/>
        <v>43499</v>
      </c>
      <c r="Q16" s="15">
        <f>IFERROR(VLOOKUP(B16,'[3]Incoming Transmittals from PDO'!$A$6:$G$20000,3,0),"")</f>
        <v>43500</v>
      </c>
      <c r="R16" s="15" t="str">
        <f>IFERROR(VLOOKUP(B16,'[3]Incoming Transmittals from PDO'!$A$6:$G$20000,2,0),"")</f>
        <v>KHF_AIP_D_EXT_00971</v>
      </c>
      <c r="S16" s="15" t="str">
        <f>IFERROR(VLOOKUP(B16,'[3]Incoming Transmittals from PDO'!$A$6:$G$20000,7,0),"")</f>
        <v>Code B</v>
      </c>
      <c r="T16" s="15">
        <f>IFERROR(VLOOKUP(B16,'[1]Outgoing to JEL'!$A$6:$G$5000,3,0),"")</f>
        <v>43501</v>
      </c>
      <c r="U16" s="15" t="str">
        <f>IFERROR(VLOOKUP(B16,'[1]Outgoing to JEL'!$A$6:$G$5000,2,0),"")</f>
        <v>AIP-YKP-JEL-P1701009-T-0007</v>
      </c>
      <c r="V16" s="15" t="str">
        <f>IFERROR(VLOOKUP(B16,'[1]Outgoing to JEL'!$A$6:$G$5000,7,0),"")</f>
        <v>Code B</v>
      </c>
      <c r="W16" s="3" t="str">
        <f t="shared" si="5"/>
        <v>Comments from PDO</v>
      </c>
    </row>
    <row r="17" spans="1:23" s="16" customFormat="1" x14ac:dyDescent="0.2">
      <c r="A17" s="98"/>
      <c r="B17" s="30" t="str">
        <f t="shared" si="8"/>
        <v>KHF-00-104265-QA-5733-01303-0000-2</v>
      </c>
      <c r="C17" s="31" t="s">
        <v>274</v>
      </c>
      <c r="D17" s="32" t="s">
        <v>275</v>
      </c>
      <c r="E17" s="20">
        <v>2</v>
      </c>
      <c r="F17" s="20"/>
      <c r="G17" s="20"/>
      <c r="H17" s="20" t="str">
        <f t="shared" si="7"/>
        <v>L</v>
      </c>
      <c r="I17" s="3">
        <f t="shared" si="3"/>
        <v>43515</v>
      </c>
      <c r="J17" s="15">
        <f>IFERROR(VLOOKUP(B17,'[1]Incoming from JEL'!$A$6:$G$5002,3,0),"")</f>
        <v>43773</v>
      </c>
      <c r="K17" s="15" t="str">
        <f>IFERROR(VLOOKUP(B17,'[1]Incoming from JEL'!$A$6:$G$5002,2,0),"")</f>
        <v>AIP-YKP-JEL -T-0083</v>
      </c>
      <c r="L17" s="15" t="str">
        <f>IFERROR(VLOOKUP(B17,'[1]Incoming from JEL'!$A$6:$G$5002,7,0),"")</f>
        <v>IFA</v>
      </c>
      <c r="M17" s="15">
        <f>IFERROR(VLOOKUP(B17,'[2]Outgoing Transmittals to PDO'!$A$6:$G$20000,3,0),"")</f>
        <v>43773</v>
      </c>
      <c r="N17" s="15" t="str">
        <f>IFERROR(VLOOKUP(B17,'[2]Outgoing Transmittals to PDO'!$A$6:$G$20000,2,0),"")</f>
        <v>AIP-PDO-P1701009-T-1475</v>
      </c>
      <c r="O17" s="15" t="str">
        <f>IFERROR(VLOOKUP(B17,'[2]Outgoing Transmittals to PDO'!$A$6:$G$20000,7,0),"")</f>
        <v>IFA</v>
      </c>
      <c r="P17" s="15">
        <f t="shared" si="4"/>
        <v>43787</v>
      </c>
      <c r="Q17" s="15">
        <f>IFERROR(VLOOKUP(B17,'[3]Incoming Transmittals from PDO'!$A$6:$G$20000,3,0),"")</f>
        <v>43786</v>
      </c>
      <c r="R17" s="15" t="str">
        <f>IFERROR(VLOOKUP(B17,'[3]Incoming Transmittals from PDO'!$A$6:$G$20000,2,0),"")</f>
        <v>KHF_AIP_D_EXT_01513</v>
      </c>
      <c r="S17" s="15" t="str">
        <f>IFERROR(VLOOKUP(B17,'[3]Incoming Transmittals from PDO'!$A$6:$G$20000,7,0),"")</f>
        <v>Code A</v>
      </c>
      <c r="T17" s="15" t="str">
        <f>IFERROR(VLOOKUP(B17,'[1]Outgoing to JEL'!$A$6:$G$5000,3,0),"")</f>
        <v/>
      </c>
      <c r="U17" s="15" t="str">
        <f>IFERROR(VLOOKUP(B17,'[1]Outgoing to JEL'!$A$6:$G$5000,2,0),"")</f>
        <v/>
      </c>
      <c r="V17" s="15" t="str">
        <f>IFERROR(VLOOKUP(B17,'[1]Outgoing to JEL'!$A$6:$G$5000,7,0),"")</f>
        <v/>
      </c>
      <c r="W17" s="3" t="str">
        <f t="shared" si="5"/>
        <v>Approved by PDO</v>
      </c>
    </row>
    <row r="18" spans="1:23" s="16" customFormat="1" x14ac:dyDescent="0.2">
      <c r="A18" s="99"/>
      <c r="B18" s="30" t="str">
        <f t="shared" si="8"/>
        <v>KHF-00-104265-QA-5733-01303-0000-3</v>
      </c>
      <c r="C18" s="31" t="s">
        <v>274</v>
      </c>
      <c r="D18" s="32" t="s">
        <v>275</v>
      </c>
      <c r="E18" s="20">
        <v>3</v>
      </c>
      <c r="F18" s="20"/>
      <c r="G18" s="20"/>
      <c r="H18" s="20" t="str">
        <f t="shared" si="7"/>
        <v/>
      </c>
      <c r="I18" s="3" t="str">
        <f t="shared" si="3"/>
        <v/>
      </c>
      <c r="J18" s="15" t="str">
        <f>IFERROR(VLOOKUP(B18,'[1]Incoming from JEL'!$A$6:$G$5002,3,0),"")</f>
        <v/>
      </c>
      <c r="K18" s="15" t="str">
        <f>IFERROR(VLOOKUP(B18,'[1]Incoming from JEL'!$A$6:$G$5002,2,0),"")</f>
        <v/>
      </c>
      <c r="L18" s="15" t="str">
        <f>IFERROR(VLOOKUP(B18,'[1]Incoming from JEL'!$A$6:$G$5002,7,0),"")</f>
        <v/>
      </c>
      <c r="M18" s="15" t="str">
        <f>IFERROR(VLOOKUP(B18,'[2]Outgoing Transmittals to PDO'!$A$6:$G$20000,3,0),"")</f>
        <v/>
      </c>
      <c r="N18" s="15" t="str">
        <f>IFERROR(VLOOKUP(B18,'[2]Outgoing Transmittals to PDO'!$A$6:$G$20000,2,0),"")</f>
        <v/>
      </c>
      <c r="O18" s="15" t="str">
        <f>IFERROR(VLOOKUP(B18,'[2]Outgoing Transmittals to PDO'!$A$6:$G$20000,7,0),"")</f>
        <v/>
      </c>
      <c r="P18" s="15" t="str">
        <f t="shared" si="4"/>
        <v/>
      </c>
      <c r="Q18" s="15" t="str">
        <f>IFERROR(VLOOKUP(B18,'[3]Incoming Transmittals from PDO'!$A$6:$G$20000,3,0),"")</f>
        <v/>
      </c>
      <c r="R18" s="15" t="str">
        <f>IFERROR(VLOOKUP(B18,'[3]Incoming Transmittals from PDO'!$A$6:$G$20000,2,0),"")</f>
        <v/>
      </c>
      <c r="S18" s="15" t="str">
        <f>IFERROR(VLOOKUP(B18,'[3]Incoming Transmittals from PDO'!$A$6:$G$20000,7,0),"")</f>
        <v/>
      </c>
      <c r="T18" s="15" t="str">
        <f>IFERROR(VLOOKUP(B18,'[1]Outgoing to JEL'!$A$6:$G$5000,3,0),"")</f>
        <v/>
      </c>
      <c r="U18" s="15" t="str">
        <f>IFERROR(VLOOKUP(B18,'[1]Outgoing to JEL'!$A$6:$G$5000,2,0),"")</f>
        <v/>
      </c>
      <c r="V18" s="15" t="str">
        <f>IFERROR(VLOOKUP(B18,'[1]Outgoing to JEL'!$A$6:$G$5000,7,0),"")</f>
        <v/>
      </c>
      <c r="W18" s="3" t="str">
        <f t="shared" si="5"/>
        <v/>
      </c>
    </row>
    <row r="19" spans="1:23" s="16" customFormat="1" x14ac:dyDescent="0.2">
      <c r="A19" s="97">
        <f t="shared" ref="A19" si="13">A16+1</f>
        <v>5</v>
      </c>
      <c r="B19" s="30" t="str">
        <f>CONCATENATE(C19,"-",E19)</f>
        <v>KHF-00-104265-QA-5733-01304-0000-1</v>
      </c>
      <c r="C19" s="31" t="s">
        <v>276</v>
      </c>
      <c r="D19" s="32" t="s">
        <v>277</v>
      </c>
      <c r="E19" s="20">
        <v>1</v>
      </c>
      <c r="F19" s="20"/>
      <c r="G19" s="20"/>
      <c r="H19" s="20" t="str">
        <f t="shared" ref="H19:H24" si="14">IF(AND(C19=C20,J20="",J19&lt;&gt;""),"L","")</f>
        <v/>
      </c>
      <c r="I19" s="3">
        <v>43459</v>
      </c>
      <c r="J19" s="15">
        <f>IFERROR(VLOOKUP(B19,'[1]Incoming from JEL'!$A$6:$G$5002,3,0),"")</f>
        <v>43459</v>
      </c>
      <c r="K19" s="15" t="str">
        <f>IFERROR(VLOOKUP(B19,'[1]Incoming from JEL'!$A$6:$G$5002,2,0),"")</f>
        <v>AIP-YKP-JEL-T-0003</v>
      </c>
      <c r="L19" s="15" t="str">
        <f>IFERROR(VLOOKUP(B19,'[1]Incoming from JEL'!$A$6:$G$5002,7,0),"")</f>
        <v>IFR</v>
      </c>
      <c r="M19" s="15">
        <f>IFERROR(VLOOKUP(B19,'[2]Outgoing Transmittals to PDO'!$A$6:$G$20000,3,0),"")</f>
        <v>43485</v>
      </c>
      <c r="N19" s="15" t="str">
        <f>IFERROR(VLOOKUP(B19,'[2]Outgoing Transmittals to PDO'!$A$6:$G$20000,2,0),"")</f>
        <v>AIP-PDO-P1701009-T-0927</v>
      </c>
      <c r="O19" s="15" t="str">
        <f>IFERROR(VLOOKUP(B19,'[2]Outgoing Transmittals to PDO'!$A$6:$G$20000,7,0),"")</f>
        <v>IFR</v>
      </c>
      <c r="P19" s="15">
        <f t="shared" si="4"/>
        <v>43499</v>
      </c>
      <c r="Q19" s="15">
        <f>IFERROR(VLOOKUP(B19,'[3]Incoming Transmittals from PDO'!$A$6:$G$20000,3,0),"")</f>
        <v>43496</v>
      </c>
      <c r="R19" s="15" t="str">
        <f>IFERROR(VLOOKUP(B19,'[3]Incoming Transmittals from PDO'!$A$6:$G$20000,2,0),"")</f>
        <v>KHF_AIP_D_EXT_00968</v>
      </c>
      <c r="S19" s="15" t="str">
        <f>IFERROR(VLOOKUP(B19,'[3]Incoming Transmittals from PDO'!$A$6:$G$20000,7,0),"")</f>
        <v>Code B</v>
      </c>
      <c r="T19" s="15">
        <f>IFERROR(VLOOKUP(B19,'[1]Outgoing to JEL'!$A$6:$G$5000,3,0),"")</f>
        <v>43499</v>
      </c>
      <c r="U19" s="15" t="str">
        <f>IFERROR(VLOOKUP(B19,'[1]Outgoing to JEL'!$A$6:$G$5000,2,0),"")</f>
        <v>AIP-YKP-JEL-P1701009-T-0006</v>
      </c>
      <c r="V19" s="15" t="str">
        <f>IFERROR(VLOOKUP(B19,'[1]Outgoing to JEL'!$A$6:$G$5000,7,0),"")</f>
        <v>Code B</v>
      </c>
      <c r="W19" s="3" t="str">
        <f t="shared" si="5"/>
        <v>Comments from PDO</v>
      </c>
    </row>
    <row r="20" spans="1:23" s="16" customFormat="1" x14ac:dyDescent="0.2">
      <c r="A20" s="98"/>
      <c r="B20" s="30" t="str">
        <f t="shared" ref="B20:B24" si="15">CONCATENATE(C20,"-",E20)</f>
        <v>KHF-00-104265-QA-5733-01304-0000-2</v>
      </c>
      <c r="C20" s="31" t="s">
        <v>276</v>
      </c>
      <c r="D20" s="32" t="s">
        <v>277</v>
      </c>
      <c r="E20" s="20">
        <v>2</v>
      </c>
      <c r="F20" s="20"/>
      <c r="G20" s="20"/>
      <c r="H20" s="20" t="str">
        <f t="shared" si="14"/>
        <v>L</v>
      </c>
      <c r="I20" s="3">
        <f t="shared" si="3"/>
        <v>43513</v>
      </c>
      <c r="J20" s="15">
        <f>IFERROR(VLOOKUP(B20,'[1]Incoming from JEL'!$A$6:$G$5002,3,0),"")</f>
        <v>43499</v>
      </c>
      <c r="K20" s="15" t="str">
        <f>IFERROR(VLOOKUP(B20,'[1]Incoming from JEL'!$A$6:$G$5002,2,0),"")</f>
        <v>AIP-YKP-JEL-T-0016</v>
      </c>
      <c r="L20" s="15" t="str">
        <f>IFERROR(VLOOKUP(B20,'[1]Incoming from JEL'!$A$6:$G$5002,7,0),"")</f>
        <v>IFR</v>
      </c>
      <c r="M20" s="15">
        <f>IFERROR(VLOOKUP(B20,'[2]Outgoing Transmittals to PDO'!$A$6:$G$20000,3,0),"")</f>
        <v>43500</v>
      </c>
      <c r="N20" s="15" t="str">
        <f>IFERROR(VLOOKUP(B20,'[2]Outgoing Transmittals to PDO'!$A$6:$G$20000,2,0),"")</f>
        <v>AIP-PDO-P1701009-T-0965</v>
      </c>
      <c r="O20" s="15" t="str">
        <f>IFERROR(VLOOKUP(B20,'[2]Outgoing Transmittals to PDO'!$A$6:$G$20000,7,0),"")</f>
        <v>IFA</v>
      </c>
      <c r="P20" s="15">
        <f t="shared" si="4"/>
        <v>43514</v>
      </c>
      <c r="Q20" s="15">
        <f>IFERROR(VLOOKUP(B20,'[3]Incoming Transmittals from PDO'!$A$6:$G$20000,3,0),"")</f>
        <v>43507</v>
      </c>
      <c r="R20" s="15" t="str">
        <f>IFERROR(VLOOKUP(B20,'[3]Incoming Transmittals from PDO'!$A$6:$G$20000,2,0),"")</f>
        <v>KHF_AIP_D_EXT_00991</v>
      </c>
      <c r="S20" s="15" t="str">
        <f>IFERROR(VLOOKUP(B20,'[3]Incoming Transmittals from PDO'!$A$6:$G$20000,7,0),"")</f>
        <v>Code A</v>
      </c>
      <c r="T20" s="15">
        <f>IFERROR(VLOOKUP(B20,'[1]Outgoing to JEL'!$A$6:$G$5000,3,0),"")</f>
        <v>43508</v>
      </c>
      <c r="U20" s="15" t="str">
        <f>IFERROR(VLOOKUP(B20,'[1]Outgoing to JEL'!$A$6:$G$5000,2,0),"")</f>
        <v>AIP-YKP-JEL-P1701009-T-0008</v>
      </c>
      <c r="V20" s="15" t="str">
        <f>IFERROR(VLOOKUP(B20,'[1]Outgoing to JEL'!$A$6:$G$5000,7,0),"")</f>
        <v>Code A</v>
      </c>
      <c r="W20" s="3" t="str">
        <f t="shared" si="5"/>
        <v>Approved by PDO</v>
      </c>
    </row>
    <row r="21" spans="1:23" s="16" customFormat="1" x14ac:dyDescent="0.2">
      <c r="A21" s="99"/>
      <c r="B21" s="30" t="str">
        <f t="shared" si="15"/>
        <v>KHF-00-104265-QA-5733-01304-0000-3</v>
      </c>
      <c r="C21" s="31" t="s">
        <v>276</v>
      </c>
      <c r="D21" s="32" t="s">
        <v>277</v>
      </c>
      <c r="E21" s="20">
        <v>3</v>
      </c>
      <c r="F21" s="20"/>
      <c r="G21" s="20"/>
      <c r="H21" s="20" t="str">
        <f t="shared" si="14"/>
        <v/>
      </c>
      <c r="I21" s="3" t="str">
        <f t="shared" si="3"/>
        <v/>
      </c>
      <c r="J21" s="15" t="str">
        <f>IFERROR(VLOOKUP(B21,'[1]Incoming from JEL'!$A$6:$G$5002,3,0),"")</f>
        <v/>
      </c>
      <c r="K21" s="15" t="str">
        <f>IFERROR(VLOOKUP(B21,'[1]Incoming from JEL'!$A$6:$G$5002,2,0),"")</f>
        <v/>
      </c>
      <c r="L21" s="15" t="str">
        <f>IFERROR(VLOOKUP(B21,'[1]Incoming from JEL'!$A$6:$G$5002,7,0),"")</f>
        <v/>
      </c>
      <c r="M21" s="15" t="str">
        <f>IFERROR(VLOOKUP(B21,'[2]Outgoing Transmittals to PDO'!$A$6:$G$20000,3,0),"")</f>
        <v/>
      </c>
      <c r="N21" s="15" t="str">
        <f>IFERROR(VLOOKUP(B21,'[2]Outgoing Transmittals to PDO'!$A$6:$G$20000,2,0),"")</f>
        <v/>
      </c>
      <c r="O21" s="15" t="str">
        <f>IFERROR(VLOOKUP(B21,'[2]Outgoing Transmittals to PDO'!$A$6:$G$20000,7,0),"")</f>
        <v/>
      </c>
      <c r="P21" s="15" t="str">
        <f t="shared" si="4"/>
        <v/>
      </c>
      <c r="Q21" s="15" t="str">
        <f>IFERROR(VLOOKUP(B21,'[3]Incoming Transmittals from PDO'!$A$6:$G$20000,3,0),"")</f>
        <v/>
      </c>
      <c r="R21" s="15" t="str">
        <f>IFERROR(VLOOKUP(B21,'[3]Incoming Transmittals from PDO'!$A$6:$G$20000,2,0),"")</f>
        <v/>
      </c>
      <c r="S21" s="15" t="str">
        <f>IFERROR(VLOOKUP(B21,'[3]Incoming Transmittals from PDO'!$A$6:$G$20000,7,0),"")</f>
        <v/>
      </c>
      <c r="T21" s="15" t="str">
        <f>IFERROR(VLOOKUP(B21,'[1]Outgoing to JEL'!$A$6:$G$5000,3,0),"")</f>
        <v/>
      </c>
      <c r="U21" s="15" t="str">
        <f>IFERROR(VLOOKUP(B21,'[1]Outgoing to JEL'!$A$6:$G$5000,2,0),"")</f>
        <v/>
      </c>
      <c r="V21" s="15" t="str">
        <f>IFERROR(VLOOKUP(B21,'[1]Outgoing to JEL'!$A$6:$G$5000,7,0),"")</f>
        <v/>
      </c>
      <c r="W21" s="3" t="str">
        <f t="shared" si="5"/>
        <v/>
      </c>
    </row>
    <row r="22" spans="1:23" s="16" customFormat="1" x14ac:dyDescent="0.2">
      <c r="A22" s="97">
        <f>A19+1</f>
        <v>6</v>
      </c>
      <c r="B22" s="30" t="str">
        <f t="shared" si="15"/>
        <v>KHF-00-104265-BA-6065-01301-0000-1</v>
      </c>
      <c r="C22" s="31" t="s">
        <v>278</v>
      </c>
      <c r="D22" s="32" t="s">
        <v>319</v>
      </c>
      <c r="E22" s="20">
        <v>1</v>
      </c>
      <c r="F22" s="20"/>
      <c r="G22" s="20"/>
      <c r="H22" s="20" t="str">
        <f t="shared" si="14"/>
        <v>L</v>
      </c>
      <c r="I22" s="3">
        <f t="shared" ref="I22" si="16">J22</f>
        <v>43502</v>
      </c>
      <c r="J22" s="15">
        <f>IFERROR(VLOOKUP(B22,'[1]Incoming from JEL'!$A$6:$G$5002,3,0),"")</f>
        <v>43502</v>
      </c>
      <c r="K22" s="15" t="str">
        <f>IFERROR(VLOOKUP(B22,'[1]Incoming from JEL'!$A$6:$G$5002,2,0),"")</f>
        <v>AIP-YKP-JEL-T-0015R1</v>
      </c>
      <c r="L22" s="15" t="str">
        <f>IFERROR(VLOOKUP(B22,'[1]Incoming from JEL'!$A$6:$G$5002,7,0),"")</f>
        <v>IFR</v>
      </c>
      <c r="M22" s="15">
        <f>IFERROR(VLOOKUP(B22,'[2]Outgoing Transmittals to PDO'!$A$6:$G$20000,3,0),"")</f>
        <v>43506</v>
      </c>
      <c r="N22" s="15" t="str">
        <f>IFERROR(VLOOKUP(B22,'[2]Outgoing Transmittals to PDO'!$A$6:$G$20000,2,0),"")</f>
        <v>AIP-PDO-P1701009-T-0984</v>
      </c>
      <c r="O22" s="15" t="str">
        <f>IFERROR(VLOOKUP(B22,'[2]Outgoing Transmittals to PDO'!$A$6:$G$20000,7,0),"")</f>
        <v>IFR</v>
      </c>
      <c r="P22" s="15">
        <f t="shared" si="4"/>
        <v>43520</v>
      </c>
      <c r="Q22" s="15">
        <f>IFERROR(VLOOKUP(B22,'[3]Incoming Transmittals from PDO'!$A$6:$G$20000,3,0),"")</f>
        <v>43513</v>
      </c>
      <c r="R22" s="15" t="str">
        <f>IFERROR(VLOOKUP(B22,'[3]Incoming Transmittals from PDO'!$A$6:$G$20000,2,0),"")</f>
        <v>KHF_AIP_D_EXT_01012</v>
      </c>
      <c r="S22" s="15" t="str">
        <f>IFERROR(VLOOKUP(B22,'[3]Incoming Transmittals from PDO'!$A$6:$G$20000,7,0),"")</f>
        <v>Code A</v>
      </c>
      <c r="T22" s="15">
        <f>IFERROR(VLOOKUP(B22,'[1]Outgoing to JEL'!$A$6:$G$5000,3,0),"")</f>
        <v>43514</v>
      </c>
      <c r="U22" s="15" t="str">
        <f>IFERROR(VLOOKUP(B22,'[1]Outgoing to JEL'!$A$6:$G$5000,2,0),"")</f>
        <v>AIP-YKP-JEL-P1701009-T-0009</v>
      </c>
      <c r="V22" s="15" t="str">
        <f>IFERROR(VLOOKUP(B22,'[1]Outgoing to JEL'!$A$6:$G$5000,7,0),"")</f>
        <v>Code A</v>
      </c>
      <c r="W22" s="3" t="str">
        <f t="shared" si="5"/>
        <v>Approved by PDO</v>
      </c>
    </row>
    <row r="23" spans="1:23" s="16" customFormat="1" x14ac:dyDescent="0.2">
      <c r="A23" s="98"/>
      <c r="B23" s="30" t="str">
        <f t="shared" si="15"/>
        <v>KHF-00-104265-BA-6065-01301-0000-2</v>
      </c>
      <c r="C23" s="31" t="s">
        <v>278</v>
      </c>
      <c r="D23" s="32" t="s">
        <v>319</v>
      </c>
      <c r="E23" s="20">
        <v>2</v>
      </c>
      <c r="F23" s="20"/>
      <c r="G23" s="20"/>
      <c r="H23" s="20" t="str">
        <f t="shared" si="14"/>
        <v/>
      </c>
      <c r="I23" s="3" t="str">
        <f t="shared" si="3"/>
        <v/>
      </c>
      <c r="J23" s="15" t="str">
        <f>IFERROR(VLOOKUP(B23,'[1]Incoming from JEL'!$A$6:$G$5002,3,0),"")</f>
        <v/>
      </c>
      <c r="K23" s="15" t="str">
        <f>IFERROR(VLOOKUP(B23,'[1]Incoming from JEL'!$A$6:$G$5002,2,0),"")</f>
        <v/>
      </c>
      <c r="L23" s="15" t="str">
        <f>IFERROR(VLOOKUP(B23,'[1]Incoming from JEL'!$A$6:$G$5002,7,0),"")</f>
        <v/>
      </c>
      <c r="M23" s="15" t="str">
        <f>IFERROR(VLOOKUP(B23,'[2]Outgoing Transmittals to PDO'!$A$6:$G$20000,3,0),"")</f>
        <v/>
      </c>
      <c r="N23" s="15" t="str">
        <f>IFERROR(VLOOKUP(B23,'[2]Outgoing Transmittals to PDO'!$A$6:$G$20000,2,0),"")</f>
        <v/>
      </c>
      <c r="O23" s="15" t="str">
        <f>IFERROR(VLOOKUP(B23,'[2]Outgoing Transmittals to PDO'!$A$6:$G$20000,7,0),"")</f>
        <v/>
      </c>
      <c r="P23" s="15" t="str">
        <f t="shared" si="4"/>
        <v/>
      </c>
      <c r="Q23" s="15" t="str">
        <f>IFERROR(VLOOKUP(B23,'[3]Incoming Transmittals from PDO'!$A$6:$G$20000,3,0),"")</f>
        <v/>
      </c>
      <c r="R23" s="15" t="str">
        <f>IFERROR(VLOOKUP(B23,'[3]Incoming Transmittals from PDO'!$A$6:$G$20000,2,0),"")</f>
        <v/>
      </c>
      <c r="S23" s="15" t="str">
        <f>IFERROR(VLOOKUP(B23,'[3]Incoming Transmittals from PDO'!$A$6:$G$20000,7,0),"")</f>
        <v/>
      </c>
      <c r="T23" s="15" t="str">
        <f>IFERROR(VLOOKUP(B23,'[1]Outgoing to JEL'!$A$6:$G$5000,3,0),"")</f>
        <v/>
      </c>
      <c r="U23" s="15" t="str">
        <f>IFERROR(VLOOKUP(B23,'[1]Outgoing to JEL'!$A$6:$G$5000,2,0),"")</f>
        <v/>
      </c>
      <c r="V23" s="15" t="str">
        <f>IFERROR(VLOOKUP(B23,'[1]Outgoing to JEL'!$A$6:$G$5000,7,0),"")</f>
        <v/>
      </c>
      <c r="W23" s="3" t="str">
        <f t="shared" si="5"/>
        <v/>
      </c>
    </row>
    <row r="24" spans="1:23" s="16" customFormat="1" x14ac:dyDescent="0.2">
      <c r="A24" s="99"/>
      <c r="B24" s="30" t="str">
        <f t="shared" si="15"/>
        <v>KHF-00-104265-BA-6065-01301-0000-3</v>
      </c>
      <c r="C24" s="31" t="s">
        <v>278</v>
      </c>
      <c r="D24" s="32" t="s">
        <v>319</v>
      </c>
      <c r="E24" s="20">
        <v>3</v>
      </c>
      <c r="F24" s="20"/>
      <c r="G24" s="20"/>
      <c r="H24" s="20" t="str">
        <f t="shared" si="14"/>
        <v/>
      </c>
      <c r="I24" s="3" t="str">
        <f t="shared" si="3"/>
        <v/>
      </c>
      <c r="J24" s="15" t="str">
        <f>IFERROR(VLOOKUP(B24,'[1]Incoming from JEL'!$A$6:$G$5002,3,0),"")</f>
        <v/>
      </c>
      <c r="K24" s="15" t="str">
        <f>IFERROR(VLOOKUP(B24,'[1]Incoming from JEL'!$A$6:$G$5002,2,0),"")</f>
        <v/>
      </c>
      <c r="L24" s="15" t="str">
        <f>IFERROR(VLOOKUP(B24,'[1]Incoming from JEL'!$A$6:$G$5002,7,0),"")</f>
        <v/>
      </c>
      <c r="M24" s="15" t="str">
        <f>IFERROR(VLOOKUP(B24,'[2]Outgoing Transmittals to PDO'!$A$6:$G$20000,3,0),"")</f>
        <v/>
      </c>
      <c r="N24" s="15" t="str">
        <f>IFERROR(VLOOKUP(B24,'[2]Outgoing Transmittals to PDO'!$A$6:$G$20000,2,0),"")</f>
        <v/>
      </c>
      <c r="O24" s="15" t="str">
        <f>IFERROR(VLOOKUP(B24,'[2]Outgoing Transmittals to PDO'!$A$6:$G$20000,7,0),"")</f>
        <v/>
      </c>
      <c r="P24" s="15" t="str">
        <f t="shared" si="4"/>
        <v/>
      </c>
      <c r="Q24" s="15" t="str">
        <f>IFERROR(VLOOKUP(B24,'[3]Incoming Transmittals from PDO'!$A$6:$G$20000,3,0),"")</f>
        <v/>
      </c>
      <c r="R24" s="15" t="str">
        <f>IFERROR(VLOOKUP(B24,'[3]Incoming Transmittals from PDO'!$A$6:$G$20000,2,0),"")</f>
        <v/>
      </c>
      <c r="S24" s="15" t="str">
        <f>IFERROR(VLOOKUP(B24,'[3]Incoming Transmittals from PDO'!$A$6:$G$20000,7,0),"")</f>
        <v/>
      </c>
      <c r="T24" s="15" t="str">
        <f>IFERROR(VLOOKUP(B24,'[1]Outgoing to JEL'!$A$6:$G$5000,3,0),"")</f>
        <v/>
      </c>
      <c r="U24" s="15" t="str">
        <f>IFERROR(VLOOKUP(B24,'[1]Outgoing to JEL'!$A$6:$G$5000,2,0),"")</f>
        <v/>
      </c>
      <c r="V24" s="15" t="str">
        <f>IFERROR(VLOOKUP(B24,'[1]Outgoing to JEL'!$A$6:$G$5000,7,0),"")</f>
        <v/>
      </c>
      <c r="W24" s="3" t="str">
        <f t="shared" si="5"/>
        <v/>
      </c>
    </row>
    <row r="25" spans="1:23" s="16" customFormat="1" x14ac:dyDescent="0.2">
      <c r="A25" s="97">
        <f t="shared" ref="A25" si="17">A22+1</f>
        <v>7</v>
      </c>
      <c r="B25" s="30" t="str">
        <f>CONCATENATE(C25,"-",E25)</f>
        <v>KHF-00-104265-FA-5765-01301-0000-1</v>
      </c>
      <c r="C25" s="31" t="s">
        <v>279</v>
      </c>
      <c r="D25" s="32" t="s">
        <v>280</v>
      </c>
      <c r="E25" s="20">
        <v>1</v>
      </c>
      <c r="F25" s="20"/>
      <c r="G25" s="20"/>
      <c r="H25" s="20" t="str">
        <f t="shared" ref="H25:H60" si="18">IF(AND(C25=C26,J26="",J25&lt;&gt;""),"L","")</f>
        <v/>
      </c>
      <c r="I25" s="3">
        <v>43459</v>
      </c>
      <c r="J25" s="15">
        <f>IFERROR(VLOOKUP(B25,'[1]Incoming from JEL'!$A$6:$G$5002,3,0),"")</f>
        <v>43459</v>
      </c>
      <c r="K25" s="15" t="str">
        <f>IFERROR(VLOOKUP(B25,'[1]Incoming from JEL'!$A$6:$G$5002,2,0),"")</f>
        <v>AIP-YKP-JEL-T-0005</v>
      </c>
      <c r="L25" s="15" t="str">
        <f>IFERROR(VLOOKUP(B25,'[1]Incoming from JEL'!$A$6:$G$5002,7,0),"")</f>
        <v>IFR</v>
      </c>
      <c r="M25" s="15" t="str">
        <f>IFERROR(VLOOKUP(B25,'[2]Outgoing Transmittals to PDO'!$A$6:$G$20000,3,0),"")</f>
        <v/>
      </c>
      <c r="N25" s="15" t="str">
        <f>IFERROR(VLOOKUP(B25,'[2]Outgoing Transmittals to PDO'!$A$6:$G$20000,2,0),"")</f>
        <v/>
      </c>
      <c r="O25" s="15" t="str">
        <f>IFERROR(VLOOKUP(B25,'[2]Outgoing Transmittals to PDO'!$A$6:$G$20000,7,0),"")</f>
        <v/>
      </c>
      <c r="P25" s="15" t="str">
        <f t="shared" si="4"/>
        <v/>
      </c>
      <c r="Q25" s="15" t="str">
        <f>IFERROR(VLOOKUP(B25,'[3]Incoming Transmittals from PDO'!$A$6:$G$20000,3,0),"")</f>
        <v/>
      </c>
      <c r="R25" s="15" t="str">
        <f>IFERROR(VLOOKUP(B25,'[3]Incoming Transmittals from PDO'!$A$6:$G$20000,2,0),"")</f>
        <v/>
      </c>
      <c r="S25" s="15" t="str">
        <f>IFERROR(VLOOKUP(B25,'[3]Incoming Transmittals from PDO'!$A$6:$G$20000,7,0),"")</f>
        <v/>
      </c>
      <c r="T25" s="15" t="str">
        <f>IFERROR(VLOOKUP(B25,'[1]Outgoing to JEL'!$A$6:$G$5000,3,0),"")</f>
        <v/>
      </c>
      <c r="U25" s="15" t="str">
        <f>IFERROR(VLOOKUP(B25,'[1]Outgoing to JEL'!$A$6:$G$5000,2,0),"")</f>
        <v/>
      </c>
      <c r="V25" s="15" t="str">
        <f>IFERROR(VLOOKUP(B25,'[1]Outgoing to JEL'!$A$6:$G$5000,7,0),"")</f>
        <v/>
      </c>
      <c r="W25" s="3" t="str">
        <f t="shared" si="5"/>
        <v>Pending for PDO submission</v>
      </c>
    </row>
    <row r="26" spans="1:23" s="16" customFormat="1" x14ac:dyDescent="0.2">
      <c r="A26" s="98"/>
      <c r="B26" s="30" t="str">
        <f t="shared" ref="B26:B30" si="19">CONCATENATE(C26,"-",E26)</f>
        <v>KHF-00-104265-FA-5765-01301-0000-2</v>
      </c>
      <c r="C26" s="31" t="s">
        <v>279</v>
      </c>
      <c r="D26" s="32" t="s">
        <v>280</v>
      </c>
      <c r="E26" s="20">
        <v>2</v>
      </c>
      <c r="F26" s="20"/>
      <c r="G26" s="20"/>
      <c r="H26" s="20" t="str">
        <f t="shared" si="18"/>
        <v>L</v>
      </c>
      <c r="I26" s="3" t="str">
        <f t="shared" si="3"/>
        <v/>
      </c>
      <c r="J26" s="15">
        <f>IFERROR(VLOOKUP(B26,'[1]Incoming from JEL'!$A$6:$G$5002,3,0),"")</f>
        <v>43473</v>
      </c>
      <c r="K26" s="15" t="str">
        <f>IFERROR(VLOOKUP(B26,'[1]Incoming from JEL'!$A$6:$G$5002,2,0),"")</f>
        <v>AIP-YKP-JEL-T-0013</v>
      </c>
      <c r="L26" s="15" t="str">
        <f>IFERROR(VLOOKUP(B26,'[1]Incoming from JEL'!$A$6:$G$5002,7,0),"")</f>
        <v>IFA</v>
      </c>
      <c r="M26" s="15" t="str">
        <f>IFERROR(VLOOKUP(B26,'[2]Outgoing Transmittals to PDO'!$A$6:$G$20000,3,0),"")</f>
        <v/>
      </c>
      <c r="N26" s="15" t="str">
        <f>IFERROR(VLOOKUP(B26,'[2]Outgoing Transmittals to PDO'!$A$6:$G$20000,2,0),"")</f>
        <v/>
      </c>
      <c r="O26" s="15" t="str">
        <f>IFERROR(VLOOKUP(B26,'[2]Outgoing Transmittals to PDO'!$A$6:$G$20000,7,0),"")</f>
        <v/>
      </c>
      <c r="P26" s="15" t="str">
        <f t="shared" si="4"/>
        <v/>
      </c>
      <c r="Q26" s="15" t="str">
        <f>IFERROR(VLOOKUP(B26,'[3]Incoming Transmittals from PDO'!$A$6:$G$20000,3,0),"")</f>
        <v/>
      </c>
      <c r="R26" s="15" t="str">
        <f>IFERROR(VLOOKUP(B26,'[3]Incoming Transmittals from PDO'!$A$6:$G$20000,2,0),"")</f>
        <v/>
      </c>
      <c r="S26" s="15" t="str">
        <f>IFERROR(VLOOKUP(B26,'[3]Incoming Transmittals from PDO'!$A$6:$G$20000,7,0),"")</f>
        <v/>
      </c>
      <c r="T26" s="15" t="str">
        <f>IFERROR(VLOOKUP(B26,'[1]Outgoing to JEL'!$A$6:$G$5000,3,0),"")</f>
        <v/>
      </c>
      <c r="U26" s="15" t="str">
        <f>IFERROR(VLOOKUP(B26,'[1]Outgoing to JEL'!$A$6:$G$5000,2,0),"")</f>
        <v/>
      </c>
      <c r="V26" s="15" t="str">
        <f>IFERROR(VLOOKUP(B26,'[1]Outgoing to JEL'!$A$6:$G$5000,7,0),"")</f>
        <v/>
      </c>
      <c r="W26" s="3" t="str">
        <f t="shared" si="5"/>
        <v>Pending for PDO submission</v>
      </c>
    </row>
    <row r="27" spans="1:23" s="16" customFormat="1" x14ac:dyDescent="0.2">
      <c r="A27" s="99"/>
      <c r="B27" s="30" t="str">
        <f t="shared" si="19"/>
        <v>KHF-00-104265-FA-5765-01301-0000-3</v>
      </c>
      <c r="C27" s="31" t="s">
        <v>279</v>
      </c>
      <c r="D27" s="32" t="s">
        <v>280</v>
      </c>
      <c r="E27" s="20">
        <v>3</v>
      </c>
      <c r="F27" s="20"/>
      <c r="G27" s="20"/>
      <c r="H27" s="20" t="str">
        <f t="shared" si="18"/>
        <v/>
      </c>
      <c r="I27" s="3" t="str">
        <f t="shared" si="3"/>
        <v/>
      </c>
      <c r="J27" s="15" t="str">
        <f>IFERROR(VLOOKUP(B27,'[1]Incoming from JEL'!$A$6:$G$5002,3,0),"")</f>
        <v/>
      </c>
      <c r="K27" s="15" t="str">
        <f>IFERROR(VLOOKUP(B27,'[1]Incoming from JEL'!$A$6:$G$5002,2,0),"")</f>
        <v/>
      </c>
      <c r="L27" s="15" t="str">
        <f>IFERROR(VLOOKUP(B27,'[1]Incoming from JEL'!$A$6:$G$5002,7,0),"")</f>
        <v/>
      </c>
      <c r="M27" s="15" t="str">
        <f>IFERROR(VLOOKUP(B27,'[2]Outgoing Transmittals to PDO'!$A$6:$G$20000,3,0),"")</f>
        <v/>
      </c>
      <c r="N27" s="15" t="str">
        <f>IFERROR(VLOOKUP(B27,'[2]Outgoing Transmittals to PDO'!$A$6:$G$20000,2,0),"")</f>
        <v/>
      </c>
      <c r="O27" s="15" t="str">
        <f>IFERROR(VLOOKUP(B27,'[2]Outgoing Transmittals to PDO'!$A$6:$G$20000,7,0),"")</f>
        <v/>
      </c>
      <c r="P27" s="15" t="str">
        <f t="shared" si="4"/>
        <v/>
      </c>
      <c r="Q27" s="15" t="str">
        <f>IFERROR(VLOOKUP(B27,'[3]Incoming Transmittals from PDO'!$A$6:$G$20000,3,0),"")</f>
        <v/>
      </c>
      <c r="R27" s="15" t="str">
        <f>IFERROR(VLOOKUP(B27,'[3]Incoming Transmittals from PDO'!$A$6:$G$20000,2,0),"")</f>
        <v/>
      </c>
      <c r="S27" s="15" t="str">
        <f>IFERROR(VLOOKUP(B27,'[3]Incoming Transmittals from PDO'!$A$6:$G$20000,7,0),"")</f>
        <v/>
      </c>
      <c r="T27" s="15" t="str">
        <f>IFERROR(VLOOKUP(B27,'[1]Outgoing to JEL'!$A$6:$G$5000,3,0),"")</f>
        <v/>
      </c>
      <c r="U27" s="15" t="str">
        <f>IFERROR(VLOOKUP(B27,'[1]Outgoing to JEL'!$A$6:$G$5000,2,0),"")</f>
        <v/>
      </c>
      <c r="V27" s="15" t="str">
        <f>IFERROR(VLOOKUP(B27,'[1]Outgoing to JEL'!$A$6:$G$5000,7,0),"")</f>
        <v/>
      </c>
      <c r="W27" s="3" t="str">
        <f t="shared" si="5"/>
        <v/>
      </c>
    </row>
    <row r="28" spans="1:23" s="16" customFormat="1" x14ac:dyDescent="0.2">
      <c r="A28" s="97">
        <f t="shared" ref="A28" si="20">A25+1</f>
        <v>8</v>
      </c>
      <c r="B28" s="30" t="str">
        <f t="shared" si="19"/>
        <v>KHF-00-104265-AA-5804-01301-0000-1</v>
      </c>
      <c r="C28" s="31" t="s">
        <v>281</v>
      </c>
      <c r="D28" s="32" t="s">
        <v>282</v>
      </c>
      <c r="E28" s="20">
        <v>1</v>
      </c>
      <c r="F28" s="20"/>
      <c r="G28" s="20"/>
      <c r="H28" s="20" t="str">
        <f t="shared" si="18"/>
        <v/>
      </c>
      <c r="I28" s="3">
        <v>43459</v>
      </c>
      <c r="J28" s="15" t="str">
        <f>IFERROR(VLOOKUP(B28,'[1]Incoming from JEL'!$A$6:$G$5002,3,0),"")</f>
        <v/>
      </c>
      <c r="K28" s="15" t="str">
        <f>IFERROR(VLOOKUP(B28,'[1]Incoming from JEL'!$A$6:$G$5002,2,0),"")</f>
        <v/>
      </c>
      <c r="L28" s="15" t="str">
        <f>IFERROR(VLOOKUP(B28,'[1]Incoming from JEL'!$A$6:$G$5002,7,0),"")</f>
        <v/>
      </c>
      <c r="M28" s="15" t="str">
        <f>IFERROR(VLOOKUP(B28,'[2]Outgoing Transmittals to PDO'!$A$6:$G$20000,3,0),"")</f>
        <v/>
      </c>
      <c r="N28" s="15" t="str">
        <f>IFERROR(VLOOKUP(B28,'[2]Outgoing Transmittals to PDO'!$A$6:$G$20000,2,0),"")</f>
        <v/>
      </c>
      <c r="O28" s="15" t="str">
        <f>IFERROR(VLOOKUP(B28,'[2]Outgoing Transmittals to PDO'!$A$6:$G$20000,7,0),"")</f>
        <v/>
      </c>
      <c r="P28" s="15" t="str">
        <f t="shared" si="4"/>
        <v/>
      </c>
      <c r="Q28" s="15" t="str">
        <f>IFERROR(VLOOKUP(B28,'[3]Incoming Transmittals from PDO'!$A$6:$G$20000,3,0),"")</f>
        <v/>
      </c>
      <c r="R28" s="15" t="str">
        <f>IFERROR(VLOOKUP(B28,'[3]Incoming Transmittals from PDO'!$A$6:$G$20000,2,0),"")</f>
        <v/>
      </c>
      <c r="S28" s="15" t="str">
        <f>IFERROR(VLOOKUP(B28,'[3]Incoming Transmittals from PDO'!$A$6:$G$20000,7,0),"")</f>
        <v/>
      </c>
      <c r="T28" s="15" t="str">
        <f>IFERROR(VLOOKUP(B28,'[1]Outgoing to JEL'!$A$6:$G$5000,3,0),"")</f>
        <v/>
      </c>
      <c r="U28" s="15" t="str">
        <f>IFERROR(VLOOKUP(B28,'[1]Outgoing to JEL'!$A$6:$G$5000,2,0),"")</f>
        <v/>
      </c>
      <c r="V28" s="15" t="str">
        <f>IFERROR(VLOOKUP(B28,'[1]Outgoing to JEL'!$A$6:$G$5000,7,0),"")</f>
        <v/>
      </c>
      <c r="W28" s="3" t="str">
        <f t="shared" si="5"/>
        <v>Pending from JEL</v>
      </c>
    </row>
    <row r="29" spans="1:23" s="16" customFormat="1" x14ac:dyDescent="0.2">
      <c r="A29" s="98"/>
      <c r="B29" s="30" t="str">
        <f t="shared" si="19"/>
        <v>KHF-00-104265-AA-5804-01301-0000-2</v>
      </c>
      <c r="C29" s="31" t="s">
        <v>281</v>
      </c>
      <c r="D29" s="32" t="s">
        <v>282</v>
      </c>
      <c r="E29" s="20">
        <v>2</v>
      </c>
      <c r="F29" s="20"/>
      <c r="G29" s="20"/>
      <c r="H29" s="20" t="str">
        <f t="shared" si="18"/>
        <v/>
      </c>
      <c r="I29" s="3" t="str">
        <f t="shared" si="3"/>
        <v/>
      </c>
      <c r="J29" s="15" t="str">
        <f>IFERROR(VLOOKUP(B29,'[1]Incoming from JEL'!$A$6:$G$5002,3,0),"")</f>
        <v/>
      </c>
      <c r="K29" s="15" t="str">
        <f>IFERROR(VLOOKUP(B29,'[1]Incoming from JEL'!$A$6:$G$5002,2,0),"")</f>
        <v/>
      </c>
      <c r="L29" s="15" t="str">
        <f>IFERROR(VLOOKUP(B29,'[1]Incoming from JEL'!$A$6:$G$5002,7,0),"")</f>
        <v/>
      </c>
      <c r="M29" s="15" t="str">
        <f>IFERROR(VLOOKUP(B29,'[2]Outgoing Transmittals to PDO'!$A$6:$G$20000,3,0),"")</f>
        <v/>
      </c>
      <c r="N29" s="15" t="str">
        <f>IFERROR(VLOOKUP(B29,'[2]Outgoing Transmittals to PDO'!$A$6:$G$20000,2,0),"")</f>
        <v/>
      </c>
      <c r="O29" s="15" t="str">
        <f>IFERROR(VLOOKUP(B29,'[2]Outgoing Transmittals to PDO'!$A$6:$G$20000,7,0),"")</f>
        <v/>
      </c>
      <c r="P29" s="15" t="str">
        <f t="shared" si="4"/>
        <v/>
      </c>
      <c r="Q29" s="15" t="str">
        <f>IFERROR(VLOOKUP(B29,'[3]Incoming Transmittals from PDO'!$A$6:$G$20000,3,0),"")</f>
        <v/>
      </c>
      <c r="R29" s="15" t="str">
        <f>IFERROR(VLOOKUP(B29,'[3]Incoming Transmittals from PDO'!$A$6:$G$20000,2,0),"")</f>
        <v/>
      </c>
      <c r="S29" s="15" t="str">
        <f>IFERROR(VLOOKUP(B29,'[3]Incoming Transmittals from PDO'!$A$6:$G$20000,7,0),"")</f>
        <v/>
      </c>
      <c r="T29" s="15" t="str">
        <f>IFERROR(VLOOKUP(B29,'[1]Outgoing to JEL'!$A$6:$G$5000,3,0),"")</f>
        <v/>
      </c>
      <c r="U29" s="15" t="str">
        <f>IFERROR(VLOOKUP(B29,'[1]Outgoing to JEL'!$A$6:$G$5000,2,0),"")</f>
        <v/>
      </c>
      <c r="V29" s="15" t="str">
        <f>IFERROR(VLOOKUP(B29,'[1]Outgoing to JEL'!$A$6:$G$5000,7,0),"")</f>
        <v/>
      </c>
      <c r="W29" s="3" t="str">
        <f t="shared" si="5"/>
        <v/>
      </c>
    </row>
    <row r="30" spans="1:23" s="16" customFormat="1" x14ac:dyDescent="0.2">
      <c r="A30" s="99"/>
      <c r="B30" s="30" t="str">
        <f t="shared" si="19"/>
        <v>KHF-00-104265-AA-5804-01301-0000-3</v>
      </c>
      <c r="C30" s="31" t="s">
        <v>281</v>
      </c>
      <c r="D30" s="32" t="s">
        <v>282</v>
      </c>
      <c r="E30" s="20">
        <v>3</v>
      </c>
      <c r="F30" s="20"/>
      <c r="G30" s="20"/>
      <c r="H30" s="20" t="str">
        <f t="shared" si="18"/>
        <v/>
      </c>
      <c r="I30" s="3" t="str">
        <f t="shared" si="3"/>
        <v/>
      </c>
      <c r="J30" s="15" t="str">
        <f>IFERROR(VLOOKUP(B30,'[1]Incoming from JEL'!$A$6:$G$5002,3,0),"")</f>
        <v/>
      </c>
      <c r="K30" s="15" t="str">
        <f>IFERROR(VLOOKUP(B30,'[1]Incoming from JEL'!$A$6:$G$5002,2,0),"")</f>
        <v/>
      </c>
      <c r="L30" s="15" t="str">
        <f>IFERROR(VLOOKUP(B30,'[1]Incoming from JEL'!$A$6:$G$5002,7,0),"")</f>
        <v/>
      </c>
      <c r="M30" s="15" t="str">
        <f>IFERROR(VLOOKUP(B30,'[2]Outgoing Transmittals to PDO'!$A$6:$G$20000,3,0),"")</f>
        <v/>
      </c>
      <c r="N30" s="15" t="str">
        <f>IFERROR(VLOOKUP(B30,'[2]Outgoing Transmittals to PDO'!$A$6:$G$20000,2,0),"")</f>
        <v/>
      </c>
      <c r="O30" s="15" t="str">
        <f>IFERROR(VLOOKUP(B30,'[2]Outgoing Transmittals to PDO'!$A$6:$G$20000,7,0),"")</f>
        <v/>
      </c>
      <c r="P30" s="15" t="str">
        <f t="shared" si="4"/>
        <v/>
      </c>
      <c r="Q30" s="15" t="str">
        <f>IFERROR(VLOOKUP(B30,'[3]Incoming Transmittals from PDO'!$A$6:$G$20000,3,0),"")</f>
        <v/>
      </c>
      <c r="R30" s="15" t="str">
        <f>IFERROR(VLOOKUP(B30,'[3]Incoming Transmittals from PDO'!$A$6:$G$20000,2,0),"")</f>
        <v/>
      </c>
      <c r="S30" s="15" t="str">
        <f>IFERROR(VLOOKUP(B30,'[3]Incoming Transmittals from PDO'!$A$6:$G$20000,7,0),"")</f>
        <v/>
      </c>
      <c r="T30" s="15" t="str">
        <f>IFERROR(VLOOKUP(B30,'[1]Outgoing to JEL'!$A$6:$G$5000,3,0),"")</f>
        <v/>
      </c>
      <c r="U30" s="15" t="str">
        <f>IFERROR(VLOOKUP(B30,'[1]Outgoing to JEL'!$A$6:$G$5000,2,0),"")</f>
        <v/>
      </c>
      <c r="V30" s="15" t="str">
        <f>IFERROR(VLOOKUP(B30,'[1]Outgoing to JEL'!$A$6:$G$5000,7,0),"")</f>
        <v/>
      </c>
      <c r="W30" s="3" t="str">
        <f t="shared" si="5"/>
        <v/>
      </c>
    </row>
    <row r="31" spans="1:23" s="16" customFormat="1" x14ac:dyDescent="0.2">
      <c r="A31" s="97">
        <f t="shared" ref="A31" si="21">A28+1</f>
        <v>9</v>
      </c>
      <c r="B31" s="30" t="str">
        <f>CONCATENATE(C31,"-",E31)</f>
        <v>KHF-00-104265-RA-6038-01301-0000-1</v>
      </c>
      <c r="C31" s="31" t="s">
        <v>283</v>
      </c>
      <c r="D31" s="32" t="s">
        <v>335</v>
      </c>
      <c r="E31" s="20">
        <v>1</v>
      </c>
      <c r="F31" s="20"/>
      <c r="G31" s="20"/>
      <c r="H31" s="20" t="str">
        <f t="shared" si="18"/>
        <v/>
      </c>
      <c r="I31" s="3">
        <f>J31</f>
        <v>43517</v>
      </c>
      <c r="J31" s="15">
        <f>IFERROR(VLOOKUP(B31,'[1]Incoming from JEL'!$A$6:$G$5002,3,0),"")</f>
        <v>43517</v>
      </c>
      <c r="K31" s="15" t="str">
        <f>IFERROR(VLOOKUP(B31,'[1]Incoming from JEL'!$A$6:$G$5002,2,0),"")</f>
        <v>AIP-YKP-JEL-T-0022</v>
      </c>
      <c r="L31" s="15" t="str">
        <f>IFERROR(VLOOKUP(B31,'[1]Incoming from JEL'!$A$6:$G$5002,7,0),"")</f>
        <v>IFR</v>
      </c>
      <c r="M31" s="15">
        <f>IFERROR(VLOOKUP(B31,'[2]Outgoing Transmittals to PDO'!$A$6:$G$20000,3,0),"")</f>
        <v>43528</v>
      </c>
      <c r="N31" s="15" t="str">
        <f>IFERROR(VLOOKUP(B31,'[2]Outgoing Transmittals to PDO'!$A$6:$G$20000,2,0),"")</f>
        <v>AIP-PDO-P1701009-T-1037</v>
      </c>
      <c r="O31" s="15" t="str">
        <f>IFERROR(VLOOKUP(B31,'[2]Outgoing Transmittals to PDO'!$A$6:$G$20000,7,0),"")</f>
        <v>IFR</v>
      </c>
      <c r="P31" s="15">
        <f t="shared" si="4"/>
        <v>43542</v>
      </c>
      <c r="Q31" s="15">
        <f>IFERROR(VLOOKUP(B31,'[3]Incoming Transmittals from PDO'!$A$6:$G$20000,3,0),"")</f>
        <v>43550</v>
      </c>
      <c r="R31" s="15" t="str">
        <f>IFERROR(VLOOKUP(B31,'[3]Incoming Transmittals from PDO'!$A$6:$G$20000,2,0),"")</f>
        <v>KHF_AIP_D_EXT_01126</v>
      </c>
      <c r="S31" s="15" t="str">
        <f>IFERROR(VLOOKUP(B31,'[3]Incoming Transmittals from PDO'!$A$6:$G$20000,7,0),"")</f>
        <v>Code A</v>
      </c>
      <c r="T31" s="15">
        <f>IFERROR(VLOOKUP(B31,'[1]Outgoing to JEL'!$A$6:$G$5000,3,0),"")</f>
        <v>43550</v>
      </c>
      <c r="U31" s="15" t="str">
        <f>IFERROR(VLOOKUP(B31,'[1]Outgoing to JEL'!$A$6:$G$5000,2,0),"")</f>
        <v>AIP-YKP-JEL-P1701009-T-0018</v>
      </c>
      <c r="V31" s="15" t="str">
        <f>IFERROR(VLOOKUP(B31,'[1]Outgoing to JEL'!$A$6:$G$5000,7,0),"")</f>
        <v>Code A</v>
      </c>
      <c r="W31" s="3" t="str">
        <f t="shared" si="5"/>
        <v>Approved by PDO</v>
      </c>
    </row>
    <row r="32" spans="1:23" s="16" customFormat="1" x14ac:dyDescent="0.2">
      <c r="A32" s="98"/>
      <c r="B32" s="30" t="str">
        <f t="shared" ref="B32:B63" si="22">CONCATENATE(C32,"-",E32)</f>
        <v>KHF-00-104265-RA-6038-01301-0000-2</v>
      </c>
      <c r="C32" s="31" t="s">
        <v>283</v>
      </c>
      <c r="D32" s="32" t="s">
        <v>335</v>
      </c>
      <c r="E32" s="20">
        <v>2</v>
      </c>
      <c r="F32" s="20"/>
      <c r="G32" s="20"/>
      <c r="H32" s="20" t="str">
        <f t="shared" si="18"/>
        <v>L</v>
      </c>
      <c r="I32" s="3">
        <f t="shared" si="3"/>
        <v>43564</v>
      </c>
      <c r="J32" s="15">
        <f>IFERROR(VLOOKUP(B32,'[1]Incoming from JEL'!$A$6:$G$5002,3,0),"")</f>
        <v>43664</v>
      </c>
      <c r="K32" s="15" t="str">
        <f>IFERROR(VLOOKUP(B32,'[1]Incoming from JEL'!$A$6:$G$5002,2,0),"")</f>
        <v>AIP-YKP-JEL -T-0022R8</v>
      </c>
      <c r="L32" s="15" t="str">
        <f>IFERROR(VLOOKUP(B32,'[1]Incoming from JEL'!$A$6:$G$5002,7,0),"")</f>
        <v>IFA</v>
      </c>
      <c r="M32" s="15">
        <f>IFERROR(VLOOKUP(B32,'[2]Outgoing Transmittals to PDO'!$A$6:$G$20000,3,0),"")</f>
        <v>43670</v>
      </c>
      <c r="N32" s="15" t="str">
        <f>IFERROR(VLOOKUP(B32,'[2]Outgoing Transmittals to PDO'!$A$6:$G$20000,2,0),"")</f>
        <v>AIP-PDO-P1701009-T-1313</v>
      </c>
      <c r="O32" s="15" t="str">
        <f>IFERROR(VLOOKUP(B32,'[2]Outgoing Transmittals to PDO'!$A$6:$G$20000,7,0),"")</f>
        <v>IFA</v>
      </c>
      <c r="P32" s="15">
        <f t="shared" si="4"/>
        <v>43684</v>
      </c>
      <c r="Q32" s="15">
        <f>IFERROR(VLOOKUP(B32,'[3]Incoming Transmittals from PDO'!$A$6:$G$20000,3,0),"")</f>
        <v>43683</v>
      </c>
      <c r="R32" s="15" t="str">
        <f>IFERROR(VLOOKUP(B32,'[3]Incoming Transmittals from PDO'!$A$6:$G$20000,2,0),"")</f>
        <v>KHF_AIP_D_EXT_01374</v>
      </c>
      <c r="S32" s="15" t="str">
        <f>IFERROR(VLOOKUP(B32,'[3]Incoming Transmittals from PDO'!$A$6:$G$20000,7,0),"")</f>
        <v>Code A</v>
      </c>
      <c r="T32" s="15">
        <f>IFERROR(VLOOKUP(B32,'[1]Outgoing to JEL'!$A$6:$G$5000,3,0),"")</f>
        <v>43684</v>
      </c>
      <c r="U32" s="15" t="str">
        <f>IFERROR(VLOOKUP(B32,'[1]Outgoing to JEL'!$A$6:$G$5000,2,0),"")</f>
        <v>AIP-YKP-JEL-P1701009-T-0041</v>
      </c>
      <c r="V32" s="15" t="str">
        <f>IFERROR(VLOOKUP(B32,'[1]Outgoing to JEL'!$A$6:$G$5000,7,0),"")</f>
        <v>Code A</v>
      </c>
      <c r="W32" s="3" t="str">
        <f t="shared" si="5"/>
        <v>Approved by PDO</v>
      </c>
    </row>
    <row r="33" spans="1:23" s="16" customFormat="1" x14ac:dyDescent="0.2">
      <c r="A33" s="99"/>
      <c r="B33" s="30" t="str">
        <f t="shared" si="22"/>
        <v>KHF-00-104265-RA-6038-01301-0000-3</v>
      </c>
      <c r="C33" s="31" t="s">
        <v>283</v>
      </c>
      <c r="D33" s="32" t="s">
        <v>335</v>
      </c>
      <c r="E33" s="20">
        <v>3</v>
      </c>
      <c r="F33" s="20"/>
      <c r="G33" s="20"/>
      <c r="H33" s="20" t="str">
        <f t="shared" si="18"/>
        <v/>
      </c>
      <c r="I33" s="3" t="str">
        <f t="shared" si="3"/>
        <v/>
      </c>
      <c r="J33" s="15" t="str">
        <f>IFERROR(VLOOKUP(B33,'[1]Incoming from JEL'!$A$6:$G$5002,3,0),"")</f>
        <v/>
      </c>
      <c r="K33" s="15" t="str">
        <f>IFERROR(VLOOKUP(B33,'[1]Incoming from JEL'!$A$6:$G$5002,2,0),"")</f>
        <v/>
      </c>
      <c r="L33" s="15" t="str">
        <f>IFERROR(VLOOKUP(B33,'[1]Incoming from JEL'!$A$6:$G$5002,7,0),"")</f>
        <v/>
      </c>
      <c r="M33" s="15" t="str">
        <f>IFERROR(VLOOKUP(B33,'[2]Outgoing Transmittals to PDO'!$A$6:$G$20000,3,0),"")</f>
        <v/>
      </c>
      <c r="N33" s="15" t="str">
        <f>IFERROR(VLOOKUP(B33,'[2]Outgoing Transmittals to PDO'!$A$6:$G$20000,2,0),"")</f>
        <v/>
      </c>
      <c r="O33" s="15" t="str">
        <f>IFERROR(VLOOKUP(B33,'[2]Outgoing Transmittals to PDO'!$A$6:$G$20000,7,0),"")</f>
        <v/>
      </c>
      <c r="P33" s="15" t="str">
        <f t="shared" si="4"/>
        <v/>
      </c>
      <c r="Q33" s="15" t="str">
        <f>IFERROR(VLOOKUP(B33,'[3]Incoming Transmittals from PDO'!$A$6:$G$20000,3,0),"")</f>
        <v/>
      </c>
      <c r="R33" s="15" t="str">
        <f>IFERROR(VLOOKUP(B33,'[3]Incoming Transmittals from PDO'!$A$6:$G$20000,2,0),"")</f>
        <v/>
      </c>
      <c r="S33" s="15" t="str">
        <f>IFERROR(VLOOKUP(B33,'[3]Incoming Transmittals from PDO'!$A$6:$G$20000,7,0),"")</f>
        <v/>
      </c>
      <c r="T33" s="15" t="str">
        <f>IFERROR(VLOOKUP(B33,'[1]Outgoing to JEL'!$A$6:$G$5000,3,0),"")</f>
        <v/>
      </c>
      <c r="U33" s="15" t="str">
        <f>IFERROR(VLOOKUP(B33,'[1]Outgoing to JEL'!$A$6:$G$5000,2,0),"")</f>
        <v/>
      </c>
      <c r="V33" s="15" t="str">
        <f>IFERROR(VLOOKUP(B33,'[1]Outgoing to JEL'!$A$6:$G$5000,7,0),"")</f>
        <v/>
      </c>
      <c r="W33" s="3" t="str">
        <f t="shared" si="5"/>
        <v/>
      </c>
    </row>
    <row r="34" spans="1:23" s="16" customFormat="1" x14ac:dyDescent="0.2">
      <c r="A34" s="97">
        <f t="shared" ref="A34" si="23">A31+1</f>
        <v>10</v>
      </c>
      <c r="B34" s="39" t="str">
        <f>CONCATENATE(C34,"-",E34)</f>
        <v>KHF-00-104265-RA-6038-01302-0000-1</v>
      </c>
      <c r="C34" s="31" t="s">
        <v>327</v>
      </c>
      <c r="D34" s="32" t="s">
        <v>336</v>
      </c>
      <c r="E34" s="20">
        <v>1</v>
      </c>
      <c r="F34" s="20"/>
      <c r="G34" s="20"/>
      <c r="H34" s="20" t="str">
        <f t="shared" si="18"/>
        <v>L</v>
      </c>
      <c r="I34" s="3">
        <f>J34</f>
        <v>43517</v>
      </c>
      <c r="J34" s="15">
        <f>IFERROR(VLOOKUP(B34,'[1]Incoming from JEL'!$A$6:$G$5002,3,0),"")</f>
        <v>43517</v>
      </c>
      <c r="K34" s="15" t="str">
        <f>IFERROR(VLOOKUP(B34,'[1]Incoming from JEL'!$A$6:$G$5002,2,0),"")</f>
        <v>AIP-YKP-JEL-T-0022</v>
      </c>
      <c r="L34" s="15" t="str">
        <f>IFERROR(VLOOKUP(B34,'[1]Incoming from JEL'!$A$6:$G$5002,7,0),"")</f>
        <v>IFR</v>
      </c>
      <c r="M34" s="15">
        <f>IFERROR(VLOOKUP(B34,'[2]Outgoing Transmittals to PDO'!$A$6:$G$20000,3,0),"")</f>
        <v>43528</v>
      </c>
      <c r="N34" s="15" t="str">
        <f>IFERROR(VLOOKUP(B34,'[2]Outgoing Transmittals to PDO'!$A$6:$G$20000,2,0),"")</f>
        <v>AIP-PDO-P1701009-T-1037</v>
      </c>
      <c r="O34" s="15" t="str">
        <f>IFERROR(VLOOKUP(B34,'[2]Outgoing Transmittals to PDO'!$A$6:$G$20000,7,0),"")</f>
        <v>IFR</v>
      </c>
      <c r="P34" s="15">
        <f t="shared" ref="P34:P39" si="24">IF(ISNUMBER(M34),SUM(M34+14),"")</f>
        <v>43542</v>
      </c>
      <c r="Q34" s="15">
        <f>IFERROR(VLOOKUP(B34,'[3]Incoming Transmittals from PDO'!$A$6:$G$20000,3,0),"")</f>
        <v>43550</v>
      </c>
      <c r="R34" s="15" t="str">
        <f>IFERROR(VLOOKUP(B34,'[3]Incoming Transmittals from PDO'!$A$6:$G$20000,2,0),"")</f>
        <v>KHF_AIP_D_EXT_01126</v>
      </c>
      <c r="S34" s="15" t="str">
        <f>IFERROR(VLOOKUP(B34,'[3]Incoming Transmittals from PDO'!$A$6:$G$20000,7,0),"")</f>
        <v>Code A</v>
      </c>
      <c r="T34" s="15">
        <f>IFERROR(VLOOKUP(B34,'[1]Outgoing to JEL'!$A$6:$G$5000,3,0),"")</f>
        <v>43550</v>
      </c>
      <c r="U34" s="15" t="str">
        <f>IFERROR(VLOOKUP(B34,'[1]Outgoing to JEL'!$A$6:$G$5000,2,0),"")</f>
        <v>AIP-YKP-JEL-P1701009-T-0018</v>
      </c>
      <c r="V34" s="15" t="str">
        <f>IFERROR(VLOOKUP(B34,'[1]Outgoing to JEL'!$A$6:$G$5000,7,0),"")</f>
        <v>Code A</v>
      </c>
      <c r="W34" s="3" t="str">
        <f t="shared" ref="W34:W39" si="25">IF(S34="Code A","Approved by PDO",IF(S34="Code B","Comments from PDO",IF(S34="Code C","Review not Required",IF(S34="Code D","Rejected by PDO",IF(V34="Code A","Approved by AIP",IF(V34="Code B","Comments from AIP",IF(V34="Code C","Review not Required",IF(V34="Code D","Rejected by AIP",IF(AND(M34="-",Q34="-"),"Pending for AIP review",IF(O34="IFI","Issued for Information",IF(M34&lt;&gt;"","Pending for PDO Approval",IF(L34="IFI","Issued for AIP Information",IF(J34&lt;&gt;"","Pending for PDO submission",IF(I34&lt;&gt;"","Pending from JEL",""))))))))))))))</f>
        <v>Approved by PDO</v>
      </c>
    </row>
    <row r="35" spans="1:23" s="16" customFormat="1" x14ac:dyDescent="0.2">
      <c r="A35" s="98"/>
      <c r="B35" s="39" t="str">
        <f t="shared" ref="B35:B36" si="26">CONCATENATE(C35,"-",E35)</f>
        <v>KHF-00-104265-RA-6038-01302-0000-2</v>
      </c>
      <c r="C35" s="31" t="s">
        <v>327</v>
      </c>
      <c r="D35" s="32" t="s">
        <v>336</v>
      </c>
      <c r="E35" s="20">
        <v>2</v>
      </c>
      <c r="F35" s="20"/>
      <c r="G35" s="20"/>
      <c r="H35" s="20" t="str">
        <f t="shared" si="18"/>
        <v/>
      </c>
      <c r="I35" s="3" t="str">
        <f t="shared" ref="I35:I36" si="27">IFERROR(IF(OR(V34="Code B",V34="Code D",V34="-",ISNUMBER(J35)),T34+14,""),"")</f>
        <v/>
      </c>
      <c r="J35" s="15" t="str">
        <f>IFERROR(VLOOKUP(B35,'[1]Incoming from JEL'!$A$6:$G$5002,3,0),"")</f>
        <v/>
      </c>
      <c r="K35" s="15" t="str">
        <f>IFERROR(VLOOKUP(B35,'[1]Incoming from JEL'!$A$6:$G$5002,2,0),"")</f>
        <v/>
      </c>
      <c r="L35" s="15" t="str">
        <f>IFERROR(VLOOKUP(B35,'[1]Incoming from JEL'!$A$6:$G$5002,7,0),"")</f>
        <v/>
      </c>
      <c r="M35" s="15" t="str">
        <f>IFERROR(VLOOKUP(B35,'[2]Outgoing Transmittals to PDO'!$A$6:$G$20000,3,0),"")</f>
        <v/>
      </c>
      <c r="N35" s="15" t="str">
        <f>IFERROR(VLOOKUP(B35,'[2]Outgoing Transmittals to PDO'!$A$6:$G$20000,2,0),"")</f>
        <v/>
      </c>
      <c r="O35" s="15" t="str">
        <f>IFERROR(VLOOKUP(B35,'[2]Outgoing Transmittals to PDO'!$A$6:$G$20000,7,0),"")</f>
        <v/>
      </c>
      <c r="P35" s="15" t="str">
        <f t="shared" si="24"/>
        <v/>
      </c>
      <c r="Q35" s="15" t="str">
        <f>IFERROR(VLOOKUP(B35,'[3]Incoming Transmittals from PDO'!$A$6:$G$20000,3,0),"")</f>
        <v/>
      </c>
      <c r="R35" s="15" t="str">
        <f>IFERROR(VLOOKUP(B35,'[3]Incoming Transmittals from PDO'!$A$6:$G$20000,2,0),"")</f>
        <v/>
      </c>
      <c r="S35" s="15" t="str">
        <f>IFERROR(VLOOKUP(B35,'[3]Incoming Transmittals from PDO'!$A$6:$G$20000,7,0),"")</f>
        <v/>
      </c>
      <c r="T35" s="15" t="str">
        <f>IFERROR(VLOOKUP(B35,'[1]Outgoing to JEL'!$A$6:$G$5000,3,0),"")</f>
        <v/>
      </c>
      <c r="U35" s="15" t="str">
        <f>IFERROR(VLOOKUP(B35,'[1]Outgoing to JEL'!$A$6:$G$5000,2,0),"")</f>
        <v/>
      </c>
      <c r="V35" s="15" t="str">
        <f>IFERROR(VLOOKUP(B35,'[1]Outgoing to JEL'!$A$6:$G$5000,7,0),"")</f>
        <v/>
      </c>
      <c r="W35" s="3" t="str">
        <f t="shared" si="25"/>
        <v/>
      </c>
    </row>
    <row r="36" spans="1:23" s="16" customFormat="1" x14ac:dyDescent="0.2">
      <c r="A36" s="99"/>
      <c r="B36" s="39" t="str">
        <f t="shared" si="26"/>
        <v>KHF-00-104265-RA-6038-01302-0000-3</v>
      </c>
      <c r="C36" s="31" t="s">
        <v>327</v>
      </c>
      <c r="D36" s="32" t="s">
        <v>336</v>
      </c>
      <c r="E36" s="20">
        <v>3</v>
      </c>
      <c r="F36" s="20"/>
      <c r="G36" s="20"/>
      <c r="H36" s="20" t="str">
        <f t="shared" si="18"/>
        <v/>
      </c>
      <c r="I36" s="3" t="str">
        <f t="shared" si="27"/>
        <v/>
      </c>
      <c r="J36" s="15" t="str">
        <f>IFERROR(VLOOKUP(B36,'[1]Incoming from JEL'!$A$6:$G$5002,3,0),"")</f>
        <v/>
      </c>
      <c r="K36" s="15" t="str">
        <f>IFERROR(VLOOKUP(B36,'[1]Incoming from JEL'!$A$6:$G$5002,2,0),"")</f>
        <v/>
      </c>
      <c r="L36" s="15" t="str">
        <f>IFERROR(VLOOKUP(B36,'[1]Incoming from JEL'!$A$6:$G$5002,7,0),"")</f>
        <v/>
      </c>
      <c r="M36" s="15" t="str">
        <f>IFERROR(VLOOKUP(B36,'[2]Outgoing Transmittals to PDO'!$A$6:$G$20000,3,0),"")</f>
        <v/>
      </c>
      <c r="N36" s="15" t="str">
        <f>IFERROR(VLOOKUP(B36,'[2]Outgoing Transmittals to PDO'!$A$6:$G$20000,2,0),"")</f>
        <v/>
      </c>
      <c r="O36" s="15" t="str">
        <f>IFERROR(VLOOKUP(B36,'[2]Outgoing Transmittals to PDO'!$A$6:$G$20000,7,0),"")</f>
        <v/>
      </c>
      <c r="P36" s="15" t="str">
        <f t="shared" si="24"/>
        <v/>
      </c>
      <c r="Q36" s="15" t="str">
        <f>IFERROR(VLOOKUP(B36,'[3]Incoming Transmittals from PDO'!$A$6:$G$20000,3,0),"")</f>
        <v/>
      </c>
      <c r="R36" s="15" t="str">
        <f>IFERROR(VLOOKUP(B36,'[3]Incoming Transmittals from PDO'!$A$6:$G$20000,2,0),"")</f>
        <v/>
      </c>
      <c r="S36" s="15" t="str">
        <f>IFERROR(VLOOKUP(B36,'[3]Incoming Transmittals from PDO'!$A$6:$G$20000,7,0),"")</f>
        <v/>
      </c>
      <c r="T36" s="15" t="str">
        <f>IFERROR(VLOOKUP(B36,'[1]Outgoing to JEL'!$A$6:$G$5000,3,0),"")</f>
        <v/>
      </c>
      <c r="U36" s="15" t="str">
        <f>IFERROR(VLOOKUP(B36,'[1]Outgoing to JEL'!$A$6:$G$5000,2,0),"")</f>
        <v/>
      </c>
      <c r="V36" s="15" t="str">
        <f>IFERROR(VLOOKUP(B36,'[1]Outgoing to JEL'!$A$6:$G$5000,7,0),"")</f>
        <v/>
      </c>
      <c r="W36" s="3" t="str">
        <f t="shared" si="25"/>
        <v/>
      </c>
    </row>
    <row r="37" spans="1:23" s="16" customFormat="1" x14ac:dyDescent="0.2">
      <c r="A37" s="97">
        <f t="shared" ref="A37" si="28">A34+1</f>
        <v>11</v>
      </c>
      <c r="B37" s="39" t="str">
        <f>CONCATENATE(C37,"-",E37)</f>
        <v>KHF-00-104265-RA-6038-01303-0000-1</v>
      </c>
      <c r="C37" s="31" t="s">
        <v>328</v>
      </c>
      <c r="D37" s="32" t="s">
        <v>337</v>
      </c>
      <c r="E37" s="20">
        <v>1</v>
      </c>
      <c r="F37" s="20"/>
      <c r="G37" s="20"/>
      <c r="H37" s="20" t="str">
        <f t="shared" si="18"/>
        <v>L</v>
      </c>
      <c r="I37" s="3">
        <f>J37</f>
        <v>43517</v>
      </c>
      <c r="J37" s="15">
        <f>IFERROR(VLOOKUP(B37,'[1]Incoming from JEL'!$A$6:$G$5002,3,0),"")</f>
        <v>43517</v>
      </c>
      <c r="K37" s="15" t="str">
        <f>IFERROR(VLOOKUP(B37,'[1]Incoming from JEL'!$A$6:$G$5002,2,0),"")</f>
        <v>AIP-YKP-JEL-T-0022</v>
      </c>
      <c r="L37" s="15" t="str">
        <f>IFERROR(VLOOKUP(B37,'[1]Incoming from JEL'!$A$6:$G$5002,7,0),"")</f>
        <v>IFR</v>
      </c>
      <c r="M37" s="15">
        <f>IFERROR(VLOOKUP(B37,'[2]Outgoing Transmittals to PDO'!$A$6:$G$20000,3,0),"")</f>
        <v>43528</v>
      </c>
      <c r="N37" s="15" t="str">
        <f>IFERROR(VLOOKUP(B37,'[2]Outgoing Transmittals to PDO'!$A$6:$G$20000,2,0),"")</f>
        <v>AIP-PDO-P1701009-T-1037</v>
      </c>
      <c r="O37" s="15" t="str">
        <f>IFERROR(VLOOKUP(B37,'[2]Outgoing Transmittals to PDO'!$A$6:$G$20000,7,0),"")</f>
        <v>IFR</v>
      </c>
      <c r="P37" s="15">
        <f t="shared" si="24"/>
        <v>43542</v>
      </c>
      <c r="Q37" s="15">
        <f>IFERROR(VLOOKUP(B37,'[3]Incoming Transmittals from PDO'!$A$6:$G$20000,3,0),"")</f>
        <v>43550</v>
      </c>
      <c r="R37" s="15" t="str">
        <f>IFERROR(VLOOKUP(B37,'[3]Incoming Transmittals from PDO'!$A$6:$G$20000,2,0),"")</f>
        <v>KHF_AIP_D_EXT_01126</v>
      </c>
      <c r="S37" s="15" t="str">
        <f>IFERROR(VLOOKUP(B37,'[3]Incoming Transmittals from PDO'!$A$6:$G$20000,7,0),"")</f>
        <v>Code A</v>
      </c>
      <c r="T37" s="15">
        <f>IFERROR(VLOOKUP(B37,'[1]Outgoing to JEL'!$A$6:$G$5000,3,0),"")</f>
        <v>43550</v>
      </c>
      <c r="U37" s="15" t="str">
        <f>IFERROR(VLOOKUP(B37,'[1]Outgoing to JEL'!$A$6:$G$5000,2,0),"")</f>
        <v>AIP-YKP-JEL-P1701009-T-0018</v>
      </c>
      <c r="V37" s="15" t="str">
        <f>IFERROR(VLOOKUP(B37,'[1]Outgoing to JEL'!$A$6:$G$5000,7,0),"")</f>
        <v>Code A</v>
      </c>
      <c r="W37" s="3" t="str">
        <f t="shared" si="25"/>
        <v>Approved by PDO</v>
      </c>
    </row>
    <row r="38" spans="1:23" s="16" customFormat="1" x14ac:dyDescent="0.2">
      <c r="A38" s="98"/>
      <c r="B38" s="39" t="str">
        <f t="shared" ref="B38:B39" si="29">CONCATENATE(C38,"-",E38)</f>
        <v>KHF-00-104265-RA-6038-01303-0000-2</v>
      </c>
      <c r="C38" s="31" t="s">
        <v>328</v>
      </c>
      <c r="D38" s="32" t="s">
        <v>337</v>
      </c>
      <c r="E38" s="20">
        <v>2</v>
      </c>
      <c r="F38" s="20"/>
      <c r="G38" s="20"/>
      <c r="H38" s="20" t="str">
        <f t="shared" si="18"/>
        <v/>
      </c>
      <c r="I38" s="3" t="str">
        <f t="shared" ref="I38:I39" si="30">IFERROR(IF(OR(V37="Code B",V37="Code D",V37="-",ISNUMBER(J38)),T37+14,""),"")</f>
        <v/>
      </c>
      <c r="J38" s="15" t="str">
        <f>IFERROR(VLOOKUP(B38,'[1]Incoming from JEL'!$A$6:$G$5002,3,0),"")</f>
        <v/>
      </c>
      <c r="K38" s="15" t="str">
        <f>IFERROR(VLOOKUP(B38,'[1]Incoming from JEL'!$A$6:$G$5002,2,0),"")</f>
        <v/>
      </c>
      <c r="L38" s="15" t="str">
        <f>IFERROR(VLOOKUP(B38,'[1]Incoming from JEL'!$A$6:$G$5002,7,0),"")</f>
        <v/>
      </c>
      <c r="M38" s="15" t="str">
        <f>IFERROR(VLOOKUP(B38,'[2]Outgoing Transmittals to PDO'!$A$6:$G$20000,3,0),"")</f>
        <v/>
      </c>
      <c r="N38" s="15" t="str">
        <f>IFERROR(VLOOKUP(B38,'[2]Outgoing Transmittals to PDO'!$A$6:$G$20000,2,0),"")</f>
        <v/>
      </c>
      <c r="O38" s="15" t="str">
        <f>IFERROR(VLOOKUP(B38,'[2]Outgoing Transmittals to PDO'!$A$6:$G$20000,7,0),"")</f>
        <v/>
      </c>
      <c r="P38" s="15" t="str">
        <f t="shared" si="24"/>
        <v/>
      </c>
      <c r="Q38" s="15" t="str">
        <f>IFERROR(VLOOKUP(B38,'[3]Incoming Transmittals from PDO'!$A$6:$G$20000,3,0),"")</f>
        <v/>
      </c>
      <c r="R38" s="15" t="str">
        <f>IFERROR(VLOOKUP(B38,'[3]Incoming Transmittals from PDO'!$A$6:$G$20000,2,0),"")</f>
        <v/>
      </c>
      <c r="S38" s="15" t="str">
        <f>IFERROR(VLOOKUP(B38,'[3]Incoming Transmittals from PDO'!$A$6:$G$20000,7,0),"")</f>
        <v/>
      </c>
      <c r="T38" s="15" t="str">
        <f>IFERROR(VLOOKUP(B38,'[1]Outgoing to JEL'!$A$6:$G$5000,3,0),"")</f>
        <v/>
      </c>
      <c r="U38" s="15" t="str">
        <f>IFERROR(VLOOKUP(B38,'[1]Outgoing to JEL'!$A$6:$G$5000,2,0),"")</f>
        <v/>
      </c>
      <c r="V38" s="15" t="str">
        <f>IFERROR(VLOOKUP(B38,'[1]Outgoing to JEL'!$A$6:$G$5000,7,0),"")</f>
        <v/>
      </c>
      <c r="W38" s="3" t="str">
        <f t="shared" si="25"/>
        <v/>
      </c>
    </row>
    <row r="39" spans="1:23" s="16" customFormat="1" x14ac:dyDescent="0.2">
      <c r="A39" s="99"/>
      <c r="B39" s="39" t="str">
        <f t="shared" si="29"/>
        <v>KHF-00-104265-RA-6038-01303-0000-3</v>
      </c>
      <c r="C39" s="31" t="s">
        <v>328</v>
      </c>
      <c r="D39" s="32" t="s">
        <v>337</v>
      </c>
      <c r="E39" s="20">
        <v>3</v>
      </c>
      <c r="F39" s="20"/>
      <c r="G39" s="20"/>
      <c r="H39" s="20" t="str">
        <f t="shared" si="18"/>
        <v/>
      </c>
      <c r="I39" s="3" t="str">
        <f t="shared" si="30"/>
        <v/>
      </c>
      <c r="J39" s="15" t="str">
        <f>IFERROR(VLOOKUP(B39,'[1]Incoming from JEL'!$A$6:$G$5002,3,0),"")</f>
        <v/>
      </c>
      <c r="K39" s="15" t="str">
        <f>IFERROR(VLOOKUP(B39,'[1]Incoming from JEL'!$A$6:$G$5002,2,0),"")</f>
        <v/>
      </c>
      <c r="L39" s="15" t="str">
        <f>IFERROR(VLOOKUP(B39,'[1]Incoming from JEL'!$A$6:$G$5002,7,0),"")</f>
        <v/>
      </c>
      <c r="M39" s="15" t="str">
        <f>IFERROR(VLOOKUP(B39,'[2]Outgoing Transmittals to PDO'!$A$6:$G$20000,3,0),"")</f>
        <v/>
      </c>
      <c r="N39" s="15" t="str">
        <f>IFERROR(VLOOKUP(B39,'[2]Outgoing Transmittals to PDO'!$A$6:$G$20000,2,0),"")</f>
        <v/>
      </c>
      <c r="O39" s="15" t="str">
        <f>IFERROR(VLOOKUP(B39,'[2]Outgoing Transmittals to PDO'!$A$6:$G$20000,7,0),"")</f>
        <v/>
      </c>
      <c r="P39" s="15" t="str">
        <f t="shared" si="24"/>
        <v/>
      </c>
      <c r="Q39" s="15" t="str">
        <f>IFERROR(VLOOKUP(B39,'[3]Incoming Transmittals from PDO'!$A$6:$G$20000,3,0),"")</f>
        <v/>
      </c>
      <c r="R39" s="15" t="str">
        <f>IFERROR(VLOOKUP(B39,'[3]Incoming Transmittals from PDO'!$A$6:$G$20000,2,0),"")</f>
        <v/>
      </c>
      <c r="S39" s="15" t="str">
        <f>IFERROR(VLOOKUP(B39,'[3]Incoming Transmittals from PDO'!$A$6:$G$20000,7,0),"")</f>
        <v/>
      </c>
      <c r="T39" s="15" t="str">
        <f>IFERROR(VLOOKUP(B39,'[1]Outgoing to JEL'!$A$6:$G$5000,3,0),"")</f>
        <v/>
      </c>
      <c r="U39" s="15" t="str">
        <f>IFERROR(VLOOKUP(B39,'[1]Outgoing to JEL'!$A$6:$G$5000,2,0),"")</f>
        <v/>
      </c>
      <c r="V39" s="15" t="str">
        <f>IFERROR(VLOOKUP(B39,'[1]Outgoing to JEL'!$A$6:$G$5000,7,0),"")</f>
        <v/>
      </c>
      <c r="W39" s="3" t="str">
        <f t="shared" si="25"/>
        <v/>
      </c>
    </row>
    <row r="40" spans="1:23" s="16" customFormat="1" x14ac:dyDescent="0.2">
      <c r="A40" s="97">
        <f t="shared" ref="A40" si="31">A37+1</f>
        <v>12</v>
      </c>
      <c r="B40" s="39" t="str">
        <f>CONCATENATE(C40,"-",E40)</f>
        <v>KHF-00-104265-RA-6038-01304-0000-1</v>
      </c>
      <c r="C40" s="31" t="s">
        <v>329</v>
      </c>
      <c r="D40" s="32" t="s">
        <v>338</v>
      </c>
      <c r="E40" s="20">
        <v>1</v>
      </c>
      <c r="F40" s="20"/>
      <c r="G40" s="20"/>
      <c r="H40" s="20" t="str">
        <f t="shared" si="18"/>
        <v>L</v>
      </c>
      <c r="I40" s="3">
        <f>J40</f>
        <v>43517</v>
      </c>
      <c r="J40" s="15">
        <f>IFERROR(VLOOKUP(B40,'[1]Incoming from JEL'!$A$6:$G$5002,3,0),"")</f>
        <v>43517</v>
      </c>
      <c r="K40" s="15" t="str">
        <f>IFERROR(VLOOKUP(B40,'[1]Incoming from JEL'!$A$6:$G$5002,2,0),"")</f>
        <v>AIP-YKP-JEL-T-0022</v>
      </c>
      <c r="L40" s="15" t="str">
        <f>IFERROR(VLOOKUP(B40,'[1]Incoming from JEL'!$A$6:$G$5002,7,0),"")</f>
        <v>IFR</v>
      </c>
      <c r="M40" s="15">
        <f>IFERROR(VLOOKUP(B40,'[2]Outgoing Transmittals to PDO'!$A$6:$G$20000,3,0),"")</f>
        <v>43528</v>
      </c>
      <c r="N40" s="15" t="str">
        <f>IFERROR(VLOOKUP(B40,'[2]Outgoing Transmittals to PDO'!$A$6:$G$20000,2,0),"")</f>
        <v>AIP-PDO-P1701009-T-1037</v>
      </c>
      <c r="O40" s="15" t="str">
        <f>IFERROR(VLOOKUP(B40,'[2]Outgoing Transmittals to PDO'!$A$6:$G$20000,7,0),"")</f>
        <v>IFR</v>
      </c>
      <c r="P40" s="15">
        <f t="shared" ref="P40:P54" si="32">IF(ISNUMBER(M40),SUM(M40+14),"")</f>
        <v>43542</v>
      </c>
      <c r="Q40" s="15">
        <f>IFERROR(VLOOKUP(B40,'[3]Incoming Transmittals from PDO'!$A$6:$G$20000,3,0),"")</f>
        <v>43550</v>
      </c>
      <c r="R40" s="15" t="str">
        <f>IFERROR(VLOOKUP(B40,'[3]Incoming Transmittals from PDO'!$A$6:$G$20000,2,0),"")</f>
        <v>KHF_AIP_D_EXT_01126</v>
      </c>
      <c r="S40" s="15" t="str">
        <f>IFERROR(VLOOKUP(B40,'[3]Incoming Transmittals from PDO'!$A$6:$G$20000,7,0),"")</f>
        <v>Code A</v>
      </c>
      <c r="T40" s="15">
        <f>IFERROR(VLOOKUP(B40,'[1]Outgoing to JEL'!$A$6:$G$5000,3,0),"")</f>
        <v>43550</v>
      </c>
      <c r="U40" s="15" t="str">
        <f>IFERROR(VLOOKUP(B40,'[1]Outgoing to JEL'!$A$6:$G$5000,2,0),"")</f>
        <v>AIP-YKP-JEL-P1701009-T-0018</v>
      </c>
      <c r="V40" s="15" t="str">
        <f>IFERROR(VLOOKUP(B40,'[1]Outgoing to JEL'!$A$6:$G$5000,7,0),"")</f>
        <v>Code A</v>
      </c>
      <c r="W40" s="3" t="str">
        <f t="shared" ref="W40:W54" si="33">IF(S40="Code A","Approved by PDO",IF(S40="Code B","Comments from PDO",IF(S40="Code C","Review not Required",IF(S40="Code D","Rejected by PDO",IF(V40="Code A","Approved by AIP",IF(V40="Code B","Comments from AIP",IF(V40="Code C","Review not Required",IF(V40="Code D","Rejected by AIP",IF(AND(M40="-",Q40="-"),"Pending for AIP review",IF(O40="IFI","Issued for Information",IF(M40&lt;&gt;"","Pending for PDO Approval",IF(L40="IFI","Issued for AIP Information",IF(J40&lt;&gt;"","Pending for PDO submission",IF(I40&lt;&gt;"","Pending from JEL",""))))))))))))))</f>
        <v>Approved by PDO</v>
      </c>
    </row>
    <row r="41" spans="1:23" s="16" customFormat="1" x14ac:dyDescent="0.2">
      <c r="A41" s="98"/>
      <c r="B41" s="39" t="str">
        <f t="shared" ref="B41:B42" si="34">CONCATENATE(C41,"-",E41)</f>
        <v>KHF-00-104265-RA-6038-01304-0000-2</v>
      </c>
      <c r="C41" s="31" t="s">
        <v>329</v>
      </c>
      <c r="D41" s="32" t="s">
        <v>338</v>
      </c>
      <c r="E41" s="20">
        <v>2</v>
      </c>
      <c r="F41" s="20"/>
      <c r="G41" s="20"/>
      <c r="H41" s="20" t="str">
        <f t="shared" si="18"/>
        <v/>
      </c>
      <c r="I41" s="3" t="str">
        <f t="shared" ref="I41:I42" si="35">IFERROR(IF(OR(V40="Code B",V40="Code D",V40="-",ISNUMBER(J41)),T40+14,""),"")</f>
        <v/>
      </c>
      <c r="J41" s="15" t="str">
        <f>IFERROR(VLOOKUP(B41,'[1]Incoming from JEL'!$A$6:$G$5002,3,0),"")</f>
        <v/>
      </c>
      <c r="K41" s="15" t="str">
        <f>IFERROR(VLOOKUP(B41,'[1]Incoming from JEL'!$A$6:$G$5002,2,0),"")</f>
        <v/>
      </c>
      <c r="L41" s="15" t="str">
        <f>IFERROR(VLOOKUP(B41,'[1]Incoming from JEL'!$A$6:$G$5002,7,0),"")</f>
        <v/>
      </c>
      <c r="M41" s="15" t="str">
        <f>IFERROR(VLOOKUP(B41,'[2]Outgoing Transmittals to PDO'!$A$6:$G$20000,3,0),"")</f>
        <v/>
      </c>
      <c r="N41" s="15" t="str">
        <f>IFERROR(VLOOKUP(B41,'[2]Outgoing Transmittals to PDO'!$A$6:$G$20000,2,0),"")</f>
        <v/>
      </c>
      <c r="O41" s="15" t="str">
        <f>IFERROR(VLOOKUP(B41,'[2]Outgoing Transmittals to PDO'!$A$6:$G$20000,7,0),"")</f>
        <v/>
      </c>
      <c r="P41" s="15" t="str">
        <f t="shared" si="32"/>
        <v/>
      </c>
      <c r="Q41" s="15" t="str">
        <f>IFERROR(VLOOKUP(B41,'[3]Incoming Transmittals from PDO'!$A$6:$G$20000,3,0),"")</f>
        <v/>
      </c>
      <c r="R41" s="15" t="str">
        <f>IFERROR(VLOOKUP(B41,'[3]Incoming Transmittals from PDO'!$A$6:$G$20000,2,0),"")</f>
        <v/>
      </c>
      <c r="S41" s="15" t="str">
        <f>IFERROR(VLOOKUP(B41,'[3]Incoming Transmittals from PDO'!$A$6:$G$20000,7,0),"")</f>
        <v/>
      </c>
      <c r="T41" s="15" t="str">
        <f>IFERROR(VLOOKUP(B41,'[1]Outgoing to JEL'!$A$6:$G$5000,3,0),"")</f>
        <v/>
      </c>
      <c r="U41" s="15" t="str">
        <f>IFERROR(VLOOKUP(B41,'[1]Outgoing to JEL'!$A$6:$G$5000,2,0),"")</f>
        <v/>
      </c>
      <c r="V41" s="15" t="str">
        <f>IFERROR(VLOOKUP(B41,'[1]Outgoing to JEL'!$A$6:$G$5000,7,0),"")</f>
        <v/>
      </c>
      <c r="W41" s="3" t="str">
        <f t="shared" si="33"/>
        <v/>
      </c>
    </row>
    <row r="42" spans="1:23" s="16" customFormat="1" x14ac:dyDescent="0.2">
      <c r="A42" s="99"/>
      <c r="B42" s="39" t="str">
        <f t="shared" si="34"/>
        <v>KHF-00-104265-RA-6038-01304-0000-3</v>
      </c>
      <c r="C42" s="31" t="s">
        <v>329</v>
      </c>
      <c r="D42" s="32" t="s">
        <v>338</v>
      </c>
      <c r="E42" s="20">
        <v>3</v>
      </c>
      <c r="F42" s="20"/>
      <c r="G42" s="20"/>
      <c r="H42" s="20" t="str">
        <f t="shared" si="18"/>
        <v/>
      </c>
      <c r="I42" s="3" t="str">
        <f t="shared" si="35"/>
        <v/>
      </c>
      <c r="J42" s="15" t="str">
        <f>IFERROR(VLOOKUP(B42,'[1]Incoming from JEL'!$A$6:$G$5002,3,0),"")</f>
        <v/>
      </c>
      <c r="K42" s="15" t="str">
        <f>IFERROR(VLOOKUP(B42,'[1]Incoming from JEL'!$A$6:$G$5002,2,0),"")</f>
        <v/>
      </c>
      <c r="L42" s="15" t="str">
        <f>IFERROR(VLOOKUP(B42,'[1]Incoming from JEL'!$A$6:$G$5002,7,0),"")</f>
        <v/>
      </c>
      <c r="M42" s="15" t="str">
        <f>IFERROR(VLOOKUP(B42,'[2]Outgoing Transmittals to PDO'!$A$6:$G$20000,3,0),"")</f>
        <v/>
      </c>
      <c r="N42" s="15" t="str">
        <f>IFERROR(VLOOKUP(B42,'[2]Outgoing Transmittals to PDO'!$A$6:$G$20000,2,0),"")</f>
        <v/>
      </c>
      <c r="O42" s="15" t="str">
        <f>IFERROR(VLOOKUP(B42,'[2]Outgoing Transmittals to PDO'!$A$6:$G$20000,7,0),"")</f>
        <v/>
      </c>
      <c r="P42" s="15" t="str">
        <f t="shared" si="32"/>
        <v/>
      </c>
      <c r="Q42" s="15" t="str">
        <f>IFERROR(VLOOKUP(B42,'[3]Incoming Transmittals from PDO'!$A$6:$G$20000,3,0),"")</f>
        <v/>
      </c>
      <c r="R42" s="15" t="str">
        <f>IFERROR(VLOOKUP(B42,'[3]Incoming Transmittals from PDO'!$A$6:$G$20000,2,0),"")</f>
        <v/>
      </c>
      <c r="S42" s="15" t="str">
        <f>IFERROR(VLOOKUP(B42,'[3]Incoming Transmittals from PDO'!$A$6:$G$20000,7,0),"")</f>
        <v/>
      </c>
      <c r="T42" s="15" t="str">
        <f>IFERROR(VLOOKUP(B42,'[1]Outgoing to JEL'!$A$6:$G$5000,3,0),"")</f>
        <v/>
      </c>
      <c r="U42" s="15" t="str">
        <f>IFERROR(VLOOKUP(B42,'[1]Outgoing to JEL'!$A$6:$G$5000,2,0),"")</f>
        <v/>
      </c>
      <c r="V42" s="15" t="str">
        <f>IFERROR(VLOOKUP(B42,'[1]Outgoing to JEL'!$A$6:$G$5000,7,0),"")</f>
        <v/>
      </c>
      <c r="W42" s="3" t="str">
        <f t="shared" si="33"/>
        <v/>
      </c>
    </row>
    <row r="43" spans="1:23" s="16" customFormat="1" x14ac:dyDescent="0.2">
      <c r="A43" s="97">
        <f t="shared" ref="A43" si="36">A40+1</f>
        <v>13</v>
      </c>
      <c r="B43" s="39" t="str">
        <f>CONCATENATE(C43,"-",E43)</f>
        <v>KHF-00-104265-RA-6038-01305-0000-1</v>
      </c>
      <c r="C43" s="31" t="s">
        <v>330</v>
      </c>
      <c r="D43" s="32" t="s">
        <v>339</v>
      </c>
      <c r="E43" s="20">
        <v>1</v>
      </c>
      <c r="F43" s="20"/>
      <c r="G43" s="20"/>
      <c r="H43" s="20" t="str">
        <f t="shared" si="18"/>
        <v/>
      </c>
      <c r="I43" s="3">
        <f>J43</f>
        <v>43526</v>
      </c>
      <c r="J43" s="15">
        <f>IFERROR(VLOOKUP(B43,'[1]Incoming from JEL'!$A$6:$G$5002,3,0),"")</f>
        <v>43526</v>
      </c>
      <c r="K43" s="15" t="str">
        <f>IFERROR(VLOOKUP(B43,'[1]Incoming from JEL'!$A$6:$G$5002,2,0),"")</f>
        <v>AIP-YKP-JEL-T-0022R1</v>
      </c>
      <c r="L43" s="15" t="str">
        <f>IFERROR(VLOOKUP(B43,'[1]Incoming from JEL'!$A$6:$G$5002,7,0),"")</f>
        <v>IFR</v>
      </c>
      <c r="M43" s="15">
        <f>IFERROR(VLOOKUP(B43,'[2]Outgoing Transmittals to PDO'!$A$6:$G$20000,3,0),"")</f>
        <v>43528</v>
      </c>
      <c r="N43" s="15" t="str">
        <f>IFERROR(VLOOKUP(B43,'[2]Outgoing Transmittals to PDO'!$A$6:$G$20000,2,0),"")</f>
        <v>AIP-PDO-P1701009-T-1037</v>
      </c>
      <c r="O43" s="15" t="str">
        <f>IFERROR(VLOOKUP(B43,'[2]Outgoing Transmittals to PDO'!$A$6:$G$20000,7,0),"")</f>
        <v>IFR</v>
      </c>
      <c r="P43" s="15">
        <f t="shared" si="32"/>
        <v>43542</v>
      </c>
      <c r="Q43" s="15">
        <f>IFERROR(VLOOKUP(B43,'[3]Incoming Transmittals from PDO'!$A$6:$G$20000,3,0),"")</f>
        <v>43541</v>
      </c>
      <c r="R43" s="15" t="str">
        <f>IFERROR(VLOOKUP(B43,'[3]Incoming Transmittals from PDO'!$A$6:$G$20000,2,0),"")</f>
        <v>KHF_AIP_D_EXT_01106</v>
      </c>
      <c r="S43" s="15" t="str">
        <f>IFERROR(VLOOKUP(B43,'[3]Incoming Transmittals from PDO'!$A$6:$G$20000,7,0),"")</f>
        <v>Code B</v>
      </c>
      <c r="T43" s="15">
        <f>IFERROR(VLOOKUP(B43,'[1]Outgoing to JEL'!$A$6:$G$5000,3,0),"")</f>
        <v>43541</v>
      </c>
      <c r="U43" s="15" t="str">
        <f>IFERROR(VLOOKUP(B43,'[1]Outgoing to JEL'!$A$6:$G$5000,2,0),"")</f>
        <v>AIP-YKP-JEL-P1701009-T-0015</v>
      </c>
      <c r="V43" s="15" t="str">
        <f>IFERROR(VLOOKUP(B43,'[1]Outgoing to JEL'!$A$6:$G$5000,7,0),"")</f>
        <v>Code B</v>
      </c>
      <c r="W43" s="3" t="str">
        <f t="shared" si="33"/>
        <v>Comments from PDO</v>
      </c>
    </row>
    <row r="44" spans="1:23" s="16" customFormat="1" x14ac:dyDescent="0.2">
      <c r="A44" s="98"/>
      <c r="B44" s="39" t="str">
        <f t="shared" ref="B44:B48" si="37">CONCATENATE(C44,"-",E44)</f>
        <v>KHF-00-104265-RA-6038-01305-0000-2</v>
      </c>
      <c r="C44" s="31" t="s">
        <v>330</v>
      </c>
      <c r="D44" s="32" t="s">
        <v>339</v>
      </c>
      <c r="E44" s="20">
        <v>2</v>
      </c>
      <c r="F44" s="20"/>
      <c r="G44" s="20"/>
      <c r="H44" s="20" t="str">
        <f t="shared" si="18"/>
        <v/>
      </c>
      <c r="I44" s="3">
        <f t="shared" ref="I44:I48" si="38">IFERROR(IF(OR(V43="Code B",V43="Code D",V43="-",ISNUMBER(J44)),T43+14,""),"")</f>
        <v>43555</v>
      </c>
      <c r="J44" s="15">
        <f>IFERROR(VLOOKUP(B44,'[1]Incoming from JEL'!$A$6:$G$5002,3,0),"")</f>
        <v>43566</v>
      </c>
      <c r="K44" s="15" t="str">
        <f>IFERROR(VLOOKUP(B44,'[1]Incoming from JEL'!$A$6:$G$5002,2,0),"")</f>
        <v>AIP-YKP-JEL-T-0022R3</v>
      </c>
      <c r="L44" s="15" t="str">
        <f>IFERROR(VLOOKUP(B44,'[1]Incoming from JEL'!$A$6:$G$5002,7,0),"")</f>
        <v>IFA</v>
      </c>
      <c r="M44" s="15">
        <f>IFERROR(VLOOKUP(B44,'[2]Outgoing Transmittals to PDO'!$A$6:$G$20000,3,0),"")</f>
        <v>43580</v>
      </c>
      <c r="N44" s="15" t="str">
        <f>IFERROR(VLOOKUP(B44,'[2]Outgoing Transmittals to PDO'!$A$6:$G$20000,2,0),"")</f>
        <v>AIP-PDO-P1701009-T-1182</v>
      </c>
      <c r="O44" s="15" t="str">
        <f>IFERROR(VLOOKUP(B44,'[2]Outgoing Transmittals to PDO'!$A$6:$G$20000,7,0),"")</f>
        <v>IFA</v>
      </c>
      <c r="P44" s="15">
        <f t="shared" si="32"/>
        <v>43594</v>
      </c>
      <c r="Q44" s="15">
        <f>IFERROR(VLOOKUP(B44,'[3]Incoming Transmittals from PDO'!$A$6:$G$20000,3,0),"")</f>
        <v>43594</v>
      </c>
      <c r="R44" s="15" t="str">
        <f>IFERROR(VLOOKUP(B44,'[3]Incoming Transmittals from PDO'!$A$6:$G$20000,2,0),"")</f>
        <v>KHF_AIP_D_EXT_01227</v>
      </c>
      <c r="S44" s="15" t="str">
        <f>IFERROR(VLOOKUP(B44,'[3]Incoming Transmittals from PDO'!$A$6:$G$20000,7,0),"")</f>
        <v>Code A</v>
      </c>
      <c r="T44" s="15">
        <f>IFERROR(VLOOKUP(B44,'[1]Outgoing to JEL'!$A$6:$G$5000,3,0),"")</f>
        <v>43601</v>
      </c>
      <c r="U44" s="15" t="str">
        <f>IFERROR(VLOOKUP(B44,'[1]Outgoing to JEL'!$A$6:$G$5000,2,0),"")</f>
        <v>AIP-YKP-JEL-P1701009-T-0026</v>
      </c>
      <c r="V44" s="15" t="str">
        <f>IFERROR(VLOOKUP(B44,'[1]Outgoing to JEL'!$A$6:$G$5000,7,0),"")</f>
        <v>Code A</v>
      </c>
      <c r="W44" s="3" t="str">
        <f t="shared" si="33"/>
        <v>Approved by PDO</v>
      </c>
    </row>
    <row r="45" spans="1:23" s="16" customFormat="1" x14ac:dyDescent="0.2">
      <c r="A45" s="98"/>
      <c r="B45" s="81" t="str">
        <f t="shared" ref="B45:B47" si="39">CONCATENATE(C45,"-",E45)</f>
        <v>KHF-00-104265-RA-6038-01305-0000-3</v>
      </c>
      <c r="C45" s="31" t="s">
        <v>330</v>
      </c>
      <c r="D45" s="32" t="s">
        <v>339</v>
      </c>
      <c r="E45" s="20">
        <v>3</v>
      </c>
      <c r="F45" s="20"/>
      <c r="G45" s="20"/>
      <c r="H45" s="20" t="str">
        <f t="shared" si="18"/>
        <v/>
      </c>
      <c r="I45" s="3">
        <f t="shared" si="38"/>
        <v>43615</v>
      </c>
      <c r="J45" s="15">
        <f>IFERROR(VLOOKUP(B45,'[1]Incoming from JEL'!$A$6:$G$5002,3,0),"")</f>
        <v>43664</v>
      </c>
      <c r="K45" s="15" t="str">
        <f>IFERROR(VLOOKUP(B45,'[1]Incoming from JEL'!$A$6:$G$5002,2,0),"")</f>
        <v>AIP-YKP-JEL -T-0022R8</v>
      </c>
      <c r="L45" s="15" t="str">
        <f>IFERROR(VLOOKUP(B45,'[1]Incoming from JEL'!$A$6:$G$5002,7,0),"")</f>
        <v>IFA</v>
      </c>
      <c r="M45" s="15">
        <f>IFERROR(VLOOKUP(B45,'[2]Outgoing Transmittals to PDO'!$A$6:$G$20000,3,0),"")</f>
        <v>43670</v>
      </c>
      <c r="N45" s="15" t="str">
        <f>IFERROR(VLOOKUP(B45,'[2]Outgoing Transmittals to PDO'!$A$6:$G$20000,2,0),"")</f>
        <v>AIP-PDO-P1701009-T-1313</v>
      </c>
      <c r="O45" s="15" t="str">
        <f>IFERROR(VLOOKUP(B45,'[2]Outgoing Transmittals to PDO'!$A$6:$G$20000,7,0),"")</f>
        <v>IFA</v>
      </c>
      <c r="P45" s="15">
        <f t="shared" ref="P45:P47" si="40">IF(ISNUMBER(M45),SUM(M45+14),"")</f>
        <v>43684</v>
      </c>
      <c r="Q45" s="15">
        <f>IFERROR(VLOOKUP(B45,'[3]Incoming Transmittals from PDO'!$A$6:$G$20000,3,0),"")</f>
        <v>43671</v>
      </c>
      <c r="R45" s="15" t="str">
        <f>IFERROR(VLOOKUP(B45,'[3]Incoming Transmittals from PDO'!$A$6:$G$20000,2,0),"")</f>
        <v>KHF_AIP_D_EXT_01352</v>
      </c>
      <c r="S45" s="15" t="str">
        <f>IFERROR(VLOOKUP(B45,'[3]Incoming Transmittals from PDO'!$A$6:$G$20000,7,0),"")</f>
        <v>Code B</v>
      </c>
      <c r="T45" s="15">
        <f>IFERROR(VLOOKUP(B45,'[1]Outgoing to JEL'!$A$6:$G$5000,3,0),"")</f>
        <v>43675</v>
      </c>
      <c r="U45" s="15" t="str">
        <f>IFERROR(VLOOKUP(B45,'[1]Outgoing to JEL'!$A$6:$G$5000,2,0),"")</f>
        <v>AIP-YKP-JEL-P1701009-T-0040</v>
      </c>
      <c r="V45" s="15" t="str">
        <f>IFERROR(VLOOKUP(B45,'[1]Outgoing to JEL'!$A$6:$G$5000,7,0),"")</f>
        <v>Code B</v>
      </c>
      <c r="W45" s="3" t="str">
        <f t="shared" ref="W45:W47" si="41">IF(S45="Code A","Approved by PDO",IF(S45="Code B","Comments from PDO",IF(S45="Code C","Review not Required",IF(S45="Code D","Rejected by PDO",IF(V45="Code A","Approved by AIP",IF(V45="Code B","Comments from AIP",IF(V45="Code C","Review not Required",IF(V45="Code D","Rejected by AIP",IF(AND(M45="-",Q45="-"),"Pending for AIP review",IF(O45="IFI","Issued for Information",IF(M45&lt;&gt;"","Pending for PDO Approval",IF(L45="IFI","Issued for AIP Information",IF(J45&lt;&gt;"","Pending for PDO submission",IF(I45&lt;&gt;"","Pending from JEL",""))))))))))))))</f>
        <v>Comments from PDO</v>
      </c>
    </row>
    <row r="46" spans="1:23" s="16" customFormat="1" x14ac:dyDescent="0.2">
      <c r="A46" s="98"/>
      <c r="B46" s="85" t="str">
        <f t="shared" si="39"/>
        <v>KHF-00-104265-RA-6038-01305-0000-4</v>
      </c>
      <c r="C46" s="31" t="s">
        <v>330</v>
      </c>
      <c r="D46" s="32" t="s">
        <v>339</v>
      </c>
      <c r="E46" s="20">
        <v>4</v>
      </c>
      <c r="F46" s="20"/>
      <c r="G46" s="20"/>
      <c r="H46" s="20" t="str">
        <f t="shared" si="18"/>
        <v/>
      </c>
      <c r="I46" s="3">
        <f t="shared" si="38"/>
        <v>43689</v>
      </c>
      <c r="J46" s="15">
        <f>IFERROR(VLOOKUP(B46,'[1]Incoming from JEL'!$A$6:$G$5002,3,0),"")</f>
        <v>43680</v>
      </c>
      <c r="K46" s="15" t="str">
        <f>IFERROR(VLOOKUP(B46,'[1]Incoming from JEL'!$A$6:$G$5002,2,0),"")</f>
        <v>AIP-YKP-JEL -T-0022R9</v>
      </c>
      <c r="L46" s="15" t="str">
        <f>IFERROR(VLOOKUP(B46,'[1]Incoming from JEL'!$A$6:$G$5002,7,0),"")</f>
        <v>IFA</v>
      </c>
      <c r="M46" s="15">
        <f>IFERROR(VLOOKUP(B46,'[2]Outgoing Transmittals to PDO'!$A$6:$G$20000,3,0),"")</f>
        <v>43681</v>
      </c>
      <c r="N46" s="15" t="str">
        <f>IFERROR(VLOOKUP(B46,'[2]Outgoing Transmittals to PDO'!$A$6:$G$20000,2,0),"")</f>
        <v>AIP-PDO-P1701009-T-1340</v>
      </c>
      <c r="O46" s="15" t="str">
        <f>IFERROR(VLOOKUP(B46,'[2]Outgoing Transmittals to PDO'!$A$6:$G$20000,7,0),"")</f>
        <v>IFA</v>
      </c>
      <c r="P46" s="15">
        <f t="shared" si="40"/>
        <v>43695</v>
      </c>
      <c r="Q46" s="15">
        <f>IFERROR(VLOOKUP(B46,'[3]Incoming Transmittals from PDO'!$A$6:$G$20000,3,0),"")</f>
        <v>43704</v>
      </c>
      <c r="R46" s="15" t="str">
        <f>IFERROR(VLOOKUP(B46,'[3]Incoming Transmittals from PDO'!$A$6:$G$20000,2,0),"")</f>
        <v>KHF_AIP_D_EXT_01393</v>
      </c>
      <c r="S46" s="15" t="str">
        <f>IFERROR(VLOOKUP(B46,'[3]Incoming Transmittals from PDO'!$A$6:$G$20000,7,0),"")</f>
        <v>Code B</v>
      </c>
      <c r="T46" s="15">
        <f>IFERROR(VLOOKUP(B46,'[1]Outgoing to JEL'!$A$6:$G$5000,3,0),"")</f>
        <v>43705</v>
      </c>
      <c r="U46" s="15" t="str">
        <f>IFERROR(VLOOKUP(B46,'[1]Outgoing to JEL'!$A$6:$G$5000,2,0),"")</f>
        <v>AIP-YKP-JEL-P1701009-T-0042</v>
      </c>
      <c r="V46" s="15" t="str">
        <f>IFERROR(VLOOKUP(B46,'[1]Outgoing to JEL'!$A$6:$G$5000,7,0),"")</f>
        <v>Code B</v>
      </c>
      <c r="W46" s="3" t="str">
        <f t="shared" si="41"/>
        <v>Comments from PDO</v>
      </c>
    </row>
    <row r="47" spans="1:23" s="16" customFormat="1" x14ac:dyDescent="0.2">
      <c r="A47" s="98"/>
      <c r="B47" s="88" t="str">
        <f t="shared" si="39"/>
        <v>KHF-00-104265-RA-6038-01305-0000-5</v>
      </c>
      <c r="C47" s="31" t="s">
        <v>330</v>
      </c>
      <c r="D47" s="32" t="s">
        <v>339</v>
      </c>
      <c r="E47" s="20">
        <v>5</v>
      </c>
      <c r="F47" s="20"/>
      <c r="G47" s="20"/>
      <c r="H47" s="20" t="str">
        <f t="shared" si="18"/>
        <v>L</v>
      </c>
      <c r="I47" s="3">
        <f t="shared" si="38"/>
        <v>43719</v>
      </c>
      <c r="J47" s="15">
        <f>IFERROR(VLOOKUP(B47,'[1]Incoming from JEL'!$A$6:$G$5002,3,0),"")</f>
        <v>43719</v>
      </c>
      <c r="K47" s="15" t="str">
        <f>IFERROR(VLOOKUP(B47,'[1]Incoming from JEL'!$A$6:$G$5002,2,0),"")</f>
        <v>AIP-YKP-JEL -T-0078</v>
      </c>
      <c r="L47" s="15" t="str">
        <f>IFERROR(VLOOKUP(B47,'[1]Incoming from JEL'!$A$6:$G$5002,7,0),"")</f>
        <v>IFA</v>
      </c>
      <c r="M47" s="15">
        <f>IFERROR(VLOOKUP(B47,'[2]Outgoing Transmittals to PDO'!$A$6:$G$20000,3,0),"")</f>
        <v>43720</v>
      </c>
      <c r="N47" s="15" t="str">
        <f>IFERROR(VLOOKUP(B47,'[2]Outgoing Transmittals to PDO'!$A$6:$G$20000,2,0),"")</f>
        <v>AIP-PDO-P1701009-T-1398</v>
      </c>
      <c r="O47" s="15" t="str">
        <f>IFERROR(VLOOKUP(B47,'[2]Outgoing Transmittals to PDO'!$A$6:$G$20000,7,0),"")</f>
        <v>IFA</v>
      </c>
      <c r="P47" s="15">
        <f t="shared" si="40"/>
        <v>43734</v>
      </c>
      <c r="Q47" s="15">
        <f>IFERROR(VLOOKUP(B47,'[3]Incoming Transmittals from PDO'!$A$6:$G$20000,3,0),"")</f>
        <v>43726</v>
      </c>
      <c r="R47" s="15" t="str">
        <f>IFERROR(VLOOKUP(B47,'[3]Incoming Transmittals from PDO'!$A$6:$G$20000,2,0),"")</f>
        <v>KHF_AIP_D_EXT_01431</v>
      </c>
      <c r="S47" s="15" t="str">
        <f>IFERROR(VLOOKUP(B47,'[3]Incoming Transmittals from PDO'!$A$6:$G$20000,7,0),"")</f>
        <v>Code A</v>
      </c>
      <c r="T47" s="15">
        <f>IFERROR(VLOOKUP(B47,'[1]Outgoing to JEL'!$A$6:$G$5000,3,0),"")</f>
        <v>43731</v>
      </c>
      <c r="U47" s="15" t="str">
        <f>IFERROR(VLOOKUP(B47,'[1]Outgoing to JEL'!$A$6:$G$5000,2,0),"")</f>
        <v>AIP-YKP-JEL-P1701009-T-0045</v>
      </c>
      <c r="V47" s="15" t="str">
        <f>IFERROR(VLOOKUP(B47,'[1]Outgoing to JEL'!$A$6:$G$5000,7,0),"")</f>
        <v>Code A</v>
      </c>
      <c r="W47" s="3" t="str">
        <f t="shared" si="41"/>
        <v>Approved by PDO</v>
      </c>
    </row>
    <row r="48" spans="1:23" s="16" customFormat="1" x14ac:dyDescent="0.2">
      <c r="A48" s="99"/>
      <c r="B48" s="39" t="str">
        <f t="shared" si="37"/>
        <v>KHF-00-104265-RA-6038-01305-0000-6</v>
      </c>
      <c r="C48" s="31" t="s">
        <v>330</v>
      </c>
      <c r="D48" s="32" t="s">
        <v>339</v>
      </c>
      <c r="E48" s="20">
        <v>6</v>
      </c>
      <c r="F48" s="20"/>
      <c r="G48" s="20"/>
      <c r="H48" s="20" t="str">
        <f t="shared" si="18"/>
        <v/>
      </c>
      <c r="I48" s="3" t="str">
        <f t="shared" si="38"/>
        <v/>
      </c>
      <c r="J48" s="15" t="str">
        <f>IFERROR(VLOOKUP(B48,'[1]Incoming from JEL'!$A$6:$G$5002,3,0),"")</f>
        <v/>
      </c>
      <c r="K48" s="15" t="str">
        <f>IFERROR(VLOOKUP(B48,'[1]Incoming from JEL'!$A$6:$G$5002,2,0),"")</f>
        <v/>
      </c>
      <c r="L48" s="15" t="str">
        <f>IFERROR(VLOOKUP(B48,'[1]Incoming from JEL'!$A$6:$G$5002,7,0),"")</f>
        <v/>
      </c>
      <c r="M48" s="15" t="str">
        <f>IFERROR(VLOOKUP(B48,'[2]Outgoing Transmittals to PDO'!$A$6:$G$20000,3,0),"")</f>
        <v/>
      </c>
      <c r="N48" s="15" t="str">
        <f>IFERROR(VLOOKUP(B48,'[2]Outgoing Transmittals to PDO'!$A$6:$G$20000,2,0),"")</f>
        <v/>
      </c>
      <c r="O48" s="15" t="str">
        <f>IFERROR(VLOOKUP(B48,'[2]Outgoing Transmittals to PDO'!$A$6:$G$20000,7,0),"")</f>
        <v/>
      </c>
      <c r="P48" s="15" t="str">
        <f t="shared" si="32"/>
        <v/>
      </c>
      <c r="Q48" s="15" t="str">
        <f>IFERROR(VLOOKUP(B48,'[3]Incoming Transmittals from PDO'!$A$6:$G$20000,3,0),"")</f>
        <v/>
      </c>
      <c r="R48" s="15" t="str">
        <f>IFERROR(VLOOKUP(B48,'[3]Incoming Transmittals from PDO'!$A$6:$G$20000,2,0),"")</f>
        <v/>
      </c>
      <c r="S48" s="15" t="str">
        <f>IFERROR(VLOOKUP(B48,'[3]Incoming Transmittals from PDO'!$A$6:$G$20000,7,0),"")</f>
        <v/>
      </c>
      <c r="T48" s="15" t="str">
        <f>IFERROR(VLOOKUP(B48,'[1]Outgoing to JEL'!$A$6:$G$5000,3,0),"")</f>
        <v/>
      </c>
      <c r="U48" s="15" t="str">
        <f>IFERROR(VLOOKUP(B48,'[1]Outgoing to JEL'!$A$6:$G$5000,2,0),"")</f>
        <v/>
      </c>
      <c r="V48" s="15" t="str">
        <f>IFERROR(VLOOKUP(B48,'[1]Outgoing to JEL'!$A$6:$G$5000,7,0),"")</f>
        <v/>
      </c>
      <c r="W48" s="3" t="str">
        <f t="shared" si="33"/>
        <v/>
      </c>
    </row>
    <row r="49" spans="1:23" s="16" customFormat="1" x14ac:dyDescent="0.2">
      <c r="A49" s="97">
        <f t="shared" ref="A49" si="42">A43+1</f>
        <v>14</v>
      </c>
      <c r="B49" s="39" t="str">
        <f>CONCATENATE(C49,"-",E49)</f>
        <v>KHF-00-104265-RA-6038-01306-0000-1</v>
      </c>
      <c r="C49" s="31" t="s">
        <v>331</v>
      </c>
      <c r="D49" s="32" t="s">
        <v>340</v>
      </c>
      <c r="E49" s="20">
        <v>1</v>
      </c>
      <c r="F49" s="20"/>
      <c r="G49" s="20"/>
      <c r="H49" s="20" t="str">
        <f t="shared" si="18"/>
        <v/>
      </c>
      <c r="I49" s="3">
        <f>J49</f>
        <v>43517</v>
      </c>
      <c r="J49" s="15">
        <f>IFERROR(VLOOKUP(B49,'[1]Incoming from JEL'!$A$6:$G$5002,3,0),"")</f>
        <v>43517</v>
      </c>
      <c r="K49" s="15" t="str">
        <f>IFERROR(VLOOKUP(B49,'[1]Incoming from JEL'!$A$6:$G$5002,2,0),"")</f>
        <v>AIP-YKP-JEL-T-0022</v>
      </c>
      <c r="L49" s="15" t="str">
        <f>IFERROR(VLOOKUP(B49,'[1]Incoming from JEL'!$A$6:$G$5002,7,0),"")</f>
        <v>IFR</v>
      </c>
      <c r="M49" s="15">
        <f>IFERROR(VLOOKUP(B49,'[2]Outgoing Transmittals to PDO'!$A$6:$G$20000,3,0),"")</f>
        <v>43528</v>
      </c>
      <c r="N49" s="15" t="str">
        <f>IFERROR(VLOOKUP(B49,'[2]Outgoing Transmittals to PDO'!$A$6:$G$20000,2,0),"")</f>
        <v>AIP-PDO-P1701009-T-1037</v>
      </c>
      <c r="O49" s="15" t="str">
        <f>IFERROR(VLOOKUP(B49,'[2]Outgoing Transmittals to PDO'!$A$6:$G$20000,7,0),"")</f>
        <v>IFR</v>
      </c>
      <c r="P49" s="15">
        <f t="shared" si="32"/>
        <v>43542</v>
      </c>
      <c r="Q49" s="15">
        <f>IFERROR(VLOOKUP(B49,'[3]Incoming Transmittals from PDO'!$A$6:$G$20000,3,0),"")</f>
        <v>43541</v>
      </c>
      <c r="R49" s="15" t="str">
        <f>IFERROR(VLOOKUP(B49,'[3]Incoming Transmittals from PDO'!$A$6:$G$20000,2,0),"")</f>
        <v>KHF_AIP_D_EXT_01106</v>
      </c>
      <c r="S49" s="15" t="str">
        <f>IFERROR(VLOOKUP(B49,'[3]Incoming Transmittals from PDO'!$A$6:$G$20000,7,0),"")</f>
        <v>Code B</v>
      </c>
      <c r="T49" s="15">
        <f>IFERROR(VLOOKUP(B49,'[1]Outgoing to JEL'!$A$6:$G$5000,3,0),"")</f>
        <v>43541</v>
      </c>
      <c r="U49" s="15" t="str">
        <f>IFERROR(VLOOKUP(B49,'[1]Outgoing to JEL'!$A$6:$G$5000,2,0),"")</f>
        <v>AIP-YKP-JEL-P1701009-T-0015</v>
      </c>
      <c r="V49" s="15" t="str">
        <f>IFERROR(VLOOKUP(B49,'[1]Outgoing to JEL'!$A$6:$G$5000,7,0),"")</f>
        <v>Code B</v>
      </c>
      <c r="W49" s="3" t="str">
        <f t="shared" si="33"/>
        <v>Comments from PDO</v>
      </c>
    </row>
    <row r="50" spans="1:23" s="16" customFormat="1" x14ac:dyDescent="0.2">
      <c r="A50" s="98"/>
      <c r="B50" s="39" t="str">
        <f t="shared" ref="B50:B51" si="43">CONCATENATE(C50,"-",E50)</f>
        <v>KHF-00-104265-RA-6038-01306-0000-2</v>
      </c>
      <c r="C50" s="31" t="s">
        <v>331</v>
      </c>
      <c r="D50" s="32" t="s">
        <v>340</v>
      </c>
      <c r="E50" s="20">
        <v>2</v>
      </c>
      <c r="F50" s="20"/>
      <c r="G50" s="20"/>
      <c r="H50" s="20" t="str">
        <f t="shared" si="18"/>
        <v>L</v>
      </c>
      <c r="I50" s="3">
        <f t="shared" ref="I50:I51" si="44">IFERROR(IF(OR(V49="Code B",V49="Code D",V49="-",ISNUMBER(J50)),T49+14,""),"")</f>
        <v>43555</v>
      </c>
      <c r="J50" s="15">
        <f>IFERROR(VLOOKUP(B50,'[1]Incoming from JEL'!$A$6:$G$5002,3,0),"")</f>
        <v>43719</v>
      </c>
      <c r="K50" s="15" t="str">
        <f>IFERROR(VLOOKUP(B50,'[1]Incoming from JEL'!$A$6:$G$5002,2,0),"")</f>
        <v>AIP-YKP-JEL -T-0078</v>
      </c>
      <c r="L50" s="15" t="str">
        <f>IFERROR(VLOOKUP(B50,'[1]Incoming from JEL'!$A$6:$G$5002,7,0),"")</f>
        <v>IFA</v>
      </c>
      <c r="M50" s="15">
        <f>IFERROR(VLOOKUP(B50,'[2]Outgoing Transmittals to PDO'!$A$6:$G$20000,3,0),"")</f>
        <v>43720</v>
      </c>
      <c r="N50" s="15" t="str">
        <f>IFERROR(VLOOKUP(B50,'[2]Outgoing Transmittals to PDO'!$A$6:$G$20000,2,0),"")</f>
        <v>AIP-PDO-P1701009-T-1398</v>
      </c>
      <c r="O50" s="15" t="str">
        <f>IFERROR(VLOOKUP(B50,'[2]Outgoing Transmittals to PDO'!$A$6:$G$20000,7,0),"")</f>
        <v>IFA</v>
      </c>
      <c r="P50" s="15">
        <f t="shared" si="32"/>
        <v>43734</v>
      </c>
      <c r="Q50" s="15">
        <f>IFERROR(VLOOKUP(B50,'[3]Incoming Transmittals from PDO'!$A$6:$G$20000,3,0),"")</f>
        <v>43726</v>
      </c>
      <c r="R50" s="15" t="str">
        <f>IFERROR(VLOOKUP(B50,'[3]Incoming Transmittals from PDO'!$A$6:$G$20000,2,0),"")</f>
        <v>KHF_AIP_D_EXT_01432</v>
      </c>
      <c r="S50" s="15" t="str">
        <f>IFERROR(VLOOKUP(B50,'[3]Incoming Transmittals from PDO'!$A$6:$G$20000,7,0),"")</f>
        <v>Code A</v>
      </c>
      <c r="T50" s="15">
        <f>IFERROR(VLOOKUP(B50,'[1]Outgoing to JEL'!$A$6:$G$5000,3,0),"")</f>
        <v>43731</v>
      </c>
      <c r="U50" s="15" t="str">
        <f>IFERROR(VLOOKUP(B50,'[1]Outgoing to JEL'!$A$6:$G$5000,2,0),"")</f>
        <v>AIP-YKP-JEL-P1701009-T-0045</v>
      </c>
      <c r="V50" s="15" t="str">
        <f>IFERROR(VLOOKUP(B50,'[1]Outgoing to JEL'!$A$6:$G$5000,7,0),"")</f>
        <v>Code A</v>
      </c>
      <c r="W50" s="3" t="str">
        <f t="shared" si="33"/>
        <v>Approved by PDO</v>
      </c>
    </row>
    <row r="51" spans="1:23" s="16" customFormat="1" x14ac:dyDescent="0.2">
      <c r="A51" s="99"/>
      <c r="B51" s="39" t="str">
        <f t="shared" si="43"/>
        <v>KHF-00-104265-RA-6038-01306-0000-3</v>
      </c>
      <c r="C51" s="31" t="s">
        <v>331</v>
      </c>
      <c r="D51" s="32" t="s">
        <v>340</v>
      </c>
      <c r="E51" s="20">
        <v>3</v>
      </c>
      <c r="F51" s="20"/>
      <c r="G51" s="20"/>
      <c r="H51" s="20" t="str">
        <f t="shared" si="18"/>
        <v/>
      </c>
      <c r="I51" s="3" t="str">
        <f t="shared" si="44"/>
        <v/>
      </c>
      <c r="J51" s="15" t="str">
        <f>IFERROR(VLOOKUP(B51,'[1]Incoming from JEL'!$A$6:$G$5002,3,0),"")</f>
        <v/>
      </c>
      <c r="K51" s="15" t="str">
        <f>IFERROR(VLOOKUP(B51,'[1]Incoming from JEL'!$A$6:$G$5002,2,0),"")</f>
        <v/>
      </c>
      <c r="L51" s="15" t="str">
        <f>IFERROR(VLOOKUP(B51,'[1]Incoming from JEL'!$A$6:$G$5002,7,0),"")</f>
        <v/>
      </c>
      <c r="M51" s="15" t="str">
        <f>IFERROR(VLOOKUP(B51,'[2]Outgoing Transmittals to PDO'!$A$6:$G$20000,3,0),"")</f>
        <v/>
      </c>
      <c r="N51" s="15" t="str">
        <f>IFERROR(VLOOKUP(B51,'[2]Outgoing Transmittals to PDO'!$A$6:$G$20000,2,0),"")</f>
        <v/>
      </c>
      <c r="O51" s="15" t="str">
        <f>IFERROR(VLOOKUP(B51,'[2]Outgoing Transmittals to PDO'!$A$6:$G$20000,7,0),"")</f>
        <v/>
      </c>
      <c r="P51" s="15" t="str">
        <f t="shared" si="32"/>
        <v/>
      </c>
      <c r="Q51" s="15" t="str">
        <f>IFERROR(VLOOKUP(B51,'[3]Incoming Transmittals from PDO'!$A$6:$G$20000,3,0),"")</f>
        <v/>
      </c>
      <c r="R51" s="15" t="str">
        <f>IFERROR(VLOOKUP(B51,'[3]Incoming Transmittals from PDO'!$A$6:$G$20000,2,0),"")</f>
        <v/>
      </c>
      <c r="S51" s="15" t="str">
        <f>IFERROR(VLOOKUP(B51,'[3]Incoming Transmittals from PDO'!$A$6:$G$20000,7,0),"")</f>
        <v/>
      </c>
      <c r="T51" s="15" t="str">
        <f>IFERROR(VLOOKUP(B51,'[1]Outgoing to JEL'!$A$6:$G$5000,3,0),"")</f>
        <v/>
      </c>
      <c r="U51" s="15" t="str">
        <f>IFERROR(VLOOKUP(B51,'[1]Outgoing to JEL'!$A$6:$G$5000,2,0),"")</f>
        <v/>
      </c>
      <c r="V51" s="15" t="str">
        <f>IFERROR(VLOOKUP(B51,'[1]Outgoing to JEL'!$A$6:$G$5000,7,0),"")</f>
        <v/>
      </c>
      <c r="W51" s="3" t="str">
        <f t="shared" si="33"/>
        <v/>
      </c>
    </row>
    <row r="52" spans="1:23" s="16" customFormat="1" x14ac:dyDescent="0.2">
      <c r="A52" s="97">
        <f t="shared" ref="A52" si="45">A49+1</f>
        <v>15</v>
      </c>
      <c r="B52" s="39" t="str">
        <f>CONCATENATE(C52,"-",E52)</f>
        <v>KHF-00-104265-RA-6038-01307-0000-1</v>
      </c>
      <c r="C52" s="31" t="s">
        <v>332</v>
      </c>
      <c r="D52" s="32" t="s">
        <v>341</v>
      </c>
      <c r="E52" s="20">
        <v>1</v>
      </c>
      <c r="F52" s="20"/>
      <c r="G52" s="20"/>
      <c r="H52" s="20" t="str">
        <f t="shared" si="18"/>
        <v>L</v>
      </c>
      <c r="I52" s="3">
        <f>J52</f>
        <v>43517</v>
      </c>
      <c r="J52" s="15">
        <f>IFERROR(VLOOKUP(B52,'[1]Incoming from JEL'!$A$6:$G$5002,3,0),"")</f>
        <v>43517</v>
      </c>
      <c r="K52" s="15" t="str">
        <f>IFERROR(VLOOKUP(B52,'[1]Incoming from JEL'!$A$6:$G$5002,2,0),"")</f>
        <v>AIP-YKP-JEL-T-0022</v>
      </c>
      <c r="L52" s="15" t="str">
        <f>IFERROR(VLOOKUP(B52,'[1]Incoming from JEL'!$A$6:$G$5002,7,0),"")</f>
        <v>IFR</v>
      </c>
      <c r="M52" s="15">
        <f>IFERROR(VLOOKUP(B52,'[2]Outgoing Transmittals to PDO'!$A$6:$G$20000,3,0),"")</f>
        <v>43528</v>
      </c>
      <c r="N52" s="15" t="str">
        <f>IFERROR(VLOOKUP(B52,'[2]Outgoing Transmittals to PDO'!$A$6:$G$20000,2,0),"")</f>
        <v>AIP-PDO-P1701009-T-1037</v>
      </c>
      <c r="O52" s="15" t="str">
        <f>IFERROR(VLOOKUP(B52,'[2]Outgoing Transmittals to PDO'!$A$6:$G$20000,7,0),"")</f>
        <v>IFR</v>
      </c>
      <c r="P52" s="15">
        <f t="shared" si="32"/>
        <v>43542</v>
      </c>
      <c r="Q52" s="15">
        <f>IFERROR(VLOOKUP(B52,'[3]Incoming Transmittals from PDO'!$A$6:$G$20000,3,0),"")</f>
        <v>43550</v>
      </c>
      <c r="R52" s="15" t="str">
        <f>IFERROR(VLOOKUP(B52,'[3]Incoming Transmittals from PDO'!$A$6:$G$20000,2,0),"")</f>
        <v>KHF_AIP_D_EXT_01126</v>
      </c>
      <c r="S52" s="15" t="str">
        <f>IFERROR(VLOOKUP(B52,'[3]Incoming Transmittals from PDO'!$A$6:$G$20000,7,0),"")</f>
        <v>Code A</v>
      </c>
      <c r="T52" s="15">
        <f>IFERROR(VLOOKUP(B52,'[1]Outgoing to JEL'!$A$6:$G$5000,3,0),"")</f>
        <v>43550</v>
      </c>
      <c r="U52" s="15" t="str">
        <f>IFERROR(VLOOKUP(B52,'[1]Outgoing to JEL'!$A$6:$G$5000,2,0),"")</f>
        <v>AIP-YKP-JEL-P1701009-T-0018</v>
      </c>
      <c r="V52" s="15" t="str">
        <f>IFERROR(VLOOKUP(B52,'[1]Outgoing to JEL'!$A$6:$G$5000,7,0),"")</f>
        <v>Code A</v>
      </c>
      <c r="W52" s="3" t="str">
        <f t="shared" si="33"/>
        <v>Approved by PDO</v>
      </c>
    </row>
    <row r="53" spans="1:23" s="16" customFormat="1" x14ac:dyDescent="0.2">
      <c r="A53" s="98"/>
      <c r="B53" s="39" t="str">
        <f t="shared" ref="B53:B54" si="46">CONCATENATE(C53,"-",E53)</f>
        <v>KHF-00-104265-RA-6038-01307-0000-2</v>
      </c>
      <c r="C53" s="31" t="s">
        <v>332</v>
      </c>
      <c r="D53" s="32" t="s">
        <v>341</v>
      </c>
      <c r="E53" s="20">
        <v>2</v>
      </c>
      <c r="F53" s="20"/>
      <c r="G53" s="20"/>
      <c r="H53" s="20" t="str">
        <f t="shared" si="18"/>
        <v/>
      </c>
      <c r="I53" s="3" t="str">
        <f t="shared" ref="I53:I54" si="47">IFERROR(IF(OR(V52="Code B",V52="Code D",V52="-",ISNUMBER(J53)),T52+14,""),"")</f>
        <v/>
      </c>
      <c r="J53" s="15" t="str">
        <f>IFERROR(VLOOKUP(B53,'[1]Incoming from JEL'!$A$6:$G$5002,3,0),"")</f>
        <v/>
      </c>
      <c r="K53" s="15" t="str">
        <f>IFERROR(VLOOKUP(B53,'[1]Incoming from JEL'!$A$6:$G$5002,2,0),"")</f>
        <v/>
      </c>
      <c r="L53" s="15" t="str">
        <f>IFERROR(VLOOKUP(B53,'[1]Incoming from JEL'!$A$6:$G$5002,7,0),"")</f>
        <v/>
      </c>
      <c r="M53" s="15" t="str">
        <f>IFERROR(VLOOKUP(B53,'[2]Outgoing Transmittals to PDO'!$A$6:$G$20000,3,0),"")</f>
        <v/>
      </c>
      <c r="N53" s="15" t="str">
        <f>IFERROR(VLOOKUP(B53,'[2]Outgoing Transmittals to PDO'!$A$6:$G$20000,2,0),"")</f>
        <v/>
      </c>
      <c r="O53" s="15" t="str">
        <f>IFERROR(VLOOKUP(B53,'[2]Outgoing Transmittals to PDO'!$A$6:$G$20000,7,0),"")</f>
        <v/>
      </c>
      <c r="P53" s="15" t="str">
        <f t="shared" si="32"/>
        <v/>
      </c>
      <c r="Q53" s="15" t="str">
        <f>IFERROR(VLOOKUP(B53,'[3]Incoming Transmittals from PDO'!$A$6:$G$20000,3,0),"")</f>
        <v/>
      </c>
      <c r="R53" s="15" t="str">
        <f>IFERROR(VLOOKUP(B53,'[3]Incoming Transmittals from PDO'!$A$6:$G$20000,2,0),"")</f>
        <v/>
      </c>
      <c r="S53" s="15" t="str">
        <f>IFERROR(VLOOKUP(B53,'[3]Incoming Transmittals from PDO'!$A$6:$G$20000,7,0),"")</f>
        <v/>
      </c>
      <c r="T53" s="15" t="str">
        <f>IFERROR(VLOOKUP(B53,'[1]Outgoing to JEL'!$A$6:$G$5000,3,0),"")</f>
        <v/>
      </c>
      <c r="U53" s="15" t="str">
        <f>IFERROR(VLOOKUP(B53,'[1]Outgoing to JEL'!$A$6:$G$5000,2,0),"")</f>
        <v/>
      </c>
      <c r="V53" s="15" t="str">
        <f>IFERROR(VLOOKUP(B53,'[1]Outgoing to JEL'!$A$6:$G$5000,7,0),"")</f>
        <v/>
      </c>
      <c r="W53" s="3" t="str">
        <f t="shared" si="33"/>
        <v/>
      </c>
    </row>
    <row r="54" spans="1:23" s="16" customFormat="1" x14ac:dyDescent="0.2">
      <c r="A54" s="99"/>
      <c r="B54" s="39" t="str">
        <f t="shared" si="46"/>
        <v>KHF-00-104265-RA-6038-01307-0000-3</v>
      </c>
      <c r="C54" s="31" t="s">
        <v>332</v>
      </c>
      <c r="D54" s="32" t="s">
        <v>341</v>
      </c>
      <c r="E54" s="20">
        <v>3</v>
      </c>
      <c r="F54" s="20"/>
      <c r="G54" s="20"/>
      <c r="H54" s="20" t="str">
        <f t="shared" si="18"/>
        <v/>
      </c>
      <c r="I54" s="3" t="str">
        <f t="shared" si="47"/>
        <v/>
      </c>
      <c r="J54" s="15" t="str">
        <f>IFERROR(VLOOKUP(B54,'[1]Incoming from JEL'!$A$6:$G$5002,3,0),"")</f>
        <v/>
      </c>
      <c r="K54" s="15" t="str">
        <f>IFERROR(VLOOKUP(B54,'[1]Incoming from JEL'!$A$6:$G$5002,2,0),"")</f>
        <v/>
      </c>
      <c r="L54" s="15" t="str">
        <f>IFERROR(VLOOKUP(B54,'[1]Incoming from JEL'!$A$6:$G$5002,7,0),"")</f>
        <v/>
      </c>
      <c r="M54" s="15" t="str">
        <f>IFERROR(VLOOKUP(B54,'[2]Outgoing Transmittals to PDO'!$A$6:$G$20000,3,0),"")</f>
        <v/>
      </c>
      <c r="N54" s="15" t="str">
        <f>IFERROR(VLOOKUP(B54,'[2]Outgoing Transmittals to PDO'!$A$6:$G$20000,2,0),"")</f>
        <v/>
      </c>
      <c r="O54" s="15" t="str">
        <f>IFERROR(VLOOKUP(B54,'[2]Outgoing Transmittals to PDO'!$A$6:$G$20000,7,0),"")</f>
        <v/>
      </c>
      <c r="P54" s="15" t="str">
        <f t="shared" si="32"/>
        <v/>
      </c>
      <c r="Q54" s="15" t="str">
        <f>IFERROR(VLOOKUP(B54,'[3]Incoming Transmittals from PDO'!$A$6:$G$20000,3,0),"")</f>
        <v/>
      </c>
      <c r="R54" s="15" t="str">
        <f>IFERROR(VLOOKUP(B54,'[3]Incoming Transmittals from PDO'!$A$6:$G$20000,2,0),"")</f>
        <v/>
      </c>
      <c r="S54" s="15" t="str">
        <f>IFERROR(VLOOKUP(B54,'[3]Incoming Transmittals from PDO'!$A$6:$G$20000,7,0),"")</f>
        <v/>
      </c>
      <c r="T54" s="15" t="str">
        <f>IFERROR(VLOOKUP(B54,'[1]Outgoing to JEL'!$A$6:$G$5000,3,0),"")</f>
        <v/>
      </c>
      <c r="U54" s="15" t="str">
        <f>IFERROR(VLOOKUP(B54,'[1]Outgoing to JEL'!$A$6:$G$5000,2,0),"")</f>
        <v/>
      </c>
      <c r="V54" s="15" t="str">
        <f>IFERROR(VLOOKUP(B54,'[1]Outgoing to JEL'!$A$6:$G$5000,7,0),"")</f>
        <v/>
      </c>
      <c r="W54" s="3" t="str">
        <f t="shared" si="33"/>
        <v/>
      </c>
    </row>
    <row r="55" spans="1:23" s="16" customFormat="1" x14ac:dyDescent="0.2">
      <c r="A55" s="97">
        <f t="shared" ref="A55" si="48">A52+1</f>
        <v>16</v>
      </c>
      <c r="B55" s="39" t="str">
        <f>CONCATENATE(C55,"-",E55)</f>
        <v>KHF-00-104265-RA-6038-01308-0000-1</v>
      </c>
      <c r="C55" s="31" t="s">
        <v>333</v>
      </c>
      <c r="D55" s="32" t="s">
        <v>342</v>
      </c>
      <c r="E55" s="20">
        <v>1</v>
      </c>
      <c r="F55" s="20"/>
      <c r="G55" s="20"/>
      <c r="H55" s="20" t="str">
        <f t="shared" si="18"/>
        <v>L</v>
      </c>
      <c r="I55" s="3">
        <f>J55</f>
        <v>43517</v>
      </c>
      <c r="J55" s="15">
        <f>IFERROR(VLOOKUP(B55,'[1]Incoming from JEL'!$A$6:$G$5002,3,0),"")</f>
        <v>43517</v>
      </c>
      <c r="K55" s="15" t="str">
        <f>IFERROR(VLOOKUP(B55,'[1]Incoming from JEL'!$A$6:$G$5002,2,0),"")</f>
        <v>AIP-YKP-JEL-T-0022</v>
      </c>
      <c r="L55" s="15" t="str">
        <f>IFERROR(VLOOKUP(B55,'[1]Incoming from JEL'!$A$6:$G$5002,7,0),"")</f>
        <v>IFR</v>
      </c>
      <c r="M55" s="15">
        <f>IFERROR(VLOOKUP(B55,'[2]Outgoing Transmittals to PDO'!$A$6:$G$20000,3,0),"")</f>
        <v>43528</v>
      </c>
      <c r="N55" s="15" t="str">
        <f>IFERROR(VLOOKUP(B55,'[2]Outgoing Transmittals to PDO'!$A$6:$G$20000,2,0),"")</f>
        <v>AIP-PDO-P1701009-T-1037</v>
      </c>
      <c r="O55" s="15" t="str">
        <f>IFERROR(VLOOKUP(B55,'[2]Outgoing Transmittals to PDO'!$A$6:$G$20000,7,0),"")</f>
        <v>IFR</v>
      </c>
      <c r="P55" s="15">
        <f t="shared" ref="P55:P57" si="49">IF(ISNUMBER(M55),SUM(M55+14),"")</f>
        <v>43542</v>
      </c>
      <c r="Q55" s="15">
        <f>IFERROR(VLOOKUP(B55,'[3]Incoming Transmittals from PDO'!$A$6:$G$20000,3,0),"")</f>
        <v>43550</v>
      </c>
      <c r="R55" s="15" t="str">
        <f>IFERROR(VLOOKUP(B55,'[3]Incoming Transmittals from PDO'!$A$6:$G$20000,2,0),"")</f>
        <v>KHF_AIP_D_EXT_01126</v>
      </c>
      <c r="S55" s="15" t="str">
        <f>IFERROR(VLOOKUP(B55,'[3]Incoming Transmittals from PDO'!$A$6:$G$20000,7,0),"")</f>
        <v>Code A</v>
      </c>
      <c r="T55" s="15">
        <f>IFERROR(VLOOKUP(B55,'[1]Outgoing to JEL'!$A$6:$G$5000,3,0),"")</f>
        <v>43550</v>
      </c>
      <c r="U55" s="15" t="str">
        <f>IFERROR(VLOOKUP(B55,'[1]Outgoing to JEL'!$A$6:$G$5000,2,0),"")</f>
        <v>AIP-YKP-JEL-P1701009-T-0018</v>
      </c>
      <c r="V55" s="15" t="str">
        <f>IFERROR(VLOOKUP(B55,'[1]Outgoing to JEL'!$A$6:$G$5000,7,0),"")</f>
        <v>Code A</v>
      </c>
      <c r="W55" s="3" t="str">
        <f t="shared" ref="W55:W57" si="50">IF(S55="Code A","Approved by PDO",IF(S55="Code B","Comments from PDO",IF(S55="Code C","Review not Required",IF(S55="Code D","Rejected by PDO",IF(V55="Code A","Approved by AIP",IF(V55="Code B","Comments from AIP",IF(V55="Code C","Review not Required",IF(V55="Code D","Rejected by AIP",IF(AND(M55="-",Q55="-"),"Pending for AIP review",IF(O55="IFI","Issued for Information",IF(M55&lt;&gt;"","Pending for PDO Approval",IF(L55="IFI","Issued for AIP Information",IF(J55&lt;&gt;"","Pending for PDO submission",IF(I55&lt;&gt;"","Pending from JEL",""))))))))))))))</f>
        <v>Approved by PDO</v>
      </c>
    </row>
    <row r="56" spans="1:23" s="16" customFormat="1" x14ac:dyDescent="0.2">
      <c r="A56" s="98"/>
      <c r="B56" s="39" t="str">
        <f t="shared" ref="B56:B57" si="51">CONCATENATE(C56,"-",E56)</f>
        <v>KHF-00-104265-RA-6038-01308-0000-2</v>
      </c>
      <c r="C56" s="31" t="s">
        <v>333</v>
      </c>
      <c r="D56" s="32" t="s">
        <v>342</v>
      </c>
      <c r="E56" s="20">
        <v>2</v>
      </c>
      <c r="F56" s="20"/>
      <c r="G56" s="20"/>
      <c r="H56" s="20" t="str">
        <f t="shared" si="18"/>
        <v/>
      </c>
      <c r="I56" s="3" t="str">
        <f t="shared" ref="I56:I57" si="52">IFERROR(IF(OR(V55="Code B",V55="Code D",V55="-",ISNUMBER(J56)),T55+14,""),"")</f>
        <v/>
      </c>
      <c r="J56" s="15" t="str">
        <f>IFERROR(VLOOKUP(B56,'[1]Incoming from JEL'!$A$6:$G$5002,3,0),"")</f>
        <v/>
      </c>
      <c r="K56" s="15" t="str">
        <f>IFERROR(VLOOKUP(B56,'[1]Incoming from JEL'!$A$6:$G$5002,2,0),"")</f>
        <v/>
      </c>
      <c r="L56" s="15" t="str">
        <f>IFERROR(VLOOKUP(B56,'[1]Incoming from JEL'!$A$6:$G$5002,7,0),"")</f>
        <v/>
      </c>
      <c r="M56" s="15" t="str">
        <f>IFERROR(VLOOKUP(B56,'[2]Outgoing Transmittals to PDO'!$A$6:$G$20000,3,0),"")</f>
        <v/>
      </c>
      <c r="N56" s="15" t="str">
        <f>IFERROR(VLOOKUP(B56,'[2]Outgoing Transmittals to PDO'!$A$6:$G$20000,2,0),"")</f>
        <v/>
      </c>
      <c r="O56" s="15" t="str">
        <f>IFERROR(VLOOKUP(B56,'[2]Outgoing Transmittals to PDO'!$A$6:$G$20000,7,0),"")</f>
        <v/>
      </c>
      <c r="P56" s="15" t="str">
        <f t="shared" si="49"/>
        <v/>
      </c>
      <c r="Q56" s="15" t="str">
        <f>IFERROR(VLOOKUP(B56,'[3]Incoming Transmittals from PDO'!$A$6:$G$20000,3,0),"")</f>
        <v/>
      </c>
      <c r="R56" s="15" t="str">
        <f>IFERROR(VLOOKUP(B56,'[3]Incoming Transmittals from PDO'!$A$6:$G$20000,2,0),"")</f>
        <v/>
      </c>
      <c r="S56" s="15" t="str">
        <f>IFERROR(VLOOKUP(B56,'[3]Incoming Transmittals from PDO'!$A$6:$G$20000,7,0),"")</f>
        <v/>
      </c>
      <c r="T56" s="15" t="str">
        <f>IFERROR(VLOOKUP(B56,'[1]Outgoing to JEL'!$A$6:$G$5000,3,0),"")</f>
        <v/>
      </c>
      <c r="U56" s="15" t="str">
        <f>IFERROR(VLOOKUP(B56,'[1]Outgoing to JEL'!$A$6:$G$5000,2,0),"")</f>
        <v/>
      </c>
      <c r="V56" s="15" t="str">
        <f>IFERROR(VLOOKUP(B56,'[1]Outgoing to JEL'!$A$6:$G$5000,7,0),"")</f>
        <v/>
      </c>
      <c r="W56" s="3" t="str">
        <f t="shared" si="50"/>
        <v/>
      </c>
    </row>
    <row r="57" spans="1:23" s="16" customFormat="1" x14ac:dyDescent="0.2">
      <c r="A57" s="99"/>
      <c r="B57" s="39" t="str">
        <f t="shared" si="51"/>
        <v>KHF-00-104265-RA-6038-01308-0000-3</v>
      </c>
      <c r="C57" s="31" t="s">
        <v>333</v>
      </c>
      <c r="D57" s="32" t="s">
        <v>342</v>
      </c>
      <c r="E57" s="20">
        <v>3</v>
      </c>
      <c r="F57" s="20"/>
      <c r="G57" s="20"/>
      <c r="H57" s="20" t="str">
        <f t="shared" si="18"/>
        <v/>
      </c>
      <c r="I57" s="3" t="str">
        <f t="shared" si="52"/>
        <v/>
      </c>
      <c r="J57" s="15" t="str">
        <f>IFERROR(VLOOKUP(B57,'[1]Incoming from JEL'!$A$6:$G$5002,3,0),"")</f>
        <v/>
      </c>
      <c r="K57" s="15" t="str">
        <f>IFERROR(VLOOKUP(B57,'[1]Incoming from JEL'!$A$6:$G$5002,2,0),"")</f>
        <v/>
      </c>
      <c r="L57" s="15" t="str">
        <f>IFERROR(VLOOKUP(B57,'[1]Incoming from JEL'!$A$6:$G$5002,7,0),"")</f>
        <v/>
      </c>
      <c r="M57" s="15" t="str">
        <f>IFERROR(VLOOKUP(B57,'[2]Outgoing Transmittals to PDO'!$A$6:$G$20000,3,0),"")</f>
        <v/>
      </c>
      <c r="N57" s="15" t="str">
        <f>IFERROR(VLOOKUP(B57,'[2]Outgoing Transmittals to PDO'!$A$6:$G$20000,2,0),"")</f>
        <v/>
      </c>
      <c r="O57" s="15" t="str">
        <f>IFERROR(VLOOKUP(B57,'[2]Outgoing Transmittals to PDO'!$A$6:$G$20000,7,0),"")</f>
        <v/>
      </c>
      <c r="P57" s="15" t="str">
        <f t="shared" si="49"/>
        <v/>
      </c>
      <c r="Q57" s="15" t="str">
        <f>IFERROR(VLOOKUP(B57,'[3]Incoming Transmittals from PDO'!$A$6:$G$20000,3,0),"")</f>
        <v/>
      </c>
      <c r="R57" s="15" t="str">
        <f>IFERROR(VLOOKUP(B57,'[3]Incoming Transmittals from PDO'!$A$6:$G$20000,2,0),"")</f>
        <v/>
      </c>
      <c r="S57" s="15" t="str">
        <f>IFERROR(VLOOKUP(B57,'[3]Incoming Transmittals from PDO'!$A$6:$G$20000,7,0),"")</f>
        <v/>
      </c>
      <c r="T57" s="15" t="str">
        <f>IFERROR(VLOOKUP(B57,'[1]Outgoing to JEL'!$A$6:$G$5000,3,0),"")</f>
        <v/>
      </c>
      <c r="U57" s="15" t="str">
        <f>IFERROR(VLOOKUP(B57,'[1]Outgoing to JEL'!$A$6:$G$5000,2,0),"")</f>
        <v/>
      </c>
      <c r="V57" s="15" t="str">
        <f>IFERROR(VLOOKUP(B57,'[1]Outgoing to JEL'!$A$6:$G$5000,7,0),"")</f>
        <v/>
      </c>
      <c r="W57" s="3" t="str">
        <f t="shared" si="50"/>
        <v/>
      </c>
    </row>
    <row r="58" spans="1:23" s="16" customFormat="1" x14ac:dyDescent="0.2">
      <c r="A58" s="97">
        <f t="shared" ref="A58" si="53">A55+1</f>
        <v>17</v>
      </c>
      <c r="B58" s="39" t="str">
        <f>CONCATENATE(C58,"-",E58)</f>
        <v>KHF-00-104265-RA-6038-01309-0000-1</v>
      </c>
      <c r="C58" s="31" t="s">
        <v>334</v>
      </c>
      <c r="D58" s="32" t="s">
        <v>343</v>
      </c>
      <c r="E58" s="20">
        <v>1</v>
      </c>
      <c r="F58" s="20"/>
      <c r="G58" s="20"/>
      <c r="H58" s="20" t="str">
        <f t="shared" si="18"/>
        <v>L</v>
      </c>
      <c r="I58" s="3">
        <f>J58</f>
        <v>43517</v>
      </c>
      <c r="J58" s="15">
        <f>IFERROR(VLOOKUP(B58,'[1]Incoming from JEL'!$A$6:$G$5002,3,0),"")</f>
        <v>43517</v>
      </c>
      <c r="K58" s="15" t="str">
        <f>IFERROR(VLOOKUP(B58,'[1]Incoming from JEL'!$A$6:$G$5002,2,0),"")</f>
        <v>AIP-YKP-JEL-T-0022</v>
      </c>
      <c r="L58" s="15" t="str">
        <f>IFERROR(VLOOKUP(B58,'[1]Incoming from JEL'!$A$6:$G$5002,7,0),"")</f>
        <v>IFR</v>
      </c>
      <c r="M58" s="15">
        <f>IFERROR(VLOOKUP(B58,'[2]Outgoing Transmittals to PDO'!$A$6:$G$20000,3,0),"")</f>
        <v>43528</v>
      </c>
      <c r="N58" s="15" t="str">
        <f>IFERROR(VLOOKUP(B58,'[2]Outgoing Transmittals to PDO'!$A$6:$G$20000,2,0),"")</f>
        <v>AIP-PDO-P1701009-T-1037</v>
      </c>
      <c r="O58" s="15" t="str">
        <f>IFERROR(VLOOKUP(B58,'[2]Outgoing Transmittals to PDO'!$A$6:$G$20000,7,0),"")</f>
        <v>IFR</v>
      </c>
      <c r="P58" s="15">
        <f t="shared" ref="P58:P60" si="54">IF(ISNUMBER(M58),SUM(M58+14),"")</f>
        <v>43542</v>
      </c>
      <c r="Q58" s="15">
        <f>IFERROR(VLOOKUP(B58,'[3]Incoming Transmittals from PDO'!$A$6:$G$20000,3,0),"")</f>
        <v>43550</v>
      </c>
      <c r="R58" s="15" t="str">
        <f>IFERROR(VLOOKUP(B58,'[3]Incoming Transmittals from PDO'!$A$6:$G$20000,2,0),"")</f>
        <v>KHF_AIP_D_EXT_01127</v>
      </c>
      <c r="S58" s="15" t="str">
        <f>IFERROR(VLOOKUP(B58,'[3]Incoming Transmittals from PDO'!$A$6:$G$20000,7,0),"")</f>
        <v>Code A</v>
      </c>
      <c r="T58" s="15">
        <f>IFERROR(VLOOKUP(B58,'[1]Outgoing to JEL'!$A$6:$G$5000,3,0),"")</f>
        <v>43550</v>
      </c>
      <c r="U58" s="15" t="str">
        <f>IFERROR(VLOOKUP(B58,'[1]Outgoing to JEL'!$A$6:$G$5000,2,0),"")</f>
        <v>AIP-YKP-JEL-P1701009-T-0018</v>
      </c>
      <c r="V58" s="15" t="str">
        <f>IFERROR(VLOOKUP(B58,'[1]Outgoing to JEL'!$A$6:$G$5000,7,0),"")</f>
        <v>Code A</v>
      </c>
      <c r="W58" s="3" t="str">
        <f t="shared" ref="W58:W60" si="55">IF(S58="Code A","Approved by PDO",IF(S58="Code B","Comments from PDO",IF(S58="Code C","Review not Required",IF(S58="Code D","Rejected by PDO",IF(V58="Code A","Approved by AIP",IF(V58="Code B","Comments from AIP",IF(V58="Code C","Review not Required",IF(V58="Code D","Rejected by AIP",IF(AND(M58="-",Q58="-"),"Pending for AIP review",IF(O58="IFI","Issued for Information",IF(M58&lt;&gt;"","Pending for PDO Approval",IF(L58="IFI","Issued for AIP Information",IF(J58&lt;&gt;"","Pending for PDO submission",IF(I58&lt;&gt;"","Pending from JEL",""))))))))))))))</f>
        <v>Approved by PDO</v>
      </c>
    </row>
    <row r="59" spans="1:23" s="16" customFormat="1" x14ac:dyDescent="0.2">
      <c r="A59" s="98"/>
      <c r="B59" s="39" t="str">
        <f t="shared" ref="B59:B60" si="56">CONCATENATE(C59,"-",E59)</f>
        <v>KHF-00-104265-RA-6038-01309-0000-2</v>
      </c>
      <c r="C59" s="31" t="s">
        <v>334</v>
      </c>
      <c r="D59" s="32" t="s">
        <v>343</v>
      </c>
      <c r="E59" s="20">
        <v>2</v>
      </c>
      <c r="F59" s="20"/>
      <c r="G59" s="20"/>
      <c r="H59" s="20" t="str">
        <f t="shared" si="18"/>
        <v/>
      </c>
      <c r="I59" s="3" t="str">
        <f t="shared" ref="I59:I60" si="57">IFERROR(IF(OR(V58="Code B",V58="Code D",V58="-",ISNUMBER(J59)),T58+14,""),"")</f>
        <v/>
      </c>
      <c r="J59" s="15" t="str">
        <f>IFERROR(VLOOKUP(B59,'[1]Incoming from JEL'!$A$6:$G$5002,3,0),"")</f>
        <v/>
      </c>
      <c r="K59" s="15" t="str">
        <f>IFERROR(VLOOKUP(B59,'[1]Incoming from JEL'!$A$6:$G$5002,2,0),"")</f>
        <v/>
      </c>
      <c r="L59" s="15" t="str">
        <f>IFERROR(VLOOKUP(B59,'[1]Incoming from JEL'!$A$6:$G$5002,7,0),"")</f>
        <v/>
      </c>
      <c r="M59" s="15" t="str">
        <f>IFERROR(VLOOKUP(B59,'[2]Outgoing Transmittals to PDO'!$A$6:$G$20000,3,0),"")</f>
        <v/>
      </c>
      <c r="N59" s="15" t="str">
        <f>IFERROR(VLOOKUP(B59,'[2]Outgoing Transmittals to PDO'!$A$6:$G$20000,2,0),"")</f>
        <v/>
      </c>
      <c r="O59" s="15" t="str">
        <f>IFERROR(VLOOKUP(B59,'[2]Outgoing Transmittals to PDO'!$A$6:$G$20000,7,0),"")</f>
        <v/>
      </c>
      <c r="P59" s="15" t="str">
        <f t="shared" si="54"/>
        <v/>
      </c>
      <c r="Q59" s="15" t="str">
        <f>IFERROR(VLOOKUP(B59,'[3]Incoming Transmittals from PDO'!$A$6:$G$20000,3,0),"")</f>
        <v/>
      </c>
      <c r="R59" s="15" t="str">
        <f>IFERROR(VLOOKUP(B59,'[3]Incoming Transmittals from PDO'!$A$6:$G$20000,2,0),"")</f>
        <v/>
      </c>
      <c r="S59" s="15" t="str">
        <f>IFERROR(VLOOKUP(B59,'[3]Incoming Transmittals from PDO'!$A$6:$G$20000,7,0),"")</f>
        <v/>
      </c>
      <c r="T59" s="15" t="str">
        <f>IFERROR(VLOOKUP(B59,'[1]Outgoing to JEL'!$A$6:$G$5000,3,0),"")</f>
        <v/>
      </c>
      <c r="U59" s="15" t="str">
        <f>IFERROR(VLOOKUP(B59,'[1]Outgoing to JEL'!$A$6:$G$5000,2,0),"")</f>
        <v/>
      </c>
      <c r="V59" s="15" t="str">
        <f>IFERROR(VLOOKUP(B59,'[1]Outgoing to JEL'!$A$6:$G$5000,7,0),"")</f>
        <v/>
      </c>
      <c r="W59" s="3" t="str">
        <f t="shared" si="55"/>
        <v/>
      </c>
    </row>
    <row r="60" spans="1:23" s="16" customFormat="1" x14ac:dyDescent="0.2">
      <c r="A60" s="99"/>
      <c r="B60" s="39" t="str">
        <f t="shared" si="56"/>
        <v>KHF-00-104265-RA-6038-01309-0000-3</v>
      </c>
      <c r="C60" s="31" t="s">
        <v>334</v>
      </c>
      <c r="D60" s="32" t="s">
        <v>343</v>
      </c>
      <c r="E60" s="20">
        <v>3</v>
      </c>
      <c r="F60" s="20"/>
      <c r="G60" s="20"/>
      <c r="H60" s="20" t="str">
        <f t="shared" si="18"/>
        <v/>
      </c>
      <c r="I60" s="3" t="str">
        <f t="shared" si="57"/>
        <v/>
      </c>
      <c r="J60" s="15" t="str">
        <f>IFERROR(VLOOKUP(B60,'[1]Incoming from JEL'!$A$6:$G$5002,3,0),"")</f>
        <v/>
      </c>
      <c r="K60" s="15" t="str">
        <f>IFERROR(VLOOKUP(B60,'[1]Incoming from JEL'!$A$6:$G$5002,2,0),"")</f>
        <v/>
      </c>
      <c r="L60" s="15" t="str">
        <f>IFERROR(VLOOKUP(B60,'[1]Incoming from JEL'!$A$6:$G$5002,7,0),"")</f>
        <v/>
      </c>
      <c r="M60" s="15" t="str">
        <f>IFERROR(VLOOKUP(B60,'[2]Outgoing Transmittals to PDO'!$A$6:$G$20000,3,0),"")</f>
        <v/>
      </c>
      <c r="N60" s="15" t="str">
        <f>IFERROR(VLOOKUP(B60,'[2]Outgoing Transmittals to PDO'!$A$6:$G$20000,2,0),"")</f>
        <v/>
      </c>
      <c r="O60" s="15" t="str">
        <f>IFERROR(VLOOKUP(B60,'[2]Outgoing Transmittals to PDO'!$A$6:$G$20000,7,0),"")</f>
        <v/>
      </c>
      <c r="P60" s="15" t="str">
        <f t="shared" si="54"/>
        <v/>
      </c>
      <c r="Q60" s="15" t="str">
        <f>IFERROR(VLOOKUP(B60,'[3]Incoming Transmittals from PDO'!$A$6:$G$20000,3,0),"")</f>
        <v/>
      </c>
      <c r="R60" s="15" t="str">
        <f>IFERROR(VLOOKUP(B60,'[3]Incoming Transmittals from PDO'!$A$6:$G$20000,2,0),"")</f>
        <v/>
      </c>
      <c r="S60" s="15" t="str">
        <f>IFERROR(VLOOKUP(B60,'[3]Incoming Transmittals from PDO'!$A$6:$G$20000,7,0),"")</f>
        <v/>
      </c>
      <c r="T60" s="15" t="str">
        <f>IFERROR(VLOOKUP(B60,'[1]Outgoing to JEL'!$A$6:$G$5000,3,0),"")</f>
        <v/>
      </c>
      <c r="U60" s="15" t="str">
        <f>IFERROR(VLOOKUP(B60,'[1]Outgoing to JEL'!$A$6:$G$5000,2,0),"")</f>
        <v/>
      </c>
      <c r="V60" s="15" t="str">
        <f>IFERROR(VLOOKUP(B60,'[1]Outgoing to JEL'!$A$6:$G$5000,7,0),"")</f>
        <v/>
      </c>
      <c r="W60" s="3" t="str">
        <f t="shared" si="55"/>
        <v/>
      </c>
    </row>
    <row r="61" spans="1:23" s="16" customFormat="1" x14ac:dyDescent="0.2">
      <c r="A61" s="97">
        <f t="shared" ref="A61" si="58">A58+1</f>
        <v>18</v>
      </c>
      <c r="B61" s="30" t="str">
        <f t="shared" si="22"/>
        <v>KHF-00-104265-BA-6070-01301-0000-1</v>
      </c>
      <c r="C61" s="31" t="s">
        <v>284</v>
      </c>
      <c r="D61" s="32" t="s">
        <v>285</v>
      </c>
      <c r="E61" s="20">
        <v>1</v>
      </c>
      <c r="F61" s="20"/>
      <c r="G61" s="20"/>
      <c r="H61" s="20" t="str">
        <f t="shared" ref="H61:H63" si="59">IF(AND(C61=C62,J62="",J61&lt;&gt;""),"L","")</f>
        <v/>
      </c>
      <c r="I61" s="3">
        <v>43459</v>
      </c>
      <c r="J61" s="15">
        <f>IFERROR(VLOOKUP(B61,'[1]Incoming from JEL'!$A$6:$G$5002,3,0),"")</f>
        <v>43459</v>
      </c>
      <c r="K61" s="15" t="str">
        <f>IFERROR(VLOOKUP(B61,'[1]Incoming from JEL'!$A$6:$G$5002,2,0),"")</f>
        <v>AIP-YKP-JEL-T-0004</v>
      </c>
      <c r="L61" s="15" t="str">
        <f>IFERROR(VLOOKUP(B61,'[1]Incoming from JEL'!$A$6:$G$5002,7,0),"")</f>
        <v>IFR</v>
      </c>
      <c r="M61" s="15">
        <f>IFERROR(VLOOKUP(B61,'[2]Outgoing Transmittals to PDO'!$A$6:$G$20000,3,0),"")</f>
        <v>43500</v>
      </c>
      <c r="N61" s="15" t="str">
        <f>IFERROR(VLOOKUP(B61,'[2]Outgoing Transmittals to PDO'!$A$6:$G$20000,2,0),"")</f>
        <v>AIP-PDO-P1701009-T-0968</v>
      </c>
      <c r="O61" s="15" t="str">
        <f>IFERROR(VLOOKUP(B61,'[2]Outgoing Transmittals to PDO'!$A$6:$G$20000,7,0),"")</f>
        <v>IFR</v>
      </c>
      <c r="P61" s="15">
        <f t="shared" si="4"/>
        <v>43514</v>
      </c>
      <c r="Q61" s="15">
        <f>IFERROR(VLOOKUP(B61,'[3]Incoming Transmittals from PDO'!$A$6:$G$20000,3,0),"")</f>
        <v>43514</v>
      </c>
      <c r="R61" s="15" t="str">
        <f>IFERROR(VLOOKUP(B61,'[3]Incoming Transmittals from PDO'!$A$6:$G$20000,2,0),"")</f>
        <v>KHF_AIP_D_EXT_01017</v>
      </c>
      <c r="S61" s="15" t="str">
        <f>IFERROR(VLOOKUP(B61,'[3]Incoming Transmittals from PDO'!$A$6:$G$20000,7,0),"")</f>
        <v>Code B</v>
      </c>
      <c r="T61" s="15">
        <f>IFERROR(VLOOKUP(B61,'[1]Outgoing to JEL'!$A$6:$G$5000,3,0),"")</f>
        <v>43514</v>
      </c>
      <c r="U61" s="15" t="str">
        <f>IFERROR(VLOOKUP(B61,'[1]Outgoing to JEL'!$A$6:$G$5000,2,0),"")</f>
        <v>AIP-YKP-JEL-P1701009-T-0009</v>
      </c>
      <c r="V61" s="15" t="str">
        <f>IFERROR(VLOOKUP(B61,'[1]Outgoing to JEL'!$A$6:$G$5000,7,0),"")</f>
        <v>Code B</v>
      </c>
      <c r="W61" s="3" t="str">
        <f t="shared" si="5"/>
        <v>Comments from PDO</v>
      </c>
    </row>
    <row r="62" spans="1:23" s="16" customFormat="1" x14ac:dyDescent="0.2">
      <c r="A62" s="98"/>
      <c r="B62" s="30" t="str">
        <f t="shared" si="22"/>
        <v>KHF-00-104265-BA-6070-01301-0000-2</v>
      </c>
      <c r="C62" s="31" t="s">
        <v>284</v>
      </c>
      <c r="D62" s="32" t="s">
        <v>285</v>
      </c>
      <c r="E62" s="20">
        <v>2</v>
      </c>
      <c r="F62" s="20"/>
      <c r="G62" s="20"/>
      <c r="H62" s="20" t="str">
        <f t="shared" si="59"/>
        <v>L</v>
      </c>
      <c r="I62" s="3">
        <f t="shared" si="3"/>
        <v>43528</v>
      </c>
      <c r="J62" s="15">
        <f>IFERROR(VLOOKUP(B62,'[1]Incoming from JEL'!$A$6:$G$5002,3,0),"")</f>
        <v>43496</v>
      </c>
      <c r="K62" s="15" t="str">
        <f>IFERROR(VLOOKUP(B62,'[1]Incoming from JEL'!$A$6:$G$5002,2,0),"")</f>
        <v>AIP-YKP-JEL-T-0004R2</v>
      </c>
      <c r="L62" s="15" t="str">
        <f>IFERROR(VLOOKUP(B62,'[1]Incoming from JEL'!$A$6:$G$5002,7,0),"")</f>
        <v>IFR</v>
      </c>
      <c r="M62" s="15">
        <f>IFERROR(VLOOKUP(B62,'[2]Outgoing Transmittals to PDO'!$A$6:$G$20000,3,0),"")</f>
        <v>43528</v>
      </c>
      <c r="N62" s="15" t="str">
        <f>IFERROR(VLOOKUP(B62,'[2]Outgoing Transmittals to PDO'!$A$6:$G$20000,2,0),"")</f>
        <v>AIP-PDO-P1701009-T-1027</v>
      </c>
      <c r="O62" s="15" t="str">
        <f>IFERROR(VLOOKUP(B62,'[2]Outgoing Transmittals to PDO'!$A$6:$G$20000,7,0),"")</f>
        <v>IFA</v>
      </c>
      <c r="P62" s="15">
        <f t="shared" si="4"/>
        <v>43542</v>
      </c>
      <c r="Q62" s="15">
        <f>IFERROR(VLOOKUP(B62,'[3]Incoming Transmittals from PDO'!$A$6:$G$20000,3,0),"")</f>
        <v>43529</v>
      </c>
      <c r="R62" s="15" t="str">
        <f>IFERROR(VLOOKUP(B62,'[3]Incoming Transmittals from PDO'!$A$6:$G$20000,2,0),"")</f>
        <v>KHF_AIP_D_EXT_01055</v>
      </c>
      <c r="S62" s="15" t="str">
        <f>IFERROR(VLOOKUP(B62,'[3]Incoming Transmittals from PDO'!$A$6:$G$20000,7,0),"")</f>
        <v>Code A</v>
      </c>
      <c r="T62" s="15">
        <f>IFERROR(VLOOKUP(B62,'[1]Outgoing to JEL'!$A$6:$G$5000,3,0),"")</f>
        <v>43529</v>
      </c>
      <c r="U62" s="15" t="str">
        <f>IFERROR(VLOOKUP(B62,'[1]Outgoing to JEL'!$A$6:$G$5000,2,0),"")</f>
        <v>AIP-YKP-JEL-P1701009-T-0012</v>
      </c>
      <c r="V62" s="15" t="str">
        <f>IFERROR(VLOOKUP(B62,'[1]Outgoing to JEL'!$A$6:$G$5000,7,0),"")</f>
        <v>Code A</v>
      </c>
      <c r="W62" s="3" t="str">
        <f t="shared" si="5"/>
        <v>Approved by PDO</v>
      </c>
    </row>
    <row r="63" spans="1:23" s="16" customFormat="1" x14ac:dyDescent="0.2">
      <c r="A63" s="99"/>
      <c r="B63" s="30" t="str">
        <f t="shared" si="22"/>
        <v>KHF-00-104265-BA-6070-01301-0000-3</v>
      </c>
      <c r="C63" s="31" t="s">
        <v>284</v>
      </c>
      <c r="D63" s="32" t="s">
        <v>285</v>
      </c>
      <c r="E63" s="20">
        <v>3</v>
      </c>
      <c r="F63" s="20"/>
      <c r="G63" s="20"/>
      <c r="H63" s="20" t="str">
        <f t="shared" si="59"/>
        <v/>
      </c>
      <c r="I63" s="3" t="str">
        <f t="shared" si="3"/>
        <v/>
      </c>
      <c r="J63" s="15" t="str">
        <f>IFERROR(VLOOKUP(B63,'[1]Incoming from JEL'!$A$6:$G$5002,3,0),"")</f>
        <v/>
      </c>
      <c r="K63" s="15" t="str">
        <f>IFERROR(VLOOKUP(B63,'[1]Incoming from JEL'!$A$6:$G$5002,2,0),"")</f>
        <v/>
      </c>
      <c r="L63" s="15" t="str">
        <f>IFERROR(VLOOKUP(B63,'[1]Incoming from JEL'!$A$6:$G$5002,7,0),"")</f>
        <v/>
      </c>
      <c r="M63" s="15" t="str">
        <f>IFERROR(VLOOKUP(B63,'[2]Outgoing Transmittals to PDO'!$A$6:$G$20000,3,0),"")</f>
        <v/>
      </c>
      <c r="N63" s="15" t="str">
        <f>IFERROR(VLOOKUP(B63,'[2]Outgoing Transmittals to PDO'!$A$6:$G$20000,2,0),"")</f>
        <v/>
      </c>
      <c r="O63" s="15" t="str">
        <f>IFERROR(VLOOKUP(B63,'[2]Outgoing Transmittals to PDO'!$A$6:$G$20000,7,0),"")</f>
        <v/>
      </c>
      <c r="P63" s="15" t="str">
        <f t="shared" si="4"/>
        <v/>
      </c>
      <c r="Q63" s="15" t="str">
        <f>IFERROR(VLOOKUP(B63,'[3]Incoming Transmittals from PDO'!$A$6:$G$20000,3,0),"")</f>
        <v/>
      </c>
      <c r="R63" s="15" t="str">
        <f>IFERROR(VLOOKUP(B63,'[3]Incoming Transmittals from PDO'!$A$6:$G$20000,2,0),"")</f>
        <v/>
      </c>
      <c r="S63" s="15" t="str">
        <f>IFERROR(VLOOKUP(B63,'[3]Incoming Transmittals from PDO'!$A$6:$G$20000,7,0),"")</f>
        <v/>
      </c>
      <c r="T63" s="15" t="str">
        <f>IFERROR(VLOOKUP(B63,'[1]Outgoing to JEL'!$A$6:$G$5000,3,0),"")</f>
        <v/>
      </c>
      <c r="U63" s="15" t="str">
        <f>IFERROR(VLOOKUP(B63,'[1]Outgoing to JEL'!$A$6:$G$5000,2,0),"")</f>
        <v/>
      </c>
      <c r="V63" s="15" t="str">
        <f>IFERROR(VLOOKUP(B63,'[1]Outgoing to JEL'!$A$6:$G$5000,7,0),"")</f>
        <v/>
      </c>
      <c r="W63" s="3" t="str">
        <f t="shared" si="5"/>
        <v/>
      </c>
    </row>
    <row r="64" spans="1:23" s="16" customFormat="1" x14ac:dyDescent="0.2">
      <c r="A64" s="97">
        <f t="shared" ref="A64" si="60">A61+1</f>
        <v>19</v>
      </c>
      <c r="B64" s="30" t="str">
        <f>CONCATENATE(C64,"-",E64)</f>
        <v>KHF-00-104265-BA-6070-01302-0000-1</v>
      </c>
      <c r="C64" s="31" t="s">
        <v>286</v>
      </c>
      <c r="D64" s="32" t="s">
        <v>314</v>
      </c>
      <c r="E64" s="20">
        <v>1</v>
      </c>
      <c r="F64" s="20"/>
      <c r="G64" s="20"/>
      <c r="H64" s="20" t="str">
        <f t="shared" ref="H64:H69" si="61">IF(AND(C64=C65,J65="",J64&lt;&gt;""),"L","")</f>
        <v/>
      </c>
      <c r="I64" s="3">
        <v>43459</v>
      </c>
      <c r="J64" s="15">
        <f>IFERROR(VLOOKUP(B64,'[1]Incoming from JEL'!$A$6:$G$5002,3,0),"")</f>
        <v>43467</v>
      </c>
      <c r="K64" s="15" t="str">
        <f>IFERROR(VLOOKUP(B64,'[1]Incoming from JEL'!$A$6:$G$5002,2,0),"")</f>
        <v>AIP-YKP-JEL-T-0012</v>
      </c>
      <c r="L64" s="15" t="str">
        <f>IFERROR(VLOOKUP(B64,'[1]Incoming from JEL'!$A$6:$G$5002,7,0),"")</f>
        <v>IFR</v>
      </c>
      <c r="M64" s="15">
        <f>IFERROR(VLOOKUP(B64,'[2]Outgoing Transmittals to PDO'!$A$6:$G$20000,3,0),"")</f>
        <v>43486</v>
      </c>
      <c r="N64" s="15" t="str">
        <f>IFERROR(VLOOKUP(B64,'[2]Outgoing Transmittals to PDO'!$A$6:$G$20000,2,0),"")</f>
        <v>AIP-PDO-P1701009-T-0930</v>
      </c>
      <c r="O64" s="15" t="str">
        <f>IFERROR(VLOOKUP(B64,'[2]Outgoing Transmittals to PDO'!$A$6:$G$20000,7,0),"")</f>
        <v>IFR</v>
      </c>
      <c r="P64" s="15">
        <f t="shared" si="4"/>
        <v>43500</v>
      </c>
      <c r="Q64" s="15">
        <f>IFERROR(VLOOKUP(B64,'[3]Incoming Transmittals from PDO'!$A$6:$G$20000,3,0),"")</f>
        <v>43513</v>
      </c>
      <c r="R64" s="15" t="str">
        <f>IFERROR(VLOOKUP(B64,'[3]Incoming Transmittals from PDO'!$A$6:$G$20000,2,0),"")</f>
        <v>KHF_AIP_D_EXT_01013</v>
      </c>
      <c r="S64" s="15" t="str">
        <f>IFERROR(VLOOKUP(B64,'[3]Incoming Transmittals from PDO'!$A$6:$G$20000,7,0),"")</f>
        <v>Code B</v>
      </c>
      <c r="T64" s="15">
        <f>IFERROR(VLOOKUP(B64,'[1]Outgoing to JEL'!$A$6:$G$5000,3,0),"")</f>
        <v>43514</v>
      </c>
      <c r="U64" s="15" t="str">
        <f>IFERROR(VLOOKUP(B64,'[1]Outgoing to JEL'!$A$6:$G$5000,2,0),"")</f>
        <v>AIP-YKP-JEL-P1701009-T-0009</v>
      </c>
      <c r="V64" s="15" t="str">
        <f>IFERROR(VLOOKUP(B64,'[1]Outgoing to JEL'!$A$6:$G$5000,7,0),"")</f>
        <v>Code B</v>
      </c>
      <c r="W64" s="3" t="str">
        <f t="shared" si="5"/>
        <v>Comments from PDO</v>
      </c>
    </row>
    <row r="65" spans="1:23" s="16" customFormat="1" x14ac:dyDescent="0.2">
      <c r="A65" s="98"/>
      <c r="B65" s="30" t="str">
        <f t="shared" ref="B65:B69" si="62">CONCATENATE(C65,"-",E65)</f>
        <v>KHF-00-104265-BA-6070-01302-0000-2</v>
      </c>
      <c r="C65" s="31" t="s">
        <v>286</v>
      </c>
      <c r="D65" s="32" t="s">
        <v>314</v>
      </c>
      <c r="E65" s="20">
        <v>2</v>
      </c>
      <c r="F65" s="20"/>
      <c r="G65" s="20"/>
      <c r="H65" s="20" t="str">
        <f t="shared" si="61"/>
        <v>L</v>
      </c>
      <c r="I65" s="3">
        <f t="shared" si="3"/>
        <v>43528</v>
      </c>
      <c r="J65" s="15">
        <f>IFERROR(VLOOKUP(B65,'[1]Incoming from JEL'!$A$6:$G$5002,3,0),"")</f>
        <v>43485</v>
      </c>
      <c r="K65" s="15" t="str">
        <f>IFERROR(VLOOKUP(B65,'[1]Incoming from JEL'!$A$6:$G$5002,2,0),"")</f>
        <v>AIP-YKP-JEL-T-0012R1</v>
      </c>
      <c r="L65" s="15" t="str">
        <f>IFERROR(VLOOKUP(B65,'[1]Incoming from JEL'!$A$6:$G$5002,7,0),"")</f>
        <v>IFA</v>
      </c>
      <c r="M65" s="15">
        <f>IFERROR(VLOOKUP(B65,'[2]Outgoing Transmittals to PDO'!$A$6:$G$20000,3,0),"")</f>
        <v>43523</v>
      </c>
      <c r="N65" s="15" t="str">
        <f>IFERROR(VLOOKUP(B65,'[2]Outgoing Transmittals to PDO'!$A$6:$G$20000,2,0),"")</f>
        <v>AIP-PDO-P1701009-T-1024</v>
      </c>
      <c r="O65" s="15" t="str">
        <f>IFERROR(VLOOKUP(B65,'[2]Outgoing Transmittals to PDO'!$A$6:$G$20000,7,0),"")</f>
        <v>IFA</v>
      </c>
      <c r="P65" s="15">
        <f t="shared" si="4"/>
        <v>43537</v>
      </c>
      <c r="Q65" s="15">
        <f>IFERROR(VLOOKUP(B65,'[3]Incoming Transmittals from PDO'!$A$6:$G$20000,3,0),"")</f>
        <v>43529</v>
      </c>
      <c r="R65" s="15" t="str">
        <f>IFERROR(VLOOKUP(B65,'[3]Incoming Transmittals from PDO'!$A$6:$G$20000,2,0),"")</f>
        <v>KHF_AIP_D_EXT_01056</v>
      </c>
      <c r="S65" s="15" t="str">
        <f>IFERROR(VLOOKUP(B65,'[3]Incoming Transmittals from PDO'!$A$6:$G$20000,7,0),"")</f>
        <v>Code A</v>
      </c>
      <c r="T65" s="15">
        <f>IFERROR(VLOOKUP(B65,'[1]Outgoing to JEL'!$A$6:$G$5000,3,0),"")</f>
        <v>43529</v>
      </c>
      <c r="U65" s="15" t="str">
        <f>IFERROR(VLOOKUP(B65,'[1]Outgoing to JEL'!$A$6:$G$5000,2,0),"")</f>
        <v>AIP-YKP-JEL-P1701009-T-0012</v>
      </c>
      <c r="V65" s="15" t="str">
        <f>IFERROR(VLOOKUP(B65,'[1]Outgoing to JEL'!$A$6:$G$5000,7,0),"")</f>
        <v>Code A</v>
      </c>
      <c r="W65" s="3" t="str">
        <f t="shared" si="5"/>
        <v>Approved by PDO</v>
      </c>
    </row>
    <row r="66" spans="1:23" s="16" customFormat="1" x14ac:dyDescent="0.2">
      <c r="A66" s="99"/>
      <c r="B66" s="30" t="str">
        <f t="shared" si="62"/>
        <v>KHF-00-104265-BA-6070-01302-0000-3</v>
      </c>
      <c r="C66" s="31" t="s">
        <v>286</v>
      </c>
      <c r="D66" s="32" t="s">
        <v>314</v>
      </c>
      <c r="E66" s="20">
        <v>3</v>
      </c>
      <c r="F66" s="20"/>
      <c r="G66" s="20"/>
      <c r="H66" s="20" t="str">
        <f t="shared" si="61"/>
        <v/>
      </c>
      <c r="I66" s="3" t="str">
        <f t="shared" si="3"/>
        <v/>
      </c>
      <c r="J66" s="15" t="str">
        <f>IFERROR(VLOOKUP(B66,'[1]Incoming from JEL'!$A$6:$G$5002,3,0),"")</f>
        <v/>
      </c>
      <c r="K66" s="15" t="str">
        <f>IFERROR(VLOOKUP(B66,'[1]Incoming from JEL'!$A$6:$G$5002,2,0),"")</f>
        <v/>
      </c>
      <c r="L66" s="15" t="str">
        <f>IFERROR(VLOOKUP(B66,'[1]Incoming from JEL'!$A$6:$G$5002,7,0),"")</f>
        <v/>
      </c>
      <c r="M66" s="15" t="str">
        <f>IFERROR(VLOOKUP(B66,'[2]Outgoing Transmittals to PDO'!$A$6:$G$20000,3,0),"")</f>
        <v/>
      </c>
      <c r="N66" s="15" t="str">
        <f>IFERROR(VLOOKUP(B66,'[2]Outgoing Transmittals to PDO'!$A$6:$G$20000,2,0),"")</f>
        <v/>
      </c>
      <c r="O66" s="15" t="str">
        <f>IFERROR(VLOOKUP(B66,'[2]Outgoing Transmittals to PDO'!$A$6:$G$20000,7,0),"")</f>
        <v/>
      </c>
      <c r="P66" s="15" t="str">
        <f t="shared" si="4"/>
        <v/>
      </c>
      <c r="Q66" s="15" t="str">
        <f>IFERROR(VLOOKUP(B66,'[3]Incoming Transmittals from PDO'!$A$6:$G$20000,3,0),"")</f>
        <v/>
      </c>
      <c r="R66" s="15" t="str">
        <f>IFERROR(VLOOKUP(B66,'[3]Incoming Transmittals from PDO'!$A$6:$G$20000,2,0),"")</f>
        <v/>
      </c>
      <c r="S66" s="15" t="str">
        <f>IFERROR(VLOOKUP(B66,'[3]Incoming Transmittals from PDO'!$A$6:$G$20000,7,0),"")</f>
        <v/>
      </c>
      <c r="T66" s="15" t="str">
        <f>IFERROR(VLOOKUP(B66,'[1]Outgoing to JEL'!$A$6:$G$5000,3,0),"")</f>
        <v/>
      </c>
      <c r="U66" s="15" t="str">
        <f>IFERROR(VLOOKUP(B66,'[1]Outgoing to JEL'!$A$6:$G$5000,2,0),"")</f>
        <v/>
      </c>
      <c r="V66" s="15" t="str">
        <f>IFERROR(VLOOKUP(B66,'[1]Outgoing to JEL'!$A$6:$G$5000,7,0),"")</f>
        <v/>
      </c>
      <c r="W66" s="3" t="str">
        <f t="shared" si="5"/>
        <v/>
      </c>
    </row>
    <row r="67" spans="1:23" s="16" customFormat="1" x14ac:dyDescent="0.2">
      <c r="A67" s="97">
        <f t="shared" ref="A67" si="63">A64+1</f>
        <v>20</v>
      </c>
      <c r="B67" s="30" t="str">
        <f t="shared" si="62"/>
        <v>KHF-00-104265-BA-6070-01303-0000-1</v>
      </c>
      <c r="C67" s="31" t="s">
        <v>287</v>
      </c>
      <c r="D67" s="32" t="s">
        <v>288</v>
      </c>
      <c r="E67" s="20">
        <v>1</v>
      </c>
      <c r="F67" s="20"/>
      <c r="G67" s="20"/>
      <c r="H67" s="20" t="str">
        <f t="shared" si="61"/>
        <v/>
      </c>
      <c r="I67" s="3">
        <v>43459</v>
      </c>
      <c r="J67" s="15">
        <f>IFERROR(VLOOKUP(B67,'[1]Incoming from JEL'!$A$6:$G$5002,3,0),"")</f>
        <v>43459</v>
      </c>
      <c r="K67" s="15" t="str">
        <f>IFERROR(VLOOKUP(B67,'[1]Incoming from JEL'!$A$6:$G$5002,2,0),"")</f>
        <v>AIP-YKP-JEL-T-0007</v>
      </c>
      <c r="L67" s="15" t="str">
        <f>IFERROR(VLOOKUP(B67,'[1]Incoming from JEL'!$A$6:$G$5002,7,0),"")</f>
        <v>IFR</v>
      </c>
      <c r="M67" s="15">
        <f>IFERROR(VLOOKUP(B67,'[2]Outgoing Transmittals to PDO'!$A$6:$G$20000,3,0),"")</f>
        <v>43542</v>
      </c>
      <c r="N67" s="15" t="str">
        <f>IFERROR(VLOOKUP(B67,'[2]Outgoing Transmittals to PDO'!$A$6:$G$20000,2,0),"")</f>
        <v>AIP-PDO-P1701009-T-1079</v>
      </c>
      <c r="O67" s="15" t="str">
        <f>IFERROR(VLOOKUP(B67,'[2]Outgoing Transmittals to PDO'!$A$6:$G$20000,7,0),"")</f>
        <v>IFR</v>
      </c>
      <c r="P67" s="15">
        <f t="shared" si="4"/>
        <v>43556</v>
      </c>
      <c r="Q67" s="15">
        <f>IFERROR(VLOOKUP(B67,'[3]Incoming Transmittals from PDO'!$A$6:$G$20000,3,0),"")</f>
        <v>43586</v>
      </c>
      <c r="R67" s="15" t="str">
        <f>IFERROR(VLOOKUP(B67,'[3]Incoming Transmittals from PDO'!$A$6:$G$20000,2,0),"")</f>
        <v>KHF_AIP_D_EXT_01213</v>
      </c>
      <c r="S67" s="15" t="str">
        <f>IFERROR(VLOOKUP(B67,'[3]Incoming Transmittals from PDO'!$A$6:$G$20000,7,0),"")</f>
        <v>Code B</v>
      </c>
      <c r="T67" s="15">
        <f>IFERROR(VLOOKUP(B67,'[1]Outgoing to JEL'!$A$6:$G$5000,3,0),"")</f>
        <v>43587</v>
      </c>
      <c r="U67" s="15" t="str">
        <f>IFERROR(VLOOKUP(B67,'[1]Outgoing to JEL'!$A$6:$G$5000,2,0),"")</f>
        <v>AIP-YKP-JEL-P1701009-T-0024</v>
      </c>
      <c r="V67" s="15" t="str">
        <f>IFERROR(VLOOKUP(B67,'[1]Outgoing to JEL'!$A$6:$G$5000,7,0),"")</f>
        <v>Code B</v>
      </c>
      <c r="W67" s="3" t="str">
        <f t="shared" si="5"/>
        <v>Comments from PDO</v>
      </c>
    </row>
    <row r="68" spans="1:23" s="16" customFormat="1" x14ac:dyDescent="0.2">
      <c r="A68" s="98"/>
      <c r="B68" s="30" t="str">
        <f t="shared" si="62"/>
        <v>KHF-00-104265-BA-6070-01303-0000-2</v>
      </c>
      <c r="C68" s="31" t="s">
        <v>287</v>
      </c>
      <c r="D68" s="32" t="s">
        <v>288</v>
      </c>
      <c r="E68" s="20">
        <v>2</v>
      </c>
      <c r="F68" s="20"/>
      <c r="G68" s="20"/>
      <c r="H68" s="20" t="str">
        <f t="shared" si="61"/>
        <v>L</v>
      </c>
      <c r="I68" s="3">
        <f t="shared" si="3"/>
        <v>43601</v>
      </c>
      <c r="J68" s="15">
        <f>IFERROR(VLOOKUP(B68,'[1]Incoming from JEL'!$A$6:$G$5002,3,0),"")</f>
        <v>43737</v>
      </c>
      <c r="K68" s="15" t="str">
        <f>IFERROR(VLOOKUP(B68,'[1]Incoming from JEL'!$A$6:$G$5002,2,0),"")</f>
        <v>AIP-YKP-JEL -T-0080</v>
      </c>
      <c r="L68" s="15" t="str">
        <f>IFERROR(VLOOKUP(B68,'[1]Incoming from JEL'!$A$6:$G$5002,7,0),"")</f>
        <v>IFA</v>
      </c>
      <c r="M68" s="15">
        <f>IFERROR(VLOOKUP(B68,'[2]Outgoing Transmittals to PDO'!$A$6:$G$20000,3,0),"")</f>
        <v>43740</v>
      </c>
      <c r="N68" s="15" t="str">
        <f>IFERROR(VLOOKUP(B68,'[2]Outgoing Transmittals to PDO'!$A$6:$G$20000,2,0),"")</f>
        <v>AIP-PDO-P1701009-T-1428</v>
      </c>
      <c r="O68" s="15" t="str">
        <f>IFERROR(VLOOKUP(B68,'[2]Outgoing Transmittals to PDO'!$A$6:$G$20000,7,0),"")</f>
        <v>IFA</v>
      </c>
      <c r="P68" s="15">
        <f t="shared" si="4"/>
        <v>43754</v>
      </c>
      <c r="Q68" s="15" t="str">
        <f>IFERROR(VLOOKUP(B68,'[3]Incoming Transmittals from PDO'!$A$6:$G$20000,3,0),"")</f>
        <v/>
      </c>
      <c r="R68" s="15" t="str">
        <f>IFERROR(VLOOKUP(B68,'[3]Incoming Transmittals from PDO'!$A$6:$G$20000,2,0),"")</f>
        <v/>
      </c>
      <c r="S68" s="15" t="str">
        <f>IFERROR(VLOOKUP(B68,'[3]Incoming Transmittals from PDO'!$A$6:$G$20000,7,0),"")</f>
        <v/>
      </c>
      <c r="T68" s="15" t="str">
        <f>IFERROR(VLOOKUP(B68,'[1]Outgoing to JEL'!$A$6:$G$5000,3,0),"")</f>
        <v/>
      </c>
      <c r="U68" s="15" t="str">
        <f>IFERROR(VLOOKUP(B68,'[1]Outgoing to JEL'!$A$6:$G$5000,2,0),"")</f>
        <v/>
      </c>
      <c r="V68" s="15" t="str">
        <f>IFERROR(VLOOKUP(B68,'[1]Outgoing to JEL'!$A$6:$G$5000,7,0),"")</f>
        <v/>
      </c>
      <c r="W68" s="3" t="str">
        <f t="shared" si="5"/>
        <v>Pending for PDO Approval</v>
      </c>
    </row>
    <row r="69" spans="1:23" s="16" customFormat="1" x14ac:dyDescent="0.2">
      <c r="A69" s="99"/>
      <c r="B69" s="30" t="str">
        <f t="shared" si="62"/>
        <v>KHF-00-104265-BA-6070-01303-0000-3</v>
      </c>
      <c r="C69" s="31" t="s">
        <v>287</v>
      </c>
      <c r="D69" s="32" t="s">
        <v>288</v>
      </c>
      <c r="E69" s="20">
        <v>3</v>
      </c>
      <c r="F69" s="20"/>
      <c r="G69" s="20"/>
      <c r="H69" s="20" t="str">
        <f t="shared" si="61"/>
        <v/>
      </c>
      <c r="I69" s="3" t="str">
        <f t="shared" si="3"/>
        <v/>
      </c>
      <c r="J69" s="15" t="str">
        <f>IFERROR(VLOOKUP(B69,'[1]Incoming from JEL'!$A$6:$G$5002,3,0),"")</f>
        <v/>
      </c>
      <c r="K69" s="15" t="str">
        <f>IFERROR(VLOOKUP(B69,'[1]Incoming from JEL'!$A$6:$G$5002,2,0),"")</f>
        <v/>
      </c>
      <c r="L69" s="15" t="str">
        <f>IFERROR(VLOOKUP(B69,'[1]Incoming from JEL'!$A$6:$G$5002,7,0),"")</f>
        <v/>
      </c>
      <c r="M69" s="15" t="str">
        <f>IFERROR(VLOOKUP(B69,'[2]Outgoing Transmittals to PDO'!$A$6:$G$20000,3,0),"")</f>
        <v/>
      </c>
      <c r="N69" s="15" t="str">
        <f>IFERROR(VLOOKUP(B69,'[2]Outgoing Transmittals to PDO'!$A$6:$G$20000,2,0),"")</f>
        <v/>
      </c>
      <c r="O69" s="15" t="str">
        <f>IFERROR(VLOOKUP(B69,'[2]Outgoing Transmittals to PDO'!$A$6:$G$20000,7,0),"")</f>
        <v/>
      </c>
      <c r="P69" s="15" t="str">
        <f t="shared" si="4"/>
        <v/>
      </c>
      <c r="Q69" s="15" t="str">
        <f>IFERROR(VLOOKUP(B69,'[3]Incoming Transmittals from PDO'!$A$6:$G$20000,3,0),"")</f>
        <v/>
      </c>
      <c r="R69" s="15" t="str">
        <f>IFERROR(VLOOKUP(B69,'[3]Incoming Transmittals from PDO'!$A$6:$G$20000,2,0),"")</f>
        <v/>
      </c>
      <c r="S69" s="15" t="str">
        <f>IFERROR(VLOOKUP(B69,'[3]Incoming Transmittals from PDO'!$A$6:$G$20000,7,0),"")</f>
        <v/>
      </c>
      <c r="T69" s="15" t="str">
        <f>IFERROR(VLOOKUP(B69,'[1]Outgoing to JEL'!$A$6:$G$5000,3,0),"")</f>
        <v/>
      </c>
      <c r="U69" s="15" t="str">
        <f>IFERROR(VLOOKUP(B69,'[1]Outgoing to JEL'!$A$6:$G$5000,2,0),"")</f>
        <v/>
      </c>
      <c r="V69" s="15" t="str">
        <f>IFERROR(VLOOKUP(B69,'[1]Outgoing to JEL'!$A$6:$G$5000,7,0),"")</f>
        <v/>
      </c>
      <c r="W69" s="3" t="str">
        <f t="shared" si="5"/>
        <v/>
      </c>
    </row>
    <row r="70" spans="1:23" s="16" customFormat="1" x14ac:dyDescent="0.2">
      <c r="A70" s="97">
        <f t="shared" ref="A70" si="64">A67+1</f>
        <v>21</v>
      </c>
      <c r="B70" s="30" t="str">
        <f>CONCATENATE(C70,"-",E70)</f>
        <v>KHF-00-104265-BA-6070-01304-0000-1</v>
      </c>
      <c r="C70" s="31" t="s">
        <v>289</v>
      </c>
      <c r="D70" s="32" t="s">
        <v>315</v>
      </c>
      <c r="E70" s="20">
        <v>1</v>
      </c>
      <c r="F70" s="20"/>
      <c r="G70" s="20"/>
      <c r="H70" s="20" t="str">
        <f t="shared" ref="H70:H75" si="65">IF(AND(C70=C71,J71="",J70&lt;&gt;""),"L","")</f>
        <v/>
      </c>
      <c r="I70" s="3">
        <v>43459</v>
      </c>
      <c r="J70" s="15">
        <f>IFERROR(VLOOKUP(B70,'[1]Incoming from JEL'!$A$6:$G$5002,3,0),"")</f>
        <v>43459</v>
      </c>
      <c r="K70" s="15" t="str">
        <f>IFERROR(VLOOKUP(B70,'[1]Incoming from JEL'!$A$6:$G$5002,2,0),"")</f>
        <v>AIP-YKP-JEL-T-0006</v>
      </c>
      <c r="L70" s="15" t="str">
        <f>IFERROR(VLOOKUP(B70,'[1]Incoming from JEL'!$A$6:$G$5002,7,0),"")</f>
        <v>IFR</v>
      </c>
      <c r="M70" s="15">
        <f>IFERROR(VLOOKUP(B70,'[2]Outgoing Transmittals to PDO'!$A$6:$G$20000,3,0),"")</f>
        <v>43542</v>
      </c>
      <c r="N70" s="15" t="str">
        <f>IFERROR(VLOOKUP(B70,'[2]Outgoing Transmittals to PDO'!$A$6:$G$20000,2,0),"")</f>
        <v>AIP-PDO-P1701009-T-1079</v>
      </c>
      <c r="O70" s="15" t="str">
        <f>IFERROR(VLOOKUP(B70,'[2]Outgoing Transmittals to PDO'!$A$6:$G$20000,7,0),"")</f>
        <v>IFR</v>
      </c>
      <c r="P70" s="15">
        <f t="shared" si="4"/>
        <v>43556</v>
      </c>
      <c r="Q70" s="15">
        <f>IFERROR(VLOOKUP(B70,'[3]Incoming Transmittals from PDO'!$A$6:$G$20000,3,0),"")</f>
        <v>43586</v>
      </c>
      <c r="R70" s="15" t="str">
        <f>IFERROR(VLOOKUP(B70,'[3]Incoming Transmittals from PDO'!$A$6:$G$20000,2,0),"")</f>
        <v>KHF_AIP_D_EXT_01213</v>
      </c>
      <c r="S70" s="15" t="str">
        <f>IFERROR(VLOOKUP(B70,'[3]Incoming Transmittals from PDO'!$A$6:$G$20000,7,0),"")</f>
        <v>Code B</v>
      </c>
      <c r="T70" s="15">
        <f>IFERROR(VLOOKUP(B70,'[1]Outgoing to JEL'!$A$6:$G$5000,3,0),"")</f>
        <v>43587</v>
      </c>
      <c r="U70" s="15" t="str">
        <f>IFERROR(VLOOKUP(B70,'[1]Outgoing to JEL'!$A$6:$G$5000,2,0),"")</f>
        <v>AIP-YKP-JEL-P1701009-T-0024</v>
      </c>
      <c r="V70" s="15" t="str">
        <f>IFERROR(VLOOKUP(B70,'[1]Outgoing to JEL'!$A$6:$G$5000,7,0),"")</f>
        <v>Code B</v>
      </c>
      <c r="W70" s="3" t="str">
        <f t="shared" si="5"/>
        <v>Comments from PDO</v>
      </c>
    </row>
    <row r="71" spans="1:23" s="16" customFormat="1" x14ac:dyDescent="0.2">
      <c r="A71" s="98"/>
      <c r="B71" s="30" t="str">
        <f t="shared" ref="B71:B75" si="66">CONCATENATE(C71,"-",E71)</f>
        <v>KHF-00-104265-BA-6070-01304-0000-2</v>
      </c>
      <c r="C71" s="31" t="s">
        <v>289</v>
      </c>
      <c r="D71" s="32" t="s">
        <v>315</v>
      </c>
      <c r="E71" s="20">
        <v>2</v>
      </c>
      <c r="F71" s="20"/>
      <c r="G71" s="20"/>
      <c r="H71" s="20" t="str">
        <f t="shared" si="65"/>
        <v>L</v>
      </c>
      <c r="I71" s="3">
        <f t="shared" si="3"/>
        <v>43601</v>
      </c>
      <c r="J71" s="15">
        <f>IFERROR(VLOOKUP(B71,'[1]Incoming from JEL'!$A$6:$G$5002,3,0),"")</f>
        <v>43737</v>
      </c>
      <c r="K71" s="15" t="str">
        <f>IFERROR(VLOOKUP(B71,'[1]Incoming from JEL'!$A$6:$G$5002,2,0),"")</f>
        <v>AIP-YKP-JEL -T-0080</v>
      </c>
      <c r="L71" s="15" t="str">
        <f>IFERROR(VLOOKUP(B71,'[1]Incoming from JEL'!$A$6:$G$5002,7,0),"")</f>
        <v>IFA</v>
      </c>
      <c r="M71" s="15">
        <f>IFERROR(VLOOKUP(B71,'[2]Outgoing Transmittals to PDO'!$A$6:$G$20000,3,0),"")</f>
        <v>43740</v>
      </c>
      <c r="N71" s="15" t="str">
        <f>IFERROR(VLOOKUP(B71,'[2]Outgoing Transmittals to PDO'!$A$6:$G$20000,2,0),"")</f>
        <v>AIP-PDO-P1701009-T-1428</v>
      </c>
      <c r="O71" s="15" t="str">
        <f>IFERROR(VLOOKUP(B71,'[2]Outgoing Transmittals to PDO'!$A$6:$G$20000,7,0),"")</f>
        <v>IFA</v>
      </c>
      <c r="P71" s="15">
        <f t="shared" si="4"/>
        <v>43754</v>
      </c>
      <c r="Q71" s="15" t="str">
        <f>IFERROR(VLOOKUP(B71,'[3]Incoming Transmittals from PDO'!$A$6:$G$20000,3,0),"")</f>
        <v/>
      </c>
      <c r="R71" s="15" t="str">
        <f>IFERROR(VLOOKUP(B71,'[3]Incoming Transmittals from PDO'!$A$6:$G$20000,2,0),"")</f>
        <v/>
      </c>
      <c r="S71" s="15" t="str">
        <f>IFERROR(VLOOKUP(B71,'[3]Incoming Transmittals from PDO'!$A$6:$G$20000,7,0),"")</f>
        <v/>
      </c>
      <c r="T71" s="15" t="str">
        <f>IFERROR(VLOOKUP(B71,'[1]Outgoing to JEL'!$A$6:$G$5000,3,0),"")</f>
        <v/>
      </c>
      <c r="U71" s="15" t="str">
        <f>IFERROR(VLOOKUP(B71,'[1]Outgoing to JEL'!$A$6:$G$5000,2,0),"")</f>
        <v/>
      </c>
      <c r="V71" s="15" t="str">
        <f>IFERROR(VLOOKUP(B71,'[1]Outgoing to JEL'!$A$6:$G$5000,7,0),"")</f>
        <v/>
      </c>
      <c r="W71" s="3" t="str">
        <f t="shared" si="5"/>
        <v>Pending for PDO Approval</v>
      </c>
    </row>
    <row r="72" spans="1:23" s="16" customFormat="1" x14ac:dyDescent="0.2">
      <c r="A72" s="99"/>
      <c r="B72" s="30" t="str">
        <f t="shared" si="66"/>
        <v>KHF-00-104265-BA-6070-01304-0000-3</v>
      </c>
      <c r="C72" s="31" t="s">
        <v>289</v>
      </c>
      <c r="D72" s="32" t="s">
        <v>315</v>
      </c>
      <c r="E72" s="20">
        <v>3</v>
      </c>
      <c r="F72" s="20"/>
      <c r="G72" s="20"/>
      <c r="H72" s="20" t="str">
        <f t="shared" si="65"/>
        <v/>
      </c>
      <c r="I72" s="3" t="str">
        <f t="shared" si="3"/>
        <v/>
      </c>
      <c r="J72" s="15" t="str">
        <f>IFERROR(VLOOKUP(B72,'[1]Incoming from JEL'!$A$6:$G$5002,3,0),"")</f>
        <v/>
      </c>
      <c r="K72" s="15" t="str">
        <f>IFERROR(VLOOKUP(B72,'[1]Incoming from JEL'!$A$6:$G$5002,2,0),"")</f>
        <v/>
      </c>
      <c r="L72" s="15" t="str">
        <f>IFERROR(VLOOKUP(B72,'[1]Incoming from JEL'!$A$6:$G$5002,7,0),"")</f>
        <v/>
      </c>
      <c r="M72" s="15" t="str">
        <f>IFERROR(VLOOKUP(B72,'[2]Outgoing Transmittals to PDO'!$A$6:$G$20000,3,0),"")</f>
        <v/>
      </c>
      <c r="N72" s="15" t="str">
        <f>IFERROR(VLOOKUP(B72,'[2]Outgoing Transmittals to PDO'!$A$6:$G$20000,2,0),"")</f>
        <v/>
      </c>
      <c r="O72" s="15" t="str">
        <f>IFERROR(VLOOKUP(B72,'[2]Outgoing Transmittals to PDO'!$A$6:$G$20000,7,0),"")</f>
        <v/>
      </c>
      <c r="P72" s="15" t="str">
        <f t="shared" si="4"/>
        <v/>
      </c>
      <c r="Q72" s="15" t="str">
        <f>IFERROR(VLOOKUP(B72,'[3]Incoming Transmittals from PDO'!$A$6:$G$20000,3,0),"")</f>
        <v/>
      </c>
      <c r="R72" s="15" t="str">
        <f>IFERROR(VLOOKUP(B72,'[3]Incoming Transmittals from PDO'!$A$6:$G$20000,2,0),"")</f>
        <v/>
      </c>
      <c r="S72" s="15" t="str">
        <f>IFERROR(VLOOKUP(B72,'[3]Incoming Transmittals from PDO'!$A$6:$G$20000,7,0),"")</f>
        <v/>
      </c>
      <c r="T72" s="15" t="str">
        <f>IFERROR(VLOOKUP(B72,'[1]Outgoing to JEL'!$A$6:$G$5000,3,0),"")</f>
        <v/>
      </c>
      <c r="U72" s="15" t="str">
        <f>IFERROR(VLOOKUP(B72,'[1]Outgoing to JEL'!$A$6:$G$5000,2,0),"")</f>
        <v/>
      </c>
      <c r="V72" s="15" t="str">
        <f>IFERROR(VLOOKUP(B72,'[1]Outgoing to JEL'!$A$6:$G$5000,7,0),"")</f>
        <v/>
      </c>
      <c r="W72" s="3" t="str">
        <f t="shared" si="5"/>
        <v/>
      </c>
    </row>
    <row r="73" spans="1:23" s="16" customFormat="1" x14ac:dyDescent="0.2">
      <c r="A73" s="97">
        <f t="shared" ref="A73" si="67">A70+1</f>
        <v>22</v>
      </c>
      <c r="B73" s="30" t="str">
        <f t="shared" si="66"/>
        <v>KHF-00-104265-BA-6070-01305-0000-1</v>
      </c>
      <c r="C73" s="31" t="s">
        <v>290</v>
      </c>
      <c r="D73" s="32" t="s">
        <v>391</v>
      </c>
      <c r="E73" s="20">
        <v>1</v>
      </c>
      <c r="F73" s="20"/>
      <c r="G73" s="20"/>
      <c r="H73" s="20" t="str">
        <f t="shared" si="65"/>
        <v/>
      </c>
      <c r="I73" s="3" t="str">
        <f t="shared" ref="I73" si="68">J73</f>
        <v/>
      </c>
      <c r="J73" s="15" t="str">
        <f>IFERROR(VLOOKUP(B73,'[1]Incoming from JEL'!$A$6:$G$5002,3,0),"")</f>
        <v/>
      </c>
      <c r="K73" s="15" t="str">
        <f>IFERROR(VLOOKUP(B73,'[1]Incoming from JEL'!$A$6:$G$5002,2,0),"")</f>
        <v/>
      </c>
      <c r="L73" s="15" t="str">
        <f>IFERROR(VLOOKUP(B73,'[1]Incoming from JEL'!$A$6:$G$5002,7,0),"")</f>
        <v/>
      </c>
      <c r="M73" s="15">
        <f>IFERROR(VLOOKUP(B73,'[2]Outgoing Transmittals to PDO'!$A$6:$G$20000,3,0),"")</f>
        <v>43604</v>
      </c>
      <c r="N73" s="15" t="str">
        <f>IFERROR(VLOOKUP(B73,'[2]Outgoing Transmittals to PDO'!$A$6:$G$20000,2,0),"")</f>
        <v>AIP-PDO-P1701009-T-1210</v>
      </c>
      <c r="O73" s="15" t="str">
        <f>IFERROR(VLOOKUP(B73,'[2]Outgoing Transmittals to PDO'!$A$6:$G$20000,7,0),"")</f>
        <v>IFR</v>
      </c>
      <c r="P73" s="15">
        <f t="shared" si="4"/>
        <v>43618</v>
      </c>
      <c r="Q73" s="15">
        <f>IFERROR(VLOOKUP(B73,'[3]Incoming Transmittals from PDO'!$A$6:$G$20000,3,0),"")</f>
        <v>43653</v>
      </c>
      <c r="R73" s="15" t="str">
        <f>IFERROR(VLOOKUP(B73,'[3]Incoming Transmittals from PDO'!$A$6:$G$20000,2,0),"")</f>
        <v>KHF_AIP_D_EXT_01320</v>
      </c>
      <c r="S73" s="15" t="str">
        <f>IFERROR(VLOOKUP(B73,'[3]Incoming Transmittals from PDO'!$A$6:$G$20000,7,0),"")</f>
        <v>Code A</v>
      </c>
      <c r="T73" s="15">
        <f>IFERROR(VLOOKUP(B73,'[1]Outgoing to JEL'!$A$6:$G$5000,3,0),"")</f>
        <v>43654</v>
      </c>
      <c r="U73" s="15" t="str">
        <f>IFERROR(VLOOKUP(B73,'[1]Outgoing to JEL'!$A$6:$G$5000,2,0),"")</f>
        <v>AIP-YKP-JEL-P1701009-T-0037</v>
      </c>
      <c r="V73" s="15" t="str">
        <f>IFERROR(VLOOKUP(B73,'[1]Outgoing to JEL'!$A$6:$G$5000,7,0),"")</f>
        <v>Code A</v>
      </c>
      <c r="W73" s="3" t="str">
        <f t="shared" si="5"/>
        <v>Approved by PDO</v>
      </c>
    </row>
    <row r="74" spans="1:23" s="16" customFormat="1" x14ac:dyDescent="0.2">
      <c r="A74" s="98"/>
      <c r="B74" s="30" t="str">
        <f t="shared" si="66"/>
        <v>KHF-00-104265-BA-6070-01305-0000-2</v>
      </c>
      <c r="C74" s="31" t="s">
        <v>290</v>
      </c>
      <c r="D74" s="32" t="s">
        <v>391</v>
      </c>
      <c r="E74" s="20">
        <v>2</v>
      </c>
      <c r="F74" s="20"/>
      <c r="G74" s="20"/>
      <c r="H74" s="20" t="str">
        <f t="shared" si="65"/>
        <v/>
      </c>
      <c r="I74" s="3" t="str">
        <f t="shared" si="3"/>
        <v/>
      </c>
      <c r="J74" s="15" t="str">
        <f>IFERROR(VLOOKUP(B74,'[1]Incoming from JEL'!$A$6:$G$5002,3,0),"")</f>
        <v/>
      </c>
      <c r="K74" s="15" t="str">
        <f>IFERROR(VLOOKUP(B74,'[1]Incoming from JEL'!$A$6:$G$5002,2,0),"")</f>
        <v/>
      </c>
      <c r="L74" s="15" t="str">
        <f>IFERROR(VLOOKUP(B74,'[1]Incoming from JEL'!$A$6:$G$5002,7,0),"")</f>
        <v/>
      </c>
      <c r="M74" s="15" t="str">
        <f>IFERROR(VLOOKUP(B74,'[2]Outgoing Transmittals to PDO'!$A$6:$G$20000,3,0),"")</f>
        <v/>
      </c>
      <c r="N74" s="15" t="str">
        <f>IFERROR(VLOOKUP(B74,'[2]Outgoing Transmittals to PDO'!$A$6:$G$20000,2,0),"")</f>
        <v/>
      </c>
      <c r="O74" s="15" t="str">
        <f>IFERROR(VLOOKUP(B74,'[2]Outgoing Transmittals to PDO'!$A$6:$G$20000,7,0),"")</f>
        <v/>
      </c>
      <c r="P74" s="15" t="str">
        <f t="shared" si="4"/>
        <v/>
      </c>
      <c r="Q74" s="15" t="str">
        <f>IFERROR(VLOOKUP(B74,'[3]Incoming Transmittals from PDO'!$A$6:$G$20000,3,0),"")</f>
        <v/>
      </c>
      <c r="R74" s="15" t="str">
        <f>IFERROR(VLOOKUP(B74,'[3]Incoming Transmittals from PDO'!$A$6:$G$20000,2,0),"")</f>
        <v/>
      </c>
      <c r="S74" s="15" t="str">
        <f>IFERROR(VLOOKUP(B74,'[3]Incoming Transmittals from PDO'!$A$6:$G$20000,7,0),"")</f>
        <v/>
      </c>
      <c r="T74" s="15" t="str">
        <f>IFERROR(VLOOKUP(B74,'[1]Outgoing to JEL'!$A$6:$G$5000,3,0),"")</f>
        <v/>
      </c>
      <c r="U74" s="15" t="str">
        <f>IFERROR(VLOOKUP(B74,'[1]Outgoing to JEL'!$A$6:$G$5000,2,0),"")</f>
        <v/>
      </c>
      <c r="V74" s="15" t="str">
        <f>IFERROR(VLOOKUP(B74,'[1]Outgoing to JEL'!$A$6:$G$5000,7,0),"")</f>
        <v/>
      </c>
      <c r="W74" s="3" t="str">
        <f t="shared" si="5"/>
        <v/>
      </c>
    </row>
    <row r="75" spans="1:23" s="16" customFormat="1" x14ac:dyDescent="0.2">
      <c r="A75" s="99"/>
      <c r="B75" s="30" t="str">
        <f t="shared" si="66"/>
        <v>KHF-00-104265-BA-6070-01305-0000-3</v>
      </c>
      <c r="C75" s="31" t="s">
        <v>290</v>
      </c>
      <c r="D75" s="32" t="s">
        <v>391</v>
      </c>
      <c r="E75" s="20">
        <v>3</v>
      </c>
      <c r="F75" s="20"/>
      <c r="G75" s="20"/>
      <c r="H75" s="20" t="str">
        <f t="shared" si="65"/>
        <v/>
      </c>
      <c r="I75" s="3" t="str">
        <f t="shared" si="3"/>
        <v/>
      </c>
      <c r="J75" s="15" t="str">
        <f>IFERROR(VLOOKUP(B75,'[1]Incoming from JEL'!$A$6:$G$5002,3,0),"")</f>
        <v/>
      </c>
      <c r="K75" s="15" t="str">
        <f>IFERROR(VLOOKUP(B75,'[1]Incoming from JEL'!$A$6:$G$5002,2,0),"")</f>
        <v/>
      </c>
      <c r="L75" s="15" t="str">
        <f>IFERROR(VLOOKUP(B75,'[1]Incoming from JEL'!$A$6:$G$5002,7,0),"")</f>
        <v/>
      </c>
      <c r="M75" s="15" t="str">
        <f>IFERROR(VLOOKUP(B75,'[2]Outgoing Transmittals to PDO'!$A$6:$G$20000,3,0),"")</f>
        <v/>
      </c>
      <c r="N75" s="15" t="str">
        <f>IFERROR(VLOOKUP(B75,'[2]Outgoing Transmittals to PDO'!$A$6:$G$20000,2,0),"")</f>
        <v/>
      </c>
      <c r="O75" s="15" t="str">
        <f>IFERROR(VLOOKUP(B75,'[2]Outgoing Transmittals to PDO'!$A$6:$G$20000,7,0),"")</f>
        <v/>
      </c>
      <c r="P75" s="15" t="str">
        <f t="shared" si="4"/>
        <v/>
      </c>
      <c r="Q75" s="15" t="str">
        <f>IFERROR(VLOOKUP(B75,'[3]Incoming Transmittals from PDO'!$A$6:$G$20000,3,0),"")</f>
        <v/>
      </c>
      <c r="R75" s="15" t="str">
        <f>IFERROR(VLOOKUP(B75,'[3]Incoming Transmittals from PDO'!$A$6:$G$20000,2,0),"")</f>
        <v/>
      </c>
      <c r="S75" s="15" t="str">
        <f>IFERROR(VLOOKUP(B75,'[3]Incoming Transmittals from PDO'!$A$6:$G$20000,7,0),"")</f>
        <v/>
      </c>
      <c r="T75" s="15" t="str">
        <f>IFERROR(VLOOKUP(B75,'[1]Outgoing to JEL'!$A$6:$G$5000,3,0),"")</f>
        <v/>
      </c>
      <c r="U75" s="15" t="str">
        <f>IFERROR(VLOOKUP(B75,'[1]Outgoing to JEL'!$A$6:$G$5000,2,0),"")</f>
        <v/>
      </c>
      <c r="V75" s="15" t="str">
        <f>IFERROR(VLOOKUP(B75,'[1]Outgoing to JEL'!$A$6:$G$5000,7,0),"")</f>
        <v/>
      </c>
      <c r="W75" s="3" t="str">
        <f t="shared" si="5"/>
        <v/>
      </c>
    </row>
    <row r="76" spans="1:23" s="16" customFormat="1" x14ac:dyDescent="0.2">
      <c r="A76" s="97">
        <f>A73+1</f>
        <v>23</v>
      </c>
      <c r="B76" s="30" t="str">
        <f>CONCATENATE(C76,"-",E76)</f>
        <v>KHF-00-104265-BA-5736-01301-0000-1</v>
      </c>
      <c r="C76" s="31" t="s">
        <v>291</v>
      </c>
      <c r="D76" s="32" t="s">
        <v>316</v>
      </c>
      <c r="E76" s="20">
        <v>1</v>
      </c>
      <c r="F76" s="20"/>
      <c r="G76" s="20"/>
      <c r="H76" s="20" t="str">
        <f t="shared" ref="H76:H81" si="69">IF(AND(C76=C77,J77="",J76&lt;&gt;""),"L","")</f>
        <v>L</v>
      </c>
      <c r="I76" s="3">
        <v>43459</v>
      </c>
      <c r="J76" s="15">
        <f>IFERROR(VLOOKUP(B76,'[1]Incoming from JEL'!$A$6:$G$5002,3,0),"")</f>
        <v>43496</v>
      </c>
      <c r="K76" s="15" t="str">
        <f>IFERROR(VLOOKUP(B76,'[1]Incoming from JEL'!$A$6:$G$5002,2,0),"")</f>
        <v>AIP-YKP-JEL-T-0004R2</v>
      </c>
      <c r="L76" s="15" t="str">
        <f>IFERROR(VLOOKUP(B76,'[1]Incoming from JEL'!$A$6:$G$5002,7,0),"")</f>
        <v>IFR</v>
      </c>
      <c r="M76" s="15">
        <f>IFERROR(VLOOKUP(B76,'[2]Outgoing Transmittals to PDO'!$A$6:$G$20000,3,0),"")</f>
        <v>43500</v>
      </c>
      <c r="N76" s="15" t="str">
        <f>IFERROR(VLOOKUP(B76,'[2]Outgoing Transmittals to PDO'!$A$6:$G$20000,2,0),"")</f>
        <v>AIP-PDO-P1701009-T-0968</v>
      </c>
      <c r="O76" s="15" t="str">
        <f>IFERROR(VLOOKUP(B76,'[2]Outgoing Transmittals to PDO'!$A$6:$G$20000,7,0),"")</f>
        <v>IFR</v>
      </c>
      <c r="P76" s="15">
        <f t="shared" si="4"/>
        <v>43514</v>
      </c>
      <c r="Q76" s="15" t="str">
        <f>IFERROR(VLOOKUP(B76,'[3]Incoming Transmittals from PDO'!$A$6:$G$20000,3,0),"")</f>
        <v/>
      </c>
      <c r="R76" s="15" t="str">
        <f>IFERROR(VLOOKUP(B76,'[3]Incoming Transmittals from PDO'!$A$6:$G$20000,2,0),"")</f>
        <v/>
      </c>
      <c r="S76" s="15" t="str">
        <f>IFERROR(VLOOKUP(B76,'[3]Incoming Transmittals from PDO'!$A$6:$G$20000,7,0),"")</f>
        <v/>
      </c>
      <c r="T76" s="15" t="str">
        <f>IFERROR(VLOOKUP(B76,'[1]Outgoing to JEL'!$A$6:$G$5000,3,0),"")</f>
        <v/>
      </c>
      <c r="U76" s="15" t="str">
        <f>IFERROR(VLOOKUP(B76,'[1]Outgoing to JEL'!$A$6:$G$5000,2,0),"")</f>
        <v/>
      </c>
      <c r="V76" s="15" t="str">
        <f>IFERROR(VLOOKUP(B76,'[1]Outgoing to JEL'!$A$6:$G$5000,7,0),"")</f>
        <v/>
      </c>
      <c r="W76" s="3" t="str">
        <f t="shared" si="5"/>
        <v>Pending for PDO Approval</v>
      </c>
    </row>
    <row r="77" spans="1:23" s="16" customFormat="1" x14ac:dyDescent="0.2">
      <c r="A77" s="98"/>
      <c r="B77" s="30" t="str">
        <f t="shared" ref="B77:B81" si="70">CONCATENATE(C77,"-",E77)</f>
        <v>KHF-00-104265-BA-5736-01301-0000-2</v>
      </c>
      <c r="C77" s="31" t="s">
        <v>291</v>
      </c>
      <c r="D77" s="32" t="s">
        <v>316</v>
      </c>
      <c r="E77" s="20">
        <v>2</v>
      </c>
      <c r="F77" s="20"/>
      <c r="G77" s="20"/>
      <c r="H77" s="20" t="str">
        <f t="shared" si="69"/>
        <v/>
      </c>
      <c r="I77" s="3" t="str">
        <f t="shared" si="3"/>
        <v/>
      </c>
      <c r="J77" s="15" t="str">
        <f>IFERROR(VLOOKUP(B77,'[1]Incoming from JEL'!$A$6:$G$5002,3,0),"")</f>
        <v/>
      </c>
      <c r="K77" s="15" t="str">
        <f>IFERROR(VLOOKUP(B77,'[1]Incoming from JEL'!$A$6:$G$5002,2,0),"")</f>
        <v/>
      </c>
      <c r="L77" s="15" t="str">
        <f>IFERROR(VLOOKUP(B77,'[1]Incoming from JEL'!$A$6:$G$5002,7,0),"")</f>
        <v/>
      </c>
      <c r="M77" s="15" t="str">
        <f>IFERROR(VLOOKUP(B77,'[2]Outgoing Transmittals to PDO'!$A$6:$G$20000,3,0),"")</f>
        <v/>
      </c>
      <c r="N77" s="15" t="str">
        <f>IFERROR(VLOOKUP(B77,'[2]Outgoing Transmittals to PDO'!$A$6:$G$20000,2,0),"")</f>
        <v/>
      </c>
      <c r="O77" s="15" t="str">
        <f>IFERROR(VLOOKUP(B77,'[2]Outgoing Transmittals to PDO'!$A$6:$G$20000,7,0),"")</f>
        <v/>
      </c>
      <c r="P77" s="15" t="str">
        <f t="shared" si="4"/>
        <v/>
      </c>
      <c r="Q77" s="15" t="str">
        <f>IFERROR(VLOOKUP(B77,'[3]Incoming Transmittals from PDO'!$A$6:$G$20000,3,0),"")</f>
        <v/>
      </c>
      <c r="R77" s="15" t="str">
        <f>IFERROR(VLOOKUP(B77,'[3]Incoming Transmittals from PDO'!$A$6:$G$20000,2,0),"")</f>
        <v/>
      </c>
      <c r="S77" s="15" t="str">
        <f>IFERROR(VLOOKUP(B77,'[3]Incoming Transmittals from PDO'!$A$6:$G$20000,7,0),"")</f>
        <v/>
      </c>
      <c r="T77" s="15" t="str">
        <f>IFERROR(VLOOKUP(B77,'[1]Outgoing to JEL'!$A$6:$G$5000,3,0),"")</f>
        <v/>
      </c>
      <c r="U77" s="15" t="str">
        <f>IFERROR(VLOOKUP(B77,'[1]Outgoing to JEL'!$A$6:$G$5000,2,0),"")</f>
        <v/>
      </c>
      <c r="V77" s="15" t="str">
        <f>IFERROR(VLOOKUP(B77,'[1]Outgoing to JEL'!$A$6:$G$5000,7,0),"")</f>
        <v/>
      </c>
      <c r="W77" s="3" t="str">
        <f t="shared" si="5"/>
        <v/>
      </c>
    </row>
    <row r="78" spans="1:23" s="16" customFormat="1" x14ac:dyDescent="0.2">
      <c r="A78" s="99"/>
      <c r="B78" s="30" t="str">
        <f t="shared" si="70"/>
        <v>KHF-00-104265-BA-5736-01301-0000-3</v>
      </c>
      <c r="C78" s="31" t="s">
        <v>291</v>
      </c>
      <c r="D78" s="32" t="s">
        <v>316</v>
      </c>
      <c r="E78" s="20">
        <v>3</v>
      </c>
      <c r="F78" s="20"/>
      <c r="G78" s="20"/>
      <c r="H78" s="20" t="str">
        <f t="shared" si="69"/>
        <v/>
      </c>
      <c r="I78" s="3" t="str">
        <f t="shared" si="3"/>
        <v/>
      </c>
      <c r="J78" s="15" t="str">
        <f>IFERROR(VLOOKUP(B78,'[1]Incoming from JEL'!$A$6:$G$5002,3,0),"")</f>
        <v/>
      </c>
      <c r="K78" s="15" t="str">
        <f>IFERROR(VLOOKUP(B78,'[1]Incoming from JEL'!$A$6:$G$5002,2,0),"")</f>
        <v/>
      </c>
      <c r="L78" s="15" t="str">
        <f>IFERROR(VLOOKUP(B78,'[1]Incoming from JEL'!$A$6:$G$5002,7,0),"")</f>
        <v/>
      </c>
      <c r="M78" s="15" t="str">
        <f>IFERROR(VLOOKUP(B78,'[2]Outgoing Transmittals to PDO'!$A$6:$G$20000,3,0),"")</f>
        <v/>
      </c>
      <c r="N78" s="15" t="str">
        <f>IFERROR(VLOOKUP(B78,'[2]Outgoing Transmittals to PDO'!$A$6:$G$20000,2,0),"")</f>
        <v/>
      </c>
      <c r="O78" s="15" t="str">
        <f>IFERROR(VLOOKUP(B78,'[2]Outgoing Transmittals to PDO'!$A$6:$G$20000,7,0),"")</f>
        <v/>
      </c>
      <c r="P78" s="15" t="str">
        <f t="shared" si="4"/>
        <v/>
      </c>
      <c r="Q78" s="15" t="str">
        <f>IFERROR(VLOOKUP(B78,'[3]Incoming Transmittals from PDO'!$A$6:$G$20000,3,0),"")</f>
        <v/>
      </c>
      <c r="R78" s="15" t="str">
        <f>IFERROR(VLOOKUP(B78,'[3]Incoming Transmittals from PDO'!$A$6:$G$20000,2,0),"")</f>
        <v/>
      </c>
      <c r="S78" s="15" t="str">
        <f>IFERROR(VLOOKUP(B78,'[3]Incoming Transmittals from PDO'!$A$6:$G$20000,7,0),"")</f>
        <v/>
      </c>
      <c r="T78" s="15" t="str">
        <f>IFERROR(VLOOKUP(B78,'[1]Outgoing to JEL'!$A$6:$G$5000,3,0),"")</f>
        <v/>
      </c>
      <c r="U78" s="15" t="str">
        <f>IFERROR(VLOOKUP(B78,'[1]Outgoing to JEL'!$A$6:$G$5000,2,0),"")</f>
        <v/>
      </c>
      <c r="V78" s="15" t="str">
        <f>IFERROR(VLOOKUP(B78,'[1]Outgoing to JEL'!$A$6:$G$5000,7,0),"")</f>
        <v/>
      </c>
      <c r="W78" s="3" t="str">
        <f t="shared" si="5"/>
        <v/>
      </c>
    </row>
    <row r="79" spans="1:23" s="16" customFormat="1" x14ac:dyDescent="0.2">
      <c r="A79" s="97">
        <f t="shared" ref="A79" si="71">A76+1</f>
        <v>24</v>
      </c>
      <c r="B79" s="30" t="str">
        <f t="shared" si="70"/>
        <v>KHF-00-104265-HX-6180-01301-0000-1</v>
      </c>
      <c r="C79" s="31" t="s">
        <v>381</v>
      </c>
      <c r="D79" s="32" t="s">
        <v>382</v>
      </c>
      <c r="E79" s="20">
        <v>1</v>
      </c>
      <c r="F79" s="20"/>
      <c r="G79" s="20"/>
      <c r="H79" s="20" t="str">
        <f t="shared" si="69"/>
        <v>L</v>
      </c>
      <c r="I79" s="3">
        <f t="shared" ref="I79:I82" si="72">J79</f>
        <v>43555</v>
      </c>
      <c r="J79" s="15">
        <f>IFERROR(VLOOKUP(B79,'[1]Incoming from JEL'!$A$6:$G$5002,3,0),"")</f>
        <v>43555</v>
      </c>
      <c r="K79" s="15" t="str">
        <f>IFERROR(VLOOKUP(B79,'[1]Incoming from JEL'!$A$6:$G$5002,2,0),"")</f>
        <v>AIP-YKP-JEL-T-0028R1</v>
      </c>
      <c r="L79" s="15" t="str">
        <f>IFERROR(VLOOKUP(B79,'[1]Incoming from JEL'!$A$6:$G$5002,7,0),"")</f>
        <v>IFR</v>
      </c>
      <c r="M79" s="15">
        <f>IFERROR(VLOOKUP(B79,'[2]Outgoing Transmittals to PDO'!$A$6:$G$20000,3,0),"")</f>
        <v>43565</v>
      </c>
      <c r="N79" s="15" t="str">
        <f>IFERROR(VLOOKUP(B79,'[2]Outgoing Transmittals to PDO'!$A$6:$G$20000,2,0),"")</f>
        <v>AIP-PDO-P1701009-T-1146</v>
      </c>
      <c r="O79" s="15" t="str">
        <f>IFERROR(VLOOKUP(B79,'[2]Outgoing Transmittals to PDO'!$A$6:$G$20000,7,0),"")</f>
        <v>IFR</v>
      </c>
      <c r="P79" s="15">
        <f t="shared" si="4"/>
        <v>43579</v>
      </c>
      <c r="Q79" s="15">
        <f>IFERROR(VLOOKUP(B79,'[3]Incoming Transmittals from PDO'!$A$6:$G$20000,3,0),"")</f>
        <v>43572</v>
      </c>
      <c r="R79" s="15" t="str">
        <f>IFERROR(VLOOKUP(B79,'[3]Incoming Transmittals from PDO'!$A$6:$G$20000,2,0),"")</f>
        <v>KHF_AIP_D_EXT_01175</v>
      </c>
      <c r="S79" s="15" t="str">
        <f>IFERROR(VLOOKUP(B79,'[3]Incoming Transmittals from PDO'!$A$6:$G$20000,7,0),"")</f>
        <v>Code A</v>
      </c>
      <c r="T79" s="15">
        <f>IFERROR(VLOOKUP(B79,'[1]Outgoing to JEL'!$A$6:$G$5000,3,0),"")</f>
        <v>43573</v>
      </c>
      <c r="U79" s="15" t="str">
        <f>IFERROR(VLOOKUP(B79,'[1]Outgoing to JEL'!$A$6:$G$5000,2,0),"")</f>
        <v>AIP-YKP-JEL-P1701009-T-0021</v>
      </c>
      <c r="V79" s="15" t="str">
        <f>IFERROR(VLOOKUP(B79,'[1]Outgoing to JEL'!$A$6:$G$5000,7,0),"")</f>
        <v>Code A</v>
      </c>
      <c r="W79" s="3" t="str">
        <f t="shared" si="5"/>
        <v>Approved by PDO</v>
      </c>
    </row>
    <row r="80" spans="1:23" s="16" customFormat="1" x14ac:dyDescent="0.2">
      <c r="A80" s="98"/>
      <c r="B80" s="30" t="str">
        <f t="shared" si="70"/>
        <v>KHF-00-104265-HX-6180-01301-0000-2</v>
      </c>
      <c r="C80" s="31" t="s">
        <v>381</v>
      </c>
      <c r="D80" s="32" t="s">
        <v>382</v>
      </c>
      <c r="E80" s="20">
        <v>2</v>
      </c>
      <c r="F80" s="20"/>
      <c r="G80" s="20"/>
      <c r="H80" s="20" t="str">
        <f t="shared" si="69"/>
        <v/>
      </c>
      <c r="I80" s="3" t="str">
        <f t="shared" si="3"/>
        <v/>
      </c>
      <c r="J80" s="15" t="str">
        <f>IFERROR(VLOOKUP(B80,'[1]Incoming from JEL'!$A$6:$G$5002,3,0),"")</f>
        <v/>
      </c>
      <c r="K80" s="15" t="str">
        <f>IFERROR(VLOOKUP(B80,'[1]Incoming from JEL'!$A$6:$G$5002,2,0),"")</f>
        <v/>
      </c>
      <c r="L80" s="15" t="str">
        <f>IFERROR(VLOOKUP(B80,'[1]Incoming from JEL'!$A$6:$G$5002,7,0),"")</f>
        <v/>
      </c>
      <c r="M80" s="15" t="str">
        <f>IFERROR(VLOOKUP(B80,'[2]Outgoing Transmittals to PDO'!$A$6:$G$20000,3,0),"")</f>
        <v/>
      </c>
      <c r="N80" s="15" t="str">
        <f>IFERROR(VLOOKUP(B80,'[2]Outgoing Transmittals to PDO'!$A$6:$G$20000,2,0),"")</f>
        <v/>
      </c>
      <c r="O80" s="15" t="str">
        <f>IFERROR(VLOOKUP(B80,'[2]Outgoing Transmittals to PDO'!$A$6:$G$20000,7,0),"")</f>
        <v/>
      </c>
      <c r="P80" s="15" t="str">
        <f t="shared" si="4"/>
        <v/>
      </c>
      <c r="Q80" s="15" t="str">
        <f>IFERROR(VLOOKUP(B80,'[3]Incoming Transmittals from PDO'!$A$6:$G$20000,3,0),"")</f>
        <v/>
      </c>
      <c r="R80" s="15" t="str">
        <f>IFERROR(VLOOKUP(B80,'[3]Incoming Transmittals from PDO'!$A$6:$G$20000,2,0),"")</f>
        <v/>
      </c>
      <c r="S80" s="15" t="str">
        <f>IFERROR(VLOOKUP(B80,'[3]Incoming Transmittals from PDO'!$A$6:$G$20000,7,0),"")</f>
        <v/>
      </c>
      <c r="T80" s="15" t="str">
        <f>IFERROR(VLOOKUP(B80,'[1]Outgoing to JEL'!$A$6:$G$5000,3,0),"")</f>
        <v/>
      </c>
      <c r="U80" s="15" t="str">
        <f>IFERROR(VLOOKUP(B80,'[1]Outgoing to JEL'!$A$6:$G$5000,2,0),"")</f>
        <v/>
      </c>
      <c r="V80" s="15" t="str">
        <f>IFERROR(VLOOKUP(B80,'[1]Outgoing to JEL'!$A$6:$G$5000,7,0),"")</f>
        <v/>
      </c>
      <c r="W80" s="3" t="str">
        <f t="shared" si="5"/>
        <v/>
      </c>
    </row>
    <row r="81" spans="1:23" s="16" customFormat="1" x14ac:dyDescent="0.2">
      <c r="A81" s="99"/>
      <c r="B81" s="30" t="str">
        <f t="shared" si="70"/>
        <v>KHF-00-104265-HX-6180-01301-0000-3</v>
      </c>
      <c r="C81" s="31" t="s">
        <v>381</v>
      </c>
      <c r="D81" s="32" t="s">
        <v>382</v>
      </c>
      <c r="E81" s="20">
        <v>3</v>
      </c>
      <c r="F81" s="20"/>
      <c r="G81" s="20"/>
      <c r="H81" s="20" t="str">
        <f t="shared" si="69"/>
        <v/>
      </c>
      <c r="I81" s="3" t="str">
        <f t="shared" si="3"/>
        <v/>
      </c>
      <c r="J81" s="15" t="str">
        <f>IFERROR(VLOOKUP(B81,'[1]Incoming from JEL'!$A$6:$G$5002,3,0),"")</f>
        <v/>
      </c>
      <c r="K81" s="15" t="str">
        <f>IFERROR(VLOOKUP(B81,'[1]Incoming from JEL'!$A$6:$G$5002,2,0),"")</f>
        <v/>
      </c>
      <c r="L81" s="15" t="str">
        <f>IFERROR(VLOOKUP(B81,'[1]Incoming from JEL'!$A$6:$G$5002,7,0),"")</f>
        <v/>
      </c>
      <c r="M81" s="15" t="str">
        <f>IFERROR(VLOOKUP(B81,'[2]Outgoing Transmittals to PDO'!$A$6:$G$20000,3,0),"")</f>
        <v/>
      </c>
      <c r="N81" s="15" t="str">
        <f>IFERROR(VLOOKUP(B81,'[2]Outgoing Transmittals to PDO'!$A$6:$G$20000,2,0),"")</f>
        <v/>
      </c>
      <c r="O81" s="15" t="str">
        <f>IFERROR(VLOOKUP(B81,'[2]Outgoing Transmittals to PDO'!$A$6:$G$20000,7,0),"")</f>
        <v/>
      </c>
      <c r="P81" s="15" t="str">
        <f t="shared" si="4"/>
        <v/>
      </c>
      <c r="Q81" s="15" t="str">
        <f>IFERROR(VLOOKUP(B81,'[3]Incoming Transmittals from PDO'!$A$6:$G$20000,3,0),"")</f>
        <v/>
      </c>
      <c r="R81" s="15" t="str">
        <f>IFERROR(VLOOKUP(B81,'[3]Incoming Transmittals from PDO'!$A$6:$G$20000,2,0),"")</f>
        <v/>
      </c>
      <c r="S81" s="15" t="str">
        <f>IFERROR(VLOOKUP(B81,'[3]Incoming Transmittals from PDO'!$A$6:$G$20000,7,0),"")</f>
        <v/>
      </c>
      <c r="T81" s="15" t="str">
        <f>IFERROR(VLOOKUP(B81,'[1]Outgoing to JEL'!$A$6:$G$5000,3,0),"")</f>
        <v/>
      </c>
      <c r="U81" s="15" t="str">
        <f>IFERROR(VLOOKUP(B81,'[1]Outgoing to JEL'!$A$6:$G$5000,2,0),"")</f>
        <v/>
      </c>
      <c r="V81" s="15" t="str">
        <f>IFERROR(VLOOKUP(B81,'[1]Outgoing to JEL'!$A$6:$G$5000,7,0),"")</f>
        <v/>
      </c>
      <c r="W81" s="3" t="str">
        <f t="shared" si="5"/>
        <v/>
      </c>
    </row>
    <row r="82" spans="1:23" s="16" customFormat="1" x14ac:dyDescent="0.2">
      <c r="A82" s="97">
        <f t="shared" ref="A82" si="73">A79+1</f>
        <v>25</v>
      </c>
      <c r="B82" s="30" t="str">
        <f t="shared" ref="B82:B123" si="74">CONCATENATE(C82,"-",E82)</f>
        <v>KHF-00-104265-BA-6070-01307-0000-1</v>
      </c>
      <c r="C82" s="31" t="s">
        <v>292</v>
      </c>
      <c r="D82" s="32" t="s">
        <v>293</v>
      </c>
      <c r="E82" s="20">
        <v>1</v>
      </c>
      <c r="F82" s="20"/>
      <c r="G82" s="20"/>
      <c r="H82" s="20" t="str">
        <f t="shared" ref="H82:H124" si="75">IF(AND(C82=C83,J83="",J82&lt;&gt;""),"L","")</f>
        <v/>
      </c>
      <c r="I82" s="3" t="str">
        <f t="shared" si="72"/>
        <v/>
      </c>
      <c r="J82" s="15" t="str">
        <f>IFERROR(VLOOKUP(B82,'[1]Incoming from JEL'!$A$6:$G$5002,3,0),"")</f>
        <v/>
      </c>
      <c r="K82" s="15" t="str">
        <f>IFERROR(VLOOKUP(B82,'[1]Incoming from JEL'!$A$6:$G$5002,2,0),"")</f>
        <v/>
      </c>
      <c r="L82" s="15" t="str">
        <f>IFERROR(VLOOKUP(B82,'[1]Incoming from JEL'!$A$6:$G$5002,7,0),"")</f>
        <v/>
      </c>
      <c r="M82" s="15" t="str">
        <f>IFERROR(VLOOKUP(B82,'[2]Outgoing Transmittals to PDO'!$A$6:$G$20000,3,0),"")</f>
        <v/>
      </c>
      <c r="N82" s="15" t="str">
        <f>IFERROR(VLOOKUP(B82,'[2]Outgoing Transmittals to PDO'!$A$6:$G$20000,2,0),"")</f>
        <v/>
      </c>
      <c r="O82" s="15" t="str">
        <f>IFERROR(VLOOKUP(B82,'[2]Outgoing Transmittals to PDO'!$A$6:$G$20000,7,0),"")</f>
        <v/>
      </c>
      <c r="P82" s="15" t="str">
        <f t="shared" si="4"/>
        <v/>
      </c>
      <c r="Q82" s="15" t="str">
        <f>IFERROR(VLOOKUP(B82,'[3]Incoming Transmittals from PDO'!$A$6:$G$20000,3,0),"")</f>
        <v/>
      </c>
      <c r="R82" s="15" t="str">
        <f>IFERROR(VLOOKUP(B82,'[3]Incoming Transmittals from PDO'!$A$6:$G$20000,2,0),"")</f>
        <v/>
      </c>
      <c r="S82" s="15" t="str">
        <f>IFERROR(VLOOKUP(B82,'[3]Incoming Transmittals from PDO'!$A$6:$G$20000,7,0),"")</f>
        <v/>
      </c>
      <c r="T82" s="15" t="str">
        <f>IFERROR(VLOOKUP(B82,'[1]Outgoing to JEL'!$A$6:$G$5000,3,0),"")</f>
        <v/>
      </c>
      <c r="U82" s="15" t="str">
        <f>IFERROR(VLOOKUP(B82,'[1]Outgoing to JEL'!$A$6:$G$5000,2,0),"")</f>
        <v/>
      </c>
      <c r="V82" s="15" t="str">
        <f>IFERROR(VLOOKUP(B82,'[1]Outgoing to JEL'!$A$6:$G$5000,7,0),"")</f>
        <v/>
      </c>
      <c r="W82" s="3" t="str">
        <f t="shared" si="5"/>
        <v/>
      </c>
    </row>
    <row r="83" spans="1:23" s="16" customFormat="1" x14ac:dyDescent="0.2">
      <c r="A83" s="98"/>
      <c r="B83" s="30" t="str">
        <f t="shared" si="74"/>
        <v>KHF-00-104265-BA-6070-01307-0000-2</v>
      </c>
      <c r="C83" s="31" t="s">
        <v>292</v>
      </c>
      <c r="D83" s="32" t="s">
        <v>293</v>
      </c>
      <c r="E83" s="20">
        <v>2</v>
      </c>
      <c r="F83" s="20"/>
      <c r="G83" s="20"/>
      <c r="H83" s="20" t="str">
        <f t="shared" si="75"/>
        <v/>
      </c>
      <c r="I83" s="3" t="str">
        <f t="shared" si="3"/>
        <v/>
      </c>
      <c r="J83" s="15" t="str">
        <f>IFERROR(VLOOKUP(B83,'[1]Incoming from JEL'!$A$6:$G$5002,3,0),"")</f>
        <v/>
      </c>
      <c r="K83" s="15" t="str">
        <f>IFERROR(VLOOKUP(B83,'[1]Incoming from JEL'!$A$6:$G$5002,2,0),"")</f>
        <v/>
      </c>
      <c r="L83" s="15" t="str">
        <f>IFERROR(VLOOKUP(B83,'[1]Incoming from JEL'!$A$6:$G$5002,7,0),"")</f>
        <v/>
      </c>
      <c r="M83" s="15" t="str">
        <f>IFERROR(VLOOKUP(B83,'[2]Outgoing Transmittals to PDO'!$A$6:$G$20000,3,0),"")</f>
        <v/>
      </c>
      <c r="N83" s="15" t="str">
        <f>IFERROR(VLOOKUP(B83,'[2]Outgoing Transmittals to PDO'!$A$6:$G$20000,2,0),"")</f>
        <v/>
      </c>
      <c r="O83" s="15" t="str">
        <f>IFERROR(VLOOKUP(B83,'[2]Outgoing Transmittals to PDO'!$A$6:$G$20000,7,0),"")</f>
        <v/>
      </c>
      <c r="P83" s="15" t="str">
        <f t="shared" si="4"/>
        <v/>
      </c>
      <c r="Q83" s="15" t="str">
        <f>IFERROR(VLOOKUP(B83,'[3]Incoming Transmittals from PDO'!$A$6:$G$20000,3,0),"")</f>
        <v/>
      </c>
      <c r="R83" s="15" t="str">
        <f>IFERROR(VLOOKUP(B83,'[3]Incoming Transmittals from PDO'!$A$6:$G$20000,2,0),"")</f>
        <v/>
      </c>
      <c r="S83" s="15" t="str">
        <f>IFERROR(VLOOKUP(B83,'[3]Incoming Transmittals from PDO'!$A$6:$G$20000,7,0),"")</f>
        <v/>
      </c>
      <c r="T83" s="15" t="str">
        <f>IFERROR(VLOOKUP(B83,'[1]Outgoing to JEL'!$A$6:$G$5000,3,0),"")</f>
        <v/>
      </c>
      <c r="U83" s="15" t="str">
        <f>IFERROR(VLOOKUP(B83,'[1]Outgoing to JEL'!$A$6:$G$5000,2,0),"")</f>
        <v/>
      </c>
      <c r="V83" s="15" t="str">
        <f>IFERROR(VLOOKUP(B83,'[1]Outgoing to JEL'!$A$6:$G$5000,7,0),"")</f>
        <v/>
      </c>
      <c r="W83" s="3" t="str">
        <f t="shared" si="5"/>
        <v/>
      </c>
    </row>
    <row r="84" spans="1:23" s="16" customFormat="1" x14ac:dyDescent="0.2">
      <c r="A84" s="99"/>
      <c r="B84" s="30" t="str">
        <f t="shared" si="74"/>
        <v>KHF-00-104265-BA-6070-01307-0000-3</v>
      </c>
      <c r="C84" s="31" t="s">
        <v>292</v>
      </c>
      <c r="D84" s="32" t="s">
        <v>293</v>
      </c>
      <c r="E84" s="20">
        <v>3</v>
      </c>
      <c r="F84" s="20"/>
      <c r="G84" s="20"/>
      <c r="H84" s="20" t="str">
        <f t="shared" si="75"/>
        <v/>
      </c>
      <c r="I84" s="3" t="str">
        <f t="shared" si="3"/>
        <v/>
      </c>
      <c r="J84" s="15" t="str">
        <f>IFERROR(VLOOKUP(B84,'[1]Incoming from JEL'!$A$6:$G$5002,3,0),"")</f>
        <v/>
      </c>
      <c r="K84" s="15" t="str">
        <f>IFERROR(VLOOKUP(B84,'[1]Incoming from JEL'!$A$6:$G$5002,2,0),"")</f>
        <v/>
      </c>
      <c r="L84" s="15" t="str">
        <f>IFERROR(VLOOKUP(B84,'[1]Incoming from JEL'!$A$6:$G$5002,7,0),"")</f>
        <v/>
      </c>
      <c r="M84" s="15" t="str">
        <f>IFERROR(VLOOKUP(B84,'[2]Outgoing Transmittals to PDO'!$A$6:$G$20000,3,0),"")</f>
        <v/>
      </c>
      <c r="N84" s="15" t="str">
        <f>IFERROR(VLOOKUP(B84,'[2]Outgoing Transmittals to PDO'!$A$6:$G$20000,2,0),"")</f>
        <v/>
      </c>
      <c r="O84" s="15" t="str">
        <f>IFERROR(VLOOKUP(B84,'[2]Outgoing Transmittals to PDO'!$A$6:$G$20000,7,0),"")</f>
        <v/>
      </c>
      <c r="P84" s="15" t="str">
        <f t="shared" si="4"/>
        <v/>
      </c>
      <c r="Q84" s="15" t="str">
        <f>IFERROR(VLOOKUP(B84,'[3]Incoming Transmittals from PDO'!$A$6:$G$20000,3,0),"")</f>
        <v/>
      </c>
      <c r="R84" s="15" t="str">
        <f>IFERROR(VLOOKUP(B84,'[3]Incoming Transmittals from PDO'!$A$6:$G$20000,2,0),"")</f>
        <v/>
      </c>
      <c r="S84" s="15" t="str">
        <f>IFERROR(VLOOKUP(B84,'[3]Incoming Transmittals from PDO'!$A$6:$G$20000,7,0),"")</f>
        <v/>
      </c>
      <c r="T84" s="15" t="str">
        <f>IFERROR(VLOOKUP(B84,'[1]Outgoing to JEL'!$A$6:$G$5000,3,0),"")</f>
        <v/>
      </c>
      <c r="U84" s="15" t="str">
        <f>IFERROR(VLOOKUP(B84,'[1]Outgoing to JEL'!$A$6:$G$5000,2,0),"")</f>
        <v/>
      </c>
      <c r="V84" s="15" t="str">
        <f>IFERROR(VLOOKUP(B84,'[1]Outgoing to JEL'!$A$6:$G$5000,7,0),"")</f>
        <v/>
      </c>
      <c r="W84" s="3" t="str">
        <f t="shared" si="5"/>
        <v/>
      </c>
    </row>
    <row r="85" spans="1:23" s="16" customFormat="1" x14ac:dyDescent="0.2">
      <c r="A85" s="97">
        <f t="shared" ref="A85" si="76">A82+1</f>
        <v>26</v>
      </c>
      <c r="B85" s="30" t="str">
        <f t="shared" si="74"/>
        <v>KHF-00-104265-BA-6070-01308-0000-1</v>
      </c>
      <c r="C85" s="31" t="s">
        <v>294</v>
      </c>
      <c r="D85" s="32" t="s">
        <v>484</v>
      </c>
      <c r="E85" s="20">
        <v>1</v>
      </c>
      <c r="F85" s="20"/>
      <c r="G85" s="20"/>
      <c r="H85" s="20" t="str">
        <f t="shared" si="75"/>
        <v/>
      </c>
      <c r="I85" s="3" t="str">
        <f>J85</f>
        <v/>
      </c>
      <c r="J85" s="15" t="str">
        <f>IFERROR(VLOOKUP(B85,'[1]Incoming from JEL'!$A$6:$G$5002,3,0),"")</f>
        <v/>
      </c>
      <c r="K85" s="15" t="str">
        <f>IFERROR(VLOOKUP(B85,'[1]Incoming from JEL'!$A$6:$G$5002,2,0),"")</f>
        <v/>
      </c>
      <c r="L85" s="15" t="str">
        <f>IFERROR(VLOOKUP(B85,'[1]Incoming from JEL'!$A$6:$G$5002,7,0),"")</f>
        <v/>
      </c>
      <c r="M85" s="15" t="str">
        <f>IFERROR(VLOOKUP(B85,'[2]Outgoing Transmittals to PDO'!$A$6:$G$20000,3,0),"")</f>
        <v/>
      </c>
      <c r="N85" s="15" t="str">
        <f>IFERROR(VLOOKUP(B85,'[2]Outgoing Transmittals to PDO'!$A$6:$G$20000,2,0),"")</f>
        <v/>
      </c>
      <c r="O85" s="15" t="str">
        <f>IFERROR(VLOOKUP(B85,'[2]Outgoing Transmittals to PDO'!$A$6:$G$20000,7,0),"")</f>
        <v/>
      </c>
      <c r="P85" s="15" t="str">
        <f t="shared" si="4"/>
        <v/>
      </c>
      <c r="Q85" s="15" t="str">
        <f>IFERROR(VLOOKUP(B85,'[3]Incoming Transmittals from PDO'!$A$6:$G$20000,3,0),"")</f>
        <v/>
      </c>
      <c r="R85" s="15" t="str">
        <f>IFERROR(VLOOKUP(B85,'[3]Incoming Transmittals from PDO'!$A$6:$G$20000,2,0),"")</f>
        <v/>
      </c>
      <c r="S85" s="15" t="str">
        <f>IFERROR(VLOOKUP(B85,'[3]Incoming Transmittals from PDO'!$A$6:$G$20000,7,0),"")</f>
        <v/>
      </c>
      <c r="T85" s="15" t="str">
        <f>IFERROR(VLOOKUP(B85,'[1]Outgoing to JEL'!$A$6:$G$5000,3,0),"")</f>
        <v/>
      </c>
      <c r="U85" s="15" t="str">
        <f>IFERROR(VLOOKUP(B85,'[1]Outgoing to JEL'!$A$6:$G$5000,2,0),"")</f>
        <v/>
      </c>
      <c r="V85" s="15" t="str">
        <f>IFERROR(VLOOKUP(B85,'[1]Outgoing to JEL'!$A$6:$G$5000,7,0),"")</f>
        <v/>
      </c>
      <c r="W85" s="3" t="str">
        <f t="shared" si="5"/>
        <v/>
      </c>
    </row>
    <row r="86" spans="1:23" s="16" customFormat="1" x14ac:dyDescent="0.2">
      <c r="A86" s="98"/>
      <c r="B86" s="30" t="str">
        <f t="shared" si="74"/>
        <v>KHF-00-104265-BA-6070-01308-0000-2</v>
      </c>
      <c r="C86" s="31" t="s">
        <v>294</v>
      </c>
      <c r="D86" s="32" t="s">
        <v>484</v>
      </c>
      <c r="E86" s="20">
        <v>2</v>
      </c>
      <c r="F86" s="20"/>
      <c r="G86" s="20"/>
      <c r="H86" s="20" t="str">
        <f t="shared" si="75"/>
        <v/>
      </c>
      <c r="I86" s="3" t="str">
        <f t="shared" si="3"/>
        <v/>
      </c>
      <c r="J86" s="15" t="str">
        <f>IFERROR(VLOOKUP(B86,'[1]Incoming from JEL'!$A$6:$G$5002,3,0),"")</f>
        <v/>
      </c>
      <c r="K86" s="15" t="str">
        <f>IFERROR(VLOOKUP(B86,'[1]Incoming from JEL'!$A$6:$G$5002,2,0),"")</f>
        <v/>
      </c>
      <c r="L86" s="15" t="str">
        <f>IFERROR(VLOOKUP(B86,'[1]Incoming from JEL'!$A$6:$G$5002,7,0),"")</f>
        <v/>
      </c>
      <c r="M86" s="15" t="str">
        <f>IFERROR(VLOOKUP(B86,'[2]Outgoing Transmittals to PDO'!$A$6:$G$20000,3,0),"")</f>
        <v/>
      </c>
      <c r="N86" s="15" t="str">
        <f>IFERROR(VLOOKUP(B86,'[2]Outgoing Transmittals to PDO'!$A$6:$G$20000,2,0),"")</f>
        <v/>
      </c>
      <c r="O86" s="15" t="str">
        <f>IFERROR(VLOOKUP(B86,'[2]Outgoing Transmittals to PDO'!$A$6:$G$20000,7,0),"")</f>
        <v/>
      </c>
      <c r="P86" s="15" t="str">
        <f t="shared" si="4"/>
        <v/>
      </c>
      <c r="Q86" s="15" t="str">
        <f>IFERROR(VLOOKUP(B86,'[3]Incoming Transmittals from PDO'!$A$6:$G$20000,3,0),"")</f>
        <v/>
      </c>
      <c r="R86" s="15" t="str">
        <f>IFERROR(VLOOKUP(B86,'[3]Incoming Transmittals from PDO'!$A$6:$G$20000,2,0),"")</f>
        <v/>
      </c>
      <c r="S86" s="15" t="str">
        <f>IFERROR(VLOOKUP(B86,'[3]Incoming Transmittals from PDO'!$A$6:$G$20000,7,0),"")</f>
        <v/>
      </c>
      <c r="T86" s="15" t="str">
        <f>IFERROR(VLOOKUP(B86,'[1]Outgoing to JEL'!$A$6:$G$5000,3,0),"")</f>
        <v/>
      </c>
      <c r="U86" s="15" t="str">
        <f>IFERROR(VLOOKUP(B86,'[1]Outgoing to JEL'!$A$6:$G$5000,2,0),"")</f>
        <v/>
      </c>
      <c r="V86" s="15" t="str">
        <f>IFERROR(VLOOKUP(B86,'[1]Outgoing to JEL'!$A$6:$G$5000,7,0),"")</f>
        <v/>
      </c>
      <c r="W86" s="3" t="str">
        <f t="shared" si="5"/>
        <v/>
      </c>
    </row>
    <row r="87" spans="1:23" s="16" customFormat="1" x14ac:dyDescent="0.2">
      <c r="A87" s="99"/>
      <c r="B87" s="30" t="str">
        <f t="shared" si="74"/>
        <v>KHF-00-104265-BA-6070-01308-0000-3</v>
      </c>
      <c r="C87" s="31" t="s">
        <v>294</v>
      </c>
      <c r="D87" s="32" t="s">
        <v>484</v>
      </c>
      <c r="E87" s="20">
        <v>3</v>
      </c>
      <c r="F87" s="20"/>
      <c r="G87" s="20"/>
      <c r="H87" s="20" t="str">
        <f t="shared" si="75"/>
        <v/>
      </c>
      <c r="I87" s="3" t="str">
        <f t="shared" si="3"/>
        <v/>
      </c>
      <c r="J87" s="15" t="str">
        <f>IFERROR(VLOOKUP(B87,'[1]Incoming from JEL'!$A$6:$G$5002,3,0),"")</f>
        <v/>
      </c>
      <c r="K87" s="15" t="str">
        <f>IFERROR(VLOOKUP(B87,'[1]Incoming from JEL'!$A$6:$G$5002,2,0),"")</f>
        <v/>
      </c>
      <c r="L87" s="15" t="str">
        <f>IFERROR(VLOOKUP(B87,'[1]Incoming from JEL'!$A$6:$G$5002,7,0),"")</f>
        <v/>
      </c>
      <c r="M87" s="15" t="str">
        <f>IFERROR(VLOOKUP(B87,'[2]Outgoing Transmittals to PDO'!$A$6:$G$20000,3,0),"")</f>
        <v/>
      </c>
      <c r="N87" s="15" t="str">
        <f>IFERROR(VLOOKUP(B87,'[2]Outgoing Transmittals to PDO'!$A$6:$G$20000,2,0),"")</f>
        <v/>
      </c>
      <c r="O87" s="15" t="str">
        <f>IFERROR(VLOOKUP(B87,'[2]Outgoing Transmittals to PDO'!$A$6:$G$20000,7,0),"")</f>
        <v/>
      </c>
      <c r="P87" s="15" t="str">
        <f t="shared" si="4"/>
        <v/>
      </c>
      <c r="Q87" s="15" t="str">
        <f>IFERROR(VLOOKUP(B87,'[3]Incoming Transmittals from PDO'!$A$6:$G$20000,3,0),"")</f>
        <v/>
      </c>
      <c r="R87" s="15" t="str">
        <f>IFERROR(VLOOKUP(B87,'[3]Incoming Transmittals from PDO'!$A$6:$G$20000,2,0),"")</f>
        <v/>
      </c>
      <c r="S87" s="15" t="str">
        <f>IFERROR(VLOOKUP(B87,'[3]Incoming Transmittals from PDO'!$A$6:$G$20000,7,0),"")</f>
        <v/>
      </c>
      <c r="T87" s="15" t="str">
        <f>IFERROR(VLOOKUP(B87,'[1]Outgoing to JEL'!$A$6:$G$5000,3,0),"")</f>
        <v/>
      </c>
      <c r="U87" s="15" t="str">
        <f>IFERROR(VLOOKUP(B87,'[1]Outgoing to JEL'!$A$6:$G$5000,2,0),"")</f>
        <v/>
      </c>
      <c r="V87" s="15" t="str">
        <f>IFERROR(VLOOKUP(B87,'[1]Outgoing to JEL'!$A$6:$G$5000,7,0),"")</f>
        <v/>
      </c>
      <c r="W87" s="3" t="str">
        <f t="shared" si="5"/>
        <v/>
      </c>
    </row>
    <row r="88" spans="1:23" s="16" customFormat="1" x14ac:dyDescent="0.2">
      <c r="A88" s="97">
        <f t="shared" ref="A88" si="77">A85+1</f>
        <v>27</v>
      </c>
      <c r="B88" s="30" t="str">
        <f t="shared" si="74"/>
        <v>KHF-00-104265-BA-6070-01309-0000-1</v>
      </c>
      <c r="C88" s="31" t="s">
        <v>295</v>
      </c>
      <c r="D88" s="32" t="s">
        <v>364</v>
      </c>
      <c r="E88" s="20">
        <v>1</v>
      </c>
      <c r="F88" s="20"/>
      <c r="G88" s="20"/>
      <c r="H88" s="20" t="str">
        <f t="shared" si="75"/>
        <v/>
      </c>
      <c r="I88" s="3">
        <v>43459</v>
      </c>
      <c r="J88" s="15">
        <f>IFERROR(VLOOKUP(B88,'[1]Incoming from JEL'!$A$6:$G$5002,3,0),"")</f>
        <v>43480</v>
      </c>
      <c r="K88" s="15" t="str">
        <f>IFERROR(VLOOKUP(B88,'[1]Incoming from JEL'!$A$6:$G$5002,2,0),"")</f>
        <v>AIP-YKP-JEL-T-0014</v>
      </c>
      <c r="L88" s="15" t="str">
        <f>IFERROR(VLOOKUP(B88,'[1]Incoming from JEL'!$A$6:$G$5002,7,0),"")</f>
        <v>IFR</v>
      </c>
      <c r="M88" s="15">
        <f>IFERROR(VLOOKUP(B88,'[2]Outgoing Transmittals to PDO'!$A$6:$G$20000,3,0),"")</f>
        <v>43480</v>
      </c>
      <c r="N88" s="15" t="str">
        <f>IFERROR(VLOOKUP(B88,'[2]Outgoing Transmittals to PDO'!$A$6:$G$20000,2,0),"")</f>
        <v>AIP-PDO-P1701009-T-0921</v>
      </c>
      <c r="O88" s="15" t="str">
        <f>IFERROR(VLOOKUP(B88,'[2]Outgoing Transmittals to PDO'!$A$6:$G$20000,7,0),"")</f>
        <v>IFR</v>
      </c>
      <c r="P88" s="15">
        <f t="shared" si="4"/>
        <v>43494</v>
      </c>
      <c r="Q88" s="15">
        <f>IFERROR(VLOOKUP(B88,'[3]Incoming Transmittals from PDO'!$A$6:$G$20000,3,0),"")</f>
        <v>43541</v>
      </c>
      <c r="R88" s="15" t="str">
        <f>IFERROR(VLOOKUP(B88,'[3]Incoming Transmittals from PDO'!$A$6:$G$20000,2,0),"")</f>
        <v>KHF_AIP_D_EXT_01103</v>
      </c>
      <c r="S88" s="15" t="str">
        <f>IFERROR(VLOOKUP(B88,'[3]Incoming Transmittals from PDO'!$A$6:$G$20000,7,0),"")</f>
        <v>Code B</v>
      </c>
      <c r="T88" s="15">
        <f>IFERROR(VLOOKUP(B88,'[1]Outgoing to JEL'!$A$6:$G$5000,3,0),"")</f>
        <v>43541</v>
      </c>
      <c r="U88" s="15" t="str">
        <f>IFERROR(VLOOKUP(B88,'[1]Outgoing to JEL'!$A$6:$G$5000,2,0),"")</f>
        <v>AIP-YKP-JEL-P1701009-T-0015</v>
      </c>
      <c r="V88" s="15" t="str">
        <f>IFERROR(VLOOKUP(B88,'[1]Outgoing to JEL'!$A$6:$G$5000,7,0),"")</f>
        <v>Code B</v>
      </c>
      <c r="W88" s="3" t="str">
        <f t="shared" si="5"/>
        <v>Comments from PDO</v>
      </c>
    </row>
    <row r="89" spans="1:23" s="16" customFormat="1" x14ac:dyDescent="0.2">
      <c r="A89" s="98"/>
      <c r="B89" s="30" t="str">
        <f t="shared" si="74"/>
        <v>KHF-00-104265-BA-6070-01309-0000-2</v>
      </c>
      <c r="C89" s="31" t="s">
        <v>295</v>
      </c>
      <c r="D89" s="32" t="s">
        <v>364</v>
      </c>
      <c r="E89" s="20">
        <v>2</v>
      </c>
      <c r="F89" s="20"/>
      <c r="G89" s="20"/>
      <c r="H89" s="20" t="str">
        <f t="shared" si="75"/>
        <v>L</v>
      </c>
      <c r="I89" s="3">
        <f t="shared" si="3"/>
        <v>43555</v>
      </c>
      <c r="J89" s="15">
        <f>IFERROR(VLOOKUP(B89,'[1]Incoming from JEL'!$A$6:$G$5002,3,0),"")</f>
        <v>43542</v>
      </c>
      <c r="K89" s="15" t="str">
        <f>IFERROR(VLOOKUP(B89,'[1]Incoming from JEL'!$A$6:$G$5002,2,0),"")</f>
        <v>AIP-YKP-JEL-T-0014R2</v>
      </c>
      <c r="L89" s="15" t="str">
        <f>IFERROR(VLOOKUP(B89,'[1]Incoming from JEL'!$A$6:$G$5002,7,0),"")</f>
        <v>IFA</v>
      </c>
      <c r="M89" s="15">
        <f>IFERROR(VLOOKUP(B89,'[2]Outgoing Transmittals to PDO'!$A$6:$G$20000,3,0),"")</f>
        <v>43545</v>
      </c>
      <c r="N89" s="15" t="str">
        <f>IFERROR(VLOOKUP(B89,'[2]Outgoing Transmittals to PDO'!$A$6:$G$20000,2,0),"")</f>
        <v>AIP-PDO-P1701009-T-1093</v>
      </c>
      <c r="O89" s="15" t="str">
        <f>IFERROR(VLOOKUP(B89,'[2]Outgoing Transmittals to PDO'!$A$6:$G$20000,7,0),"")</f>
        <v>IFA</v>
      </c>
      <c r="P89" s="15">
        <f t="shared" si="4"/>
        <v>43559</v>
      </c>
      <c r="Q89" s="15">
        <f>IFERROR(VLOOKUP(B89,'[3]Incoming Transmittals from PDO'!$A$6:$G$20000,3,0),"")</f>
        <v>43572</v>
      </c>
      <c r="R89" s="15" t="str">
        <f>IFERROR(VLOOKUP(B89,'[3]Incoming Transmittals from PDO'!$A$6:$G$20000,2,0),"")</f>
        <v>KHF_AIP_D_EXT_01173</v>
      </c>
      <c r="S89" s="15" t="str">
        <f>IFERROR(VLOOKUP(B89,'[3]Incoming Transmittals from PDO'!$A$6:$G$20000,7,0),"")</f>
        <v>Code A</v>
      </c>
      <c r="T89" s="15">
        <f>IFERROR(VLOOKUP(B89,'[1]Outgoing to JEL'!$A$6:$G$5000,3,0),"")</f>
        <v>43573</v>
      </c>
      <c r="U89" s="15" t="str">
        <f>IFERROR(VLOOKUP(B89,'[1]Outgoing to JEL'!$A$6:$G$5000,2,0),"")</f>
        <v>AIP-YKP-JEL-P1701009-T-0021</v>
      </c>
      <c r="V89" s="15" t="str">
        <f>IFERROR(VLOOKUP(B89,'[1]Outgoing to JEL'!$A$6:$G$5000,7,0),"")</f>
        <v>Code A</v>
      </c>
      <c r="W89" s="3" t="str">
        <f t="shared" si="5"/>
        <v>Approved by PDO</v>
      </c>
    </row>
    <row r="90" spans="1:23" s="16" customFormat="1" x14ac:dyDescent="0.2">
      <c r="A90" s="99"/>
      <c r="B90" s="30" t="str">
        <f t="shared" si="74"/>
        <v>KHF-00-104265-BA-6070-01309-0000-3</v>
      </c>
      <c r="C90" s="31" t="s">
        <v>295</v>
      </c>
      <c r="D90" s="32" t="s">
        <v>364</v>
      </c>
      <c r="E90" s="20">
        <v>3</v>
      </c>
      <c r="F90" s="20"/>
      <c r="G90" s="20"/>
      <c r="H90" s="20" t="str">
        <f t="shared" si="75"/>
        <v/>
      </c>
      <c r="I90" s="3" t="str">
        <f t="shared" si="3"/>
        <v/>
      </c>
      <c r="J90" s="15" t="str">
        <f>IFERROR(VLOOKUP(B90,'[1]Incoming from JEL'!$A$6:$G$5002,3,0),"")</f>
        <v/>
      </c>
      <c r="K90" s="15" t="str">
        <f>IFERROR(VLOOKUP(B90,'[1]Incoming from JEL'!$A$6:$G$5002,2,0),"")</f>
        <v/>
      </c>
      <c r="L90" s="15" t="str">
        <f>IFERROR(VLOOKUP(B90,'[1]Incoming from JEL'!$A$6:$G$5002,7,0),"")</f>
        <v/>
      </c>
      <c r="M90" s="15" t="str">
        <f>IFERROR(VLOOKUP(B90,'[2]Outgoing Transmittals to PDO'!$A$6:$G$20000,3,0),"")</f>
        <v/>
      </c>
      <c r="N90" s="15" t="str">
        <f>IFERROR(VLOOKUP(B90,'[2]Outgoing Transmittals to PDO'!$A$6:$G$20000,2,0),"")</f>
        <v/>
      </c>
      <c r="O90" s="15" t="str">
        <f>IFERROR(VLOOKUP(B90,'[2]Outgoing Transmittals to PDO'!$A$6:$G$20000,7,0),"")</f>
        <v/>
      </c>
      <c r="P90" s="15" t="str">
        <f t="shared" si="4"/>
        <v/>
      </c>
      <c r="Q90" s="15" t="str">
        <f>IFERROR(VLOOKUP(B90,'[3]Incoming Transmittals from PDO'!$A$6:$G$20000,3,0),"")</f>
        <v/>
      </c>
      <c r="R90" s="15" t="str">
        <f>IFERROR(VLOOKUP(B90,'[3]Incoming Transmittals from PDO'!$A$6:$G$20000,2,0),"")</f>
        <v/>
      </c>
      <c r="S90" s="15" t="str">
        <f>IFERROR(VLOOKUP(B90,'[3]Incoming Transmittals from PDO'!$A$6:$G$20000,7,0),"")</f>
        <v/>
      </c>
      <c r="T90" s="15" t="str">
        <f>IFERROR(VLOOKUP(B90,'[1]Outgoing to JEL'!$A$6:$G$5000,3,0),"")</f>
        <v/>
      </c>
      <c r="U90" s="15" t="str">
        <f>IFERROR(VLOOKUP(B90,'[1]Outgoing to JEL'!$A$6:$G$5000,2,0),"")</f>
        <v/>
      </c>
      <c r="V90" s="15" t="str">
        <f>IFERROR(VLOOKUP(B90,'[1]Outgoing to JEL'!$A$6:$G$5000,7,0),"")</f>
        <v/>
      </c>
      <c r="W90" s="3" t="str">
        <f t="shared" si="5"/>
        <v/>
      </c>
    </row>
    <row r="91" spans="1:23" s="16" customFormat="1" x14ac:dyDescent="0.2">
      <c r="A91" s="97">
        <f t="shared" ref="A91" si="78">A88+1</f>
        <v>28</v>
      </c>
      <c r="B91" s="30" t="str">
        <f t="shared" si="74"/>
        <v>KHF-00-104265-BA-6070-01310-0000-1</v>
      </c>
      <c r="C91" s="31" t="s">
        <v>296</v>
      </c>
      <c r="D91" s="32" t="s">
        <v>486</v>
      </c>
      <c r="E91" s="20">
        <v>1</v>
      </c>
      <c r="F91" s="20"/>
      <c r="G91" s="20"/>
      <c r="H91" s="20" t="str">
        <f t="shared" si="75"/>
        <v/>
      </c>
      <c r="I91" s="3">
        <v>43459</v>
      </c>
      <c r="J91" s="15">
        <f>IFERROR(VLOOKUP(B91,'[1]Incoming from JEL'!$A$6:$G$5002,3,0),"")</f>
        <v>43467</v>
      </c>
      <c r="K91" s="15" t="str">
        <f>IFERROR(VLOOKUP(B91,'[1]Incoming from JEL'!$A$6:$G$5002,2,0),"")</f>
        <v>AIP-YKP-JEL-T-0012</v>
      </c>
      <c r="L91" s="15" t="str">
        <f>IFERROR(VLOOKUP(B91,'[1]Incoming from JEL'!$A$6:$G$5002,7,0),"")</f>
        <v>IFR</v>
      </c>
      <c r="M91" s="15">
        <f>IFERROR(VLOOKUP(B91,'[2]Outgoing Transmittals to PDO'!$A$6:$G$20000,3,0),"")</f>
        <v>43486</v>
      </c>
      <c r="N91" s="15" t="str">
        <f>IFERROR(VLOOKUP(B91,'[2]Outgoing Transmittals to PDO'!$A$6:$G$20000,2,0),"")</f>
        <v>AIP-PDO-P1701009-T-0930</v>
      </c>
      <c r="O91" s="15" t="str">
        <f>IFERROR(VLOOKUP(B91,'[2]Outgoing Transmittals to PDO'!$A$6:$G$20000,7,0),"")</f>
        <v>IFR</v>
      </c>
      <c r="P91" s="15">
        <f t="shared" si="4"/>
        <v>43500</v>
      </c>
      <c r="Q91" s="15">
        <f>IFERROR(VLOOKUP(B91,'[3]Incoming Transmittals from PDO'!$A$6:$G$20000,3,0),"")</f>
        <v>43514</v>
      </c>
      <c r="R91" s="15" t="str">
        <f>IFERROR(VLOOKUP(B91,'[3]Incoming Transmittals from PDO'!$A$6:$G$20000,2,0),"")</f>
        <v>KHF_AIP_D_EXT_01018</v>
      </c>
      <c r="S91" s="15" t="str">
        <f>IFERROR(VLOOKUP(B91,'[3]Incoming Transmittals from PDO'!$A$6:$G$20000,7,0),"")</f>
        <v>Code B</v>
      </c>
      <c r="T91" s="15">
        <f>IFERROR(VLOOKUP(B91,'[1]Outgoing to JEL'!$A$6:$G$5000,3,0),"")</f>
        <v>43514</v>
      </c>
      <c r="U91" s="15" t="str">
        <f>IFERROR(VLOOKUP(B91,'[1]Outgoing to JEL'!$A$6:$G$5000,2,0),"")</f>
        <v>AIP-YKP-JEL-P1701009-T-0009</v>
      </c>
      <c r="V91" s="15" t="str">
        <f>IFERROR(VLOOKUP(B91,'[1]Outgoing to JEL'!$A$6:$G$5000,7,0),"")</f>
        <v>Code B</v>
      </c>
      <c r="W91" s="3" t="str">
        <f t="shared" si="5"/>
        <v>Comments from PDO</v>
      </c>
    </row>
    <row r="92" spans="1:23" s="16" customFormat="1" x14ac:dyDescent="0.2">
      <c r="A92" s="98"/>
      <c r="B92" s="30" t="str">
        <f t="shared" si="74"/>
        <v>KHF-00-104265-BA-6070-01310-0000-2</v>
      </c>
      <c r="C92" s="31" t="s">
        <v>296</v>
      </c>
      <c r="D92" s="32" t="s">
        <v>486</v>
      </c>
      <c r="E92" s="20">
        <v>2</v>
      </c>
      <c r="F92" s="20"/>
      <c r="G92" s="20"/>
      <c r="H92" s="20" t="str">
        <f t="shared" si="75"/>
        <v>L</v>
      </c>
      <c r="I92" s="3">
        <f t="shared" si="3"/>
        <v>43528</v>
      </c>
      <c r="J92" s="15">
        <f>IFERROR(VLOOKUP(B92,'[1]Incoming from JEL'!$A$6:$G$5002,3,0),"")</f>
        <v>43566</v>
      </c>
      <c r="K92" s="15" t="str">
        <f>IFERROR(VLOOKUP(B92,'[1]Incoming from JEL'!$A$6:$G$5002,2,0),"")</f>
        <v>AIP-YKP-JEL-T-0012R2</v>
      </c>
      <c r="L92" s="15" t="str">
        <f>IFERROR(VLOOKUP(B92,'[1]Incoming from JEL'!$A$6:$G$5002,7,0),"")</f>
        <v>IFA</v>
      </c>
      <c r="M92" s="15">
        <f>IFERROR(VLOOKUP(B92,'[2]Outgoing Transmittals to PDO'!$A$6:$G$20000,3,0),"")</f>
        <v>43569</v>
      </c>
      <c r="N92" s="15" t="str">
        <f>IFERROR(VLOOKUP(B92,'[2]Outgoing Transmittals to PDO'!$A$6:$G$20000,2,0),"")</f>
        <v>AIP-PDO-P1701009-T-1156</v>
      </c>
      <c r="O92" s="15" t="str">
        <f>IFERROR(VLOOKUP(B92,'[2]Outgoing Transmittals to PDO'!$A$6:$G$20000,7,0),"")</f>
        <v>IFA</v>
      </c>
      <c r="P92" s="15">
        <f t="shared" si="4"/>
        <v>43583</v>
      </c>
      <c r="Q92" s="15">
        <f>IFERROR(VLOOKUP(B92,'[3]Incoming Transmittals from PDO'!$A$6:$G$20000,3,0),"")</f>
        <v>43576</v>
      </c>
      <c r="R92" s="15" t="str">
        <f>IFERROR(VLOOKUP(B92,'[3]Incoming Transmittals from PDO'!$A$6:$G$20000,2,0),"")</f>
        <v>KHF_AIP_D_EXT_01187</v>
      </c>
      <c r="S92" s="15" t="str">
        <f>IFERROR(VLOOKUP(B92,'[3]Incoming Transmittals from PDO'!$A$6:$G$20000,7,0),"")</f>
        <v>Code A</v>
      </c>
      <c r="T92" s="15">
        <f>IFERROR(VLOOKUP(B92,'[1]Outgoing to JEL'!$A$6:$G$5000,3,0),"")</f>
        <v>43578</v>
      </c>
      <c r="U92" s="15" t="str">
        <f>IFERROR(VLOOKUP(B92,'[1]Outgoing to JEL'!$A$6:$G$5000,2,0),"")</f>
        <v>AIP-YKP-JEL-P1701009-T-0022</v>
      </c>
      <c r="V92" s="15" t="str">
        <f>IFERROR(VLOOKUP(B92,'[1]Outgoing to JEL'!$A$6:$G$5000,7,0),"")</f>
        <v>Code A</v>
      </c>
      <c r="W92" s="3" t="str">
        <f t="shared" si="5"/>
        <v>Approved by PDO</v>
      </c>
    </row>
    <row r="93" spans="1:23" s="16" customFormat="1" x14ac:dyDescent="0.2">
      <c r="A93" s="99"/>
      <c r="B93" s="30" t="str">
        <f t="shared" si="74"/>
        <v>KHF-00-104265-BA-6070-01310-0000-3</v>
      </c>
      <c r="C93" s="31" t="s">
        <v>296</v>
      </c>
      <c r="D93" s="32" t="s">
        <v>486</v>
      </c>
      <c r="E93" s="20">
        <v>3</v>
      </c>
      <c r="F93" s="20"/>
      <c r="G93" s="20"/>
      <c r="H93" s="20" t="str">
        <f t="shared" si="75"/>
        <v/>
      </c>
      <c r="I93" s="3" t="str">
        <f t="shared" si="3"/>
        <v/>
      </c>
      <c r="J93" s="15" t="str">
        <f>IFERROR(VLOOKUP(B93,'[1]Incoming from JEL'!$A$6:$G$5002,3,0),"")</f>
        <v/>
      </c>
      <c r="K93" s="15" t="str">
        <f>IFERROR(VLOOKUP(B93,'[1]Incoming from JEL'!$A$6:$G$5002,2,0),"")</f>
        <v/>
      </c>
      <c r="L93" s="15" t="str">
        <f>IFERROR(VLOOKUP(B93,'[1]Incoming from JEL'!$A$6:$G$5002,7,0),"")</f>
        <v/>
      </c>
      <c r="M93" s="15" t="str">
        <f>IFERROR(VLOOKUP(B93,'[2]Outgoing Transmittals to PDO'!$A$6:$G$20000,3,0),"")</f>
        <v/>
      </c>
      <c r="N93" s="15" t="str">
        <f>IFERROR(VLOOKUP(B93,'[2]Outgoing Transmittals to PDO'!$A$6:$G$20000,2,0),"")</f>
        <v/>
      </c>
      <c r="O93" s="15" t="str">
        <f>IFERROR(VLOOKUP(B93,'[2]Outgoing Transmittals to PDO'!$A$6:$G$20000,7,0),"")</f>
        <v/>
      </c>
      <c r="P93" s="15" t="str">
        <f t="shared" si="4"/>
        <v/>
      </c>
      <c r="Q93" s="15" t="str">
        <f>IFERROR(VLOOKUP(B93,'[3]Incoming Transmittals from PDO'!$A$6:$G$20000,3,0),"")</f>
        <v/>
      </c>
      <c r="R93" s="15" t="str">
        <f>IFERROR(VLOOKUP(B93,'[3]Incoming Transmittals from PDO'!$A$6:$G$20000,2,0),"")</f>
        <v/>
      </c>
      <c r="S93" s="15" t="str">
        <f>IFERROR(VLOOKUP(B93,'[3]Incoming Transmittals from PDO'!$A$6:$G$20000,7,0),"")</f>
        <v/>
      </c>
      <c r="T93" s="15" t="str">
        <f>IFERROR(VLOOKUP(B93,'[1]Outgoing to JEL'!$A$6:$G$5000,3,0),"")</f>
        <v/>
      </c>
      <c r="U93" s="15" t="str">
        <f>IFERROR(VLOOKUP(B93,'[1]Outgoing to JEL'!$A$6:$G$5000,2,0),"")</f>
        <v/>
      </c>
      <c r="V93" s="15" t="str">
        <f>IFERROR(VLOOKUP(B93,'[1]Outgoing to JEL'!$A$6:$G$5000,7,0),"")</f>
        <v/>
      </c>
      <c r="W93" s="3" t="str">
        <f t="shared" si="5"/>
        <v/>
      </c>
    </row>
    <row r="94" spans="1:23" s="16" customFormat="1" x14ac:dyDescent="0.2">
      <c r="A94" s="97">
        <f t="shared" ref="A94" si="79">A91+1</f>
        <v>29</v>
      </c>
      <c r="B94" s="30" t="str">
        <f t="shared" si="74"/>
        <v>KHF-00-104265-BA-6070-01311-0000-1</v>
      </c>
      <c r="C94" s="31" t="s">
        <v>297</v>
      </c>
      <c r="D94" s="32" t="s">
        <v>310</v>
      </c>
      <c r="E94" s="20">
        <v>1</v>
      </c>
      <c r="F94" s="20"/>
      <c r="G94" s="20"/>
      <c r="H94" s="20" t="str">
        <f t="shared" si="75"/>
        <v/>
      </c>
      <c r="I94" s="3" t="str">
        <f t="shared" ref="I94" si="80">J94</f>
        <v/>
      </c>
      <c r="J94" s="15" t="str">
        <f>IFERROR(VLOOKUP(B94,'[1]Incoming from JEL'!$A$6:$G$5002,3,0),"")</f>
        <v/>
      </c>
      <c r="K94" s="15" t="str">
        <f>IFERROR(VLOOKUP(B94,'[1]Incoming from JEL'!$A$6:$G$5002,2,0),"")</f>
        <v/>
      </c>
      <c r="L94" s="15" t="str">
        <f>IFERROR(VLOOKUP(B94,'[1]Incoming from JEL'!$A$6:$G$5002,7,0),"")</f>
        <v/>
      </c>
      <c r="M94" s="15" t="str">
        <f>IFERROR(VLOOKUP(B94,'[2]Outgoing Transmittals to PDO'!$A$6:$G$20000,3,0),"")</f>
        <v/>
      </c>
      <c r="N94" s="15" t="str">
        <f>IFERROR(VLOOKUP(B94,'[2]Outgoing Transmittals to PDO'!$A$6:$G$20000,2,0),"")</f>
        <v/>
      </c>
      <c r="O94" s="15" t="str">
        <f>IFERROR(VLOOKUP(B94,'[2]Outgoing Transmittals to PDO'!$A$6:$G$20000,7,0),"")</f>
        <v/>
      </c>
      <c r="P94" s="15" t="str">
        <f t="shared" si="4"/>
        <v/>
      </c>
      <c r="Q94" s="15" t="str">
        <f>IFERROR(VLOOKUP(B94,'[3]Incoming Transmittals from PDO'!$A$6:$G$20000,3,0),"")</f>
        <v/>
      </c>
      <c r="R94" s="15" t="str">
        <f>IFERROR(VLOOKUP(B94,'[3]Incoming Transmittals from PDO'!$A$6:$G$20000,2,0),"")</f>
        <v/>
      </c>
      <c r="S94" s="15" t="str">
        <f>IFERROR(VLOOKUP(B94,'[3]Incoming Transmittals from PDO'!$A$6:$G$20000,7,0),"")</f>
        <v/>
      </c>
      <c r="T94" s="15" t="str">
        <f>IFERROR(VLOOKUP(B94,'[1]Outgoing to JEL'!$A$6:$G$5000,3,0),"")</f>
        <v/>
      </c>
      <c r="U94" s="15" t="str">
        <f>IFERROR(VLOOKUP(B94,'[1]Outgoing to JEL'!$A$6:$G$5000,2,0),"")</f>
        <v/>
      </c>
      <c r="V94" s="15" t="str">
        <f>IFERROR(VLOOKUP(B94,'[1]Outgoing to JEL'!$A$6:$G$5000,7,0),"")</f>
        <v/>
      </c>
      <c r="W94" s="3" t="str">
        <f t="shared" si="5"/>
        <v/>
      </c>
    </row>
    <row r="95" spans="1:23" s="16" customFormat="1" x14ac:dyDescent="0.2">
      <c r="A95" s="98"/>
      <c r="B95" s="30" t="str">
        <f t="shared" si="74"/>
        <v>KHF-00-104265-BA-6070-01311-0000-2</v>
      </c>
      <c r="C95" s="31" t="s">
        <v>297</v>
      </c>
      <c r="D95" s="32" t="s">
        <v>310</v>
      </c>
      <c r="E95" s="20">
        <v>2</v>
      </c>
      <c r="F95" s="20"/>
      <c r="G95" s="20"/>
      <c r="H95" s="20" t="str">
        <f t="shared" si="75"/>
        <v/>
      </c>
      <c r="I95" s="3" t="str">
        <f t="shared" si="3"/>
        <v/>
      </c>
      <c r="J95" s="15" t="str">
        <f>IFERROR(VLOOKUP(B95,'[1]Incoming from JEL'!$A$6:$G$5002,3,0),"")</f>
        <v/>
      </c>
      <c r="K95" s="15" t="str">
        <f>IFERROR(VLOOKUP(B95,'[1]Incoming from JEL'!$A$6:$G$5002,2,0),"")</f>
        <v/>
      </c>
      <c r="L95" s="15" t="str">
        <f>IFERROR(VLOOKUP(B95,'[1]Incoming from JEL'!$A$6:$G$5002,7,0),"")</f>
        <v/>
      </c>
      <c r="M95" s="15" t="str">
        <f>IFERROR(VLOOKUP(B95,'[2]Outgoing Transmittals to PDO'!$A$6:$G$20000,3,0),"")</f>
        <v/>
      </c>
      <c r="N95" s="15" t="str">
        <f>IFERROR(VLOOKUP(B95,'[2]Outgoing Transmittals to PDO'!$A$6:$G$20000,2,0),"")</f>
        <v/>
      </c>
      <c r="O95" s="15" t="str">
        <f>IFERROR(VLOOKUP(B95,'[2]Outgoing Transmittals to PDO'!$A$6:$G$20000,7,0),"")</f>
        <v/>
      </c>
      <c r="P95" s="15" t="str">
        <f t="shared" si="4"/>
        <v/>
      </c>
      <c r="Q95" s="15" t="str">
        <f>IFERROR(VLOOKUP(B95,'[3]Incoming Transmittals from PDO'!$A$6:$G$20000,3,0),"")</f>
        <v/>
      </c>
      <c r="R95" s="15" t="str">
        <f>IFERROR(VLOOKUP(B95,'[3]Incoming Transmittals from PDO'!$A$6:$G$20000,2,0),"")</f>
        <v/>
      </c>
      <c r="S95" s="15" t="str">
        <f>IFERROR(VLOOKUP(B95,'[3]Incoming Transmittals from PDO'!$A$6:$G$20000,7,0),"")</f>
        <v/>
      </c>
      <c r="T95" s="15" t="str">
        <f>IFERROR(VLOOKUP(B95,'[1]Outgoing to JEL'!$A$6:$G$5000,3,0),"")</f>
        <v/>
      </c>
      <c r="U95" s="15" t="str">
        <f>IFERROR(VLOOKUP(B95,'[1]Outgoing to JEL'!$A$6:$G$5000,2,0),"")</f>
        <v/>
      </c>
      <c r="V95" s="15" t="str">
        <f>IFERROR(VLOOKUP(B95,'[1]Outgoing to JEL'!$A$6:$G$5000,7,0),"")</f>
        <v/>
      </c>
      <c r="W95" s="3" t="str">
        <f t="shared" si="5"/>
        <v/>
      </c>
    </row>
    <row r="96" spans="1:23" s="16" customFormat="1" x14ac:dyDescent="0.2">
      <c r="A96" s="99"/>
      <c r="B96" s="30" t="str">
        <f t="shared" si="74"/>
        <v>KHF-00-104265-BA-6070-01311-0000-3</v>
      </c>
      <c r="C96" s="31" t="s">
        <v>297</v>
      </c>
      <c r="D96" s="32" t="s">
        <v>310</v>
      </c>
      <c r="E96" s="20">
        <v>3</v>
      </c>
      <c r="F96" s="20"/>
      <c r="G96" s="20"/>
      <c r="H96" s="20" t="str">
        <f t="shared" si="75"/>
        <v/>
      </c>
      <c r="I96" s="3" t="str">
        <f t="shared" si="3"/>
        <v/>
      </c>
      <c r="J96" s="15" t="str">
        <f>IFERROR(VLOOKUP(B96,'[1]Incoming from JEL'!$A$6:$G$5002,3,0),"")</f>
        <v/>
      </c>
      <c r="K96" s="15" t="str">
        <f>IFERROR(VLOOKUP(B96,'[1]Incoming from JEL'!$A$6:$G$5002,2,0),"")</f>
        <v/>
      </c>
      <c r="L96" s="15" t="str">
        <f>IFERROR(VLOOKUP(B96,'[1]Incoming from JEL'!$A$6:$G$5002,7,0),"")</f>
        <v/>
      </c>
      <c r="M96" s="15" t="str">
        <f>IFERROR(VLOOKUP(B96,'[2]Outgoing Transmittals to PDO'!$A$6:$G$20000,3,0),"")</f>
        <v/>
      </c>
      <c r="N96" s="15" t="str">
        <f>IFERROR(VLOOKUP(B96,'[2]Outgoing Transmittals to PDO'!$A$6:$G$20000,2,0),"")</f>
        <v/>
      </c>
      <c r="O96" s="15" t="str">
        <f>IFERROR(VLOOKUP(B96,'[2]Outgoing Transmittals to PDO'!$A$6:$G$20000,7,0),"")</f>
        <v/>
      </c>
      <c r="P96" s="15" t="str">
        <f t="shared" si="4"/>
        <v/>
      </c>
      <c r="Q96" s="15" t="str">
        <f>IFERROR(VLOOKUP(B96,'[3]Incoming Transmittals from PDO'!$A$6:$G$20000,3,0),"")</f>
        <v/>
      </c>
      <c r="R96" s="15" t="str">
        <f>IFERROR(VLOOKUP(B96,'[3]Incoming Transmittals from PDO'!$A$6:$G$20000,2,0),"")</f>
        <v/>
      </c>
      <c r="S96" s="15" t="str">
        <f>IFERROR(VLOOKUP(B96,'[3]Incoming Transmittals from PDO'!$A$6:$G$20000,7,0),"")</f>
        <v/>
      </c>
      <c r="T96" s="15" t="str">
        <f>IFERROR(VLOOKUP(B96,'[1]Outgoing to JEL'!$A$6:$G$5000,3,0),"")</f>
        <v/>
      </c>
      <c r="U96" s="15" t="str">
        <f>IFERROR(VLOOKUP(B96,'[1]Outgoing to JEL'!$A$6:$G$5000,2,0),"")</f>
        <v/>
      </c>
      <c r="V96" s="15" t="str">
        <f>IFERROR(VLOOKUP(B96,'[1]Outgoing to JEL'!$A$6:$G$5000,7,0),"")</f>
        <v/>
      </c>
      <c r="W96" s="3" t="str">
        <f t="shared" si="5"/>
        <v/>
      </c>
    </row>
    <row r="97" spans="1:23" s="16" customFormat="1" x14ac:dyDescent="0.2">
      <c r="A97" s="97">
        <f>A94+1</f>
        <v>30</v>
      </c>
      <c r="B97" s="30" t="str">
        <f t="shared" si="74"/>
        <v>KHF-00-104265-BA-6070-01312-0000-1</v>
      </c>
      <c r="C97" s="31" t="s">
        <v>298</v>
      </c>
      <c r="D97" s="32" t="s">
        <v>485</v>
      </c>
      <c r="E97" s="20">
        <v>1</v>
      </c>
      <c r="F97" s="20"/>
      <c r="G97" s="20"/>
      <c r="H97" s="20" t="str">
        <f t="shared" si="75"/>
        <v/>
      </c>
      <c r="I97" s="3" t="str">
        <f>J97</f>
        <v/>
      </c>
      <c r="J97" s="15" t="str">
        <f>IFERROR(VLOOKUP(B97,'[1]Incoming from JEL'!$A$6:$G$5002,3,0),"")</f>
        <v/>
      </c>
      <c r="K97" s="15" t="str">
        <f>IFERROR(VLOOKUP(B97,'[1]Incoming from JEL'!$A$6:$G$5002,2,0),"")</f>
        <v/>
      </c>
      <c r="L97" s="15" t="str">
        <f>IFERROR(VLOOKUP(B97,'[1]Incoming from JEL'!$A$6:$G$5002,7,0),"")</f>
        <v/>
      </c>
      <c r="M97" s="15" t="str">
        <f>IFERROR(VLOOKUP(B97,'[2]Outgoing Transmittals to PDO'!$A$6:$G$20000,3,0),"")</f>
        <v/>
      </c>
      <c r="N97" s="15" t="str">
        <f>IFERROR(VLOOKUP(B97,'[2]Outgoing Transmittals to PDO'!$A$6:$G$20000,2,0),"")</f>
        <v/>
      </c>
      <c r="O97" s="15" t="str">
        <f>IFERROR(VLOOKUP(B97,'[2]Outgoing Transmittals to PDO'!$A$6:$G$20000,7,0),"")</f>
        <v/>
      </c>
      <c r="P97" s="15" t="str">
        <f t="shared" si="4"/>
        <v/>
      </c>
      <c r="Q97" s="15" t="str">
        <f>IFERROR(VLOOKUP(B97,'[3]Incoming Transmittals from PDO'!$A$6:$G$20000,3,0),"")</f>
        <v/>
      </c>
      <c r="R97" s="15" t="str">
        <f>IFERROR(VLOOKUP(B97,'[3]Incoming Transmittals from PDO'!$A$6:$G$20000,2,0),"")</f>
        <v/>
      </c>
      <c r="S97" s="15" t="str">
        <f>IFERROR(VLOOKUP(B97,'[3]Incoming Transmittals from PDO'!$A$6:$G$20000,7,0),"")</f>
        <v/>
      </c>
      <c r="T97" s="15" t="str">
        <f>IFERROR(VLOOKUP(B97,'[1]Outgoing to JEL'!$A$6:$G$5000,3,0),"")</f>
        <v/>
      </c>
      <c r="U97" s="15" t="str">
        <f>IFERROR(VLOOKUP(B97,'[1]Outgoing to JEL'!$A$6:$G$5000,2,0),"")</f>
        <v/>
      </c>
      <c r="V97" s="15" t="str">
        <f>IFERROR(VLOOKUP(B97,'[1]Outgoing to JEL'!$A$6:$G$5000,7,0),"")</f>
        <v/>
      </c>
      <c r="W97" s="3" t="str">
        <f t="shared" si="5"/>
        <v/>
      </c>
    </row>
    <row r="98" spans="1:23" s="16" customFormat="1" x14ac:dyDescent="0.2">
      <c r="A98" s="98"/>
      <c r="B98" s="30" t="str">
        <f t="shared" si="74"/>
        <v>KHF-00-104265-BA-6070-01312-0000-2</v>
      </c>
      <c r="C98" s="31" t="s">
        <v>298</v>
      </c>
      <c r="D98" s="32" t="s">
        <v>485</v>
      </c>
      <c r="E98" s="20">
        <v>2</v>
      </c>
      <c r="F98" s="20"/>
      <c r="G98" s="20"/>
      <c r="H98" s="20" t="str">
        <f t="shared" si="75"/>
        <v/>
      </c>
      <c r="I98" s="3" t="str">
        <f t="shared" si="3"/>
        <v/>
      </c>
      <c r="J98" s="15" t="str">
        <f>IFERROR(VLOOKUP(B98,'[1]Incoming from JEL'!$A$6:$G$5002,3,0),"")</f>
        <v/>
      </c>
      <c r="K98" s="15" t="str">
        <f>IFERROR(VLOOKUP(B98,'[1]Incoming from JEL'!$A$6:$G$5002,2,0),"")</f>
        <v/>
      </c>
      <c r="L98" s="15" t="str">
        <f>IFERROR(VLOOKUP(B98,'[1]Incoming from JEL'!$A$6:$G$5002,7,0),"")</f>
        <v/>
      </c>
      <c r="M98" s="15" t="str">
        <f>IFERROR(VLOOKUP(B98,'[2]Outgoing Transmittals to PDO'!$A$6:$G$20000,3,0),"")</f>
        <v/>
      </c>
      <c r="N98" s="15" t="str">
        <f>IFERROR(VLOOKUP(B98,'[2]Outgoing Transmittals to PDO'!$A$6:$G$20000,2,0),"")</f>
        <v/>
      </c>
      <c r="O98" s="15" t="str">
        <f>IFERROR(VLOOKUP(B98,'[2]Outgoing Transmittals to PDO'!$A$6:$G$20000,7,0),"")</f>
        <v/>
      </c>
      <c r="P98" s="15" t="str">
        <f t="shared" si="4"/>
        <v/>
      </c>
      <c r="Q98" s="15" t="str">
        <f>IFERROR(VLOOKUP(B98,'[3]Incoming Transmittals from PDO'!$A$6:$G$20000,3,0),"")</f>
        <v/>
      </c>
      <c r="R98" s="15" t="str">
        <f>IFERROR(VLOOKUP(B98,'[3]Incoming Transmittals from PDO'!$A$6:$G$20000,2,0),"")</f>
        <v/>
      </c>
      <c r="S98" s="15" t="str">
        <f>IFERROR(VLOOKUP(B98,'[3]Incoming Transmittals from PDO'!$A$6:$G$20000,7,0),"")</f>
        <v/>
      </c>
      <c r="T98" s="15" t="str">
        <f>IFERROR(VLOOKUP(B98,'[1]Outgoing to JEL'!$A$6:$G$5000,3,0),"")</f>
        <v/>
      </c>
      <c r="U98" s="15" t="str">
        <f>IFERROR(VLOOKUP(B98,'[1]Outgoing to JEL'!$A$6:$G$5000,2,0),"")</f>
        <v/>
      </c>
      <c r="V98" s="15" t="str">
        <f>IFERROR(VLOOKUP(B98,'[1]Outgoing to JEL'!$A$6:$G$5000,7,0),"")</f>
        <v/>
      </c>
      <c r="W98" s="3" t="str">
        <f t="shared" si="5"/>
        <v/>
      </c>
    </row>
    <row r="99" spans="1:23" s="16" customFormat="1" x14ac:dyDescent="0.2">
      <c r="A99" s="99"/>
      <c r="B99" s="30" t="str">
        <f t="shared" si="74"/>
        <v>KHF-00-104265-BA-6070-01312-0000-3</v>
      </c>
      <c r="C99" s="31" t="s">
        <v>298</v>
      </c>
      <c r="D99" s="32" t="s">
        <v>485</v>
      </c>
      <c r="E99" s="20">
        <v>3</v>
      </c>
      <c r="F99" s="20"/>
      <c r="G99" s="20"/>
      <c r="H99" s="20" t="str">
        <f t="shared" si="75"/>
        <v/>
      </c>
      <c r="I99" s="3" t="str">
        <f t="shared" ref="I99" si="81">IFERROR(IF(OR(V98="Code B",V98="Code D",V98="-",ISNUMBER(J99)),T98+14,""),"")</f>
        <v/>
      </c>
      <c r="J99" s="15" t="str">
        <f>IFERROR(VLOOKUP(B99,'[1]Incoming from JEL'!$A$6:$G$5002,3,0),"")</f>
        <v/>
      </c>
      <c r="K99" s="15" t="str">
        <f>IFERROR(VLOOKUP(B99,'[1]Incoming from JEL'!$A$6:$G$5002,2,0),"")</f>
        <v/>
      </c>
      <c r="L99" s="15" t="str">
        <f>IFERROR(VLOOKUP(B99,'[1]Incoming from JEL'!$A$6:$G$5002,7,0),"")</f>
        <v/>
      </c>
      <c r="M99" s="15" t="str">
        <f>IFERROR(VLOOKUP(B99,'[2]Outgoing Transmittals to PDO'!$A$6:$G$20000,3,0),"")</f>
        <v/>
      </c>
      <c r="N99" s="15" t="str">
        <f>IFERROR(VLOOKUP(B99,'[2]Outgoing Transmittals to PDO'!$A$6:$G$20000,2,0),"")</f>
        <v/>
      </c>
      <c r="O99" s="15" t="str">
        <f>IFERROR(VLOOKUP(B99,'[2]Outgoing Transmittals to PDO'!$A$6:$G$20000,7,0),"")</f>
        <v/>
      </c>
      <c r="P99" s="15" t="str">
        <f t="shared" ref="P99:P123" si="82">IF(ISNUMBER(M99),SUM(M99+14),"")</f>
        <v/>
      </c>
      <c r="Q99" s="15" t="str">
        <f>IFERROR(VLOOKUP(B99,'[3]Incoming Transmittals from PDO'!$A$6:$G$20000,3,0),"")</f>
        <v/>
      </c>
      <c r="R99" s="15" t="str">
        <f>IFERROR(VLOOKUP(B99,'[3]Incoming Transmittals from PDO'!$A$6:$G$20000,2,0),"")</f>
        <v/>
      </c>
      <c r="S99" s="15" t="str">
        <f>IFERROR(VLOOKUP(B99,'[3]Incoming Transmittals from PDO'!$A$6:$G$20000,7,0),"")</f>
        <v/>
      </c>
      <c r="T99" s="15" t="str">
        <f>IFERROR(VLOOKUP(B99,'[1]Outgoing to JEL'!$A$6:$G$5000,3,0),"")</f>
        <v/>
      </c>
      <c r="U99" s="15" t="str">
        <f>IFERROR(VLOOKUP(B99,'[1]Outgoing to JEL'!$A$6:$G$5000,2,0),"")</f>
        <v/>
      </c>
      <c r="V99" s="15" t="str">
        <f>IFERROR(VLOOKUP(B99,'[1]Outgoing to JEL'!$A$6:$G$5000,7,0),"")</f>
        <v/>
      </c>
      <c r="W99" s="3" t="str">
        <f t="shared" ref="W99:W123" si="83">IF(S99="Code A","Approved by PDO",IF(S99="Code B","Comments from PDO",IF(S99="Code C","Review not Required",IF(S99="Code D","Rejected by PDO",IF(V99="Code A","Approved by AIP",IF(V99="Code B","Comments from AIP",IF(V99="Code C","Review not Required",IF(V99="Code D","Rejected by AIP",IF(AND(M99="-",Q99="-"),"Pending for AIP review",IF(O99="IFI","Issued for Information",IF(M99&lt;&gt;"","Pending for PDO Approval",IF(L99="IFI","Issued for AIP Information",IF(J99&lt;&gt;"","Pending for PDO submission",IF(I99&lt;&gt;"","Pending from JEL",""))))))))))))))</f>
        <v/>
      </c>
    </row>
    <row r="100" spans="1:23" s="16" customFormat="1" x14ac:dyDescent="0.2">
      <c r="A100" s="97">
        <f t="shared" ref="A100" si="84">A97+1</f>
        <v>31</v>
      </c>
      <c r="B100" s="30" t="str">
        <f t="shared" si="74"/>
        <v>KHF-00-104265-BA-6070-01313-0000-1</v>
      </c>
      <c r="C100" s="31" t="s">
        <v>299</v>
      </c>
      <c r="D100" s="32" t="s">
        <v>466</v>
      </c>
      <c r="E100" s="20">
        <v>1</v>
      </c>
      <c r="F100" s="20"/>
      <c r="G100" s="20"/>
      <c r="H100" s="20" t="str">
        <f t="shared" si="75"/>
        <v>L</v>
      </c>
      <c r="I100" s="3">
        <f t="shared" ref="I100:I109" si="85">J100</f>
        <v>43677</v>
      </c>
      <c r="J100" s="15">
        <f>IFERROR(VLOOKUP(B100,'[1]Incoming from JEL'!$A$6:$G$5002,3,0),"")</f>
        <v>43677</v>
      </c>
      <c r="K100" s="15" t="str">
        <f>IFERROR(VLOOKUP(B100,'[1]Incoming from JEL'!$A$6:$G$5002,2,0),"")</f>
        <v>AIP-YKP-JEL -T-0067</v>
      </c>
      <c r="L100" s="15" t="str">
        <f>IFERROR(VLOOKUP(B100,'[1]Incoming from JEL'!$A$6:$G$5002,7,0),"")</f>
        <v>IFR</v>
      </c>
      <c r="M100" s="15">
        <f>IFERROR(VLOOKUP(B100,'[2]Outgoing Transmittals to PDO'!$A$6:$G$20000,3,0),"")</f>
        <v>43681</v>
      </c>
      <c r="N100" s="15" t="str">
        <f>IFERROR(VLOOKUP(B100,'[2]Outgoing Transmittals to PDO'!$A$6:$G$20000,2,0),"")</f>
        <v>AIP-PDO-P1701009-T-1339</v>
      </c>
      <c r="O100" s="15" t="str">
        <f>IFERROR(VLOOKUP(B100,'[2]Outgoing Transmittals to PDO'!$A$6:$G$20000,7,0),"")</f>
        <v>IFR</v>
      </c>
      <c r="P100" s="15">
        <f t="shared" si="82"/>
        <v>43695</v>
      </c>
      <c r="Q100" s="15">
        <f>IFERROR(VLOOKUP(B100,'[3]Incoming Transmittals from PDO'!$A$6:$G$20000,3,0),"")</f>
        <v>43731</v>
      </c>
      <c r="R100" s="15" t="str">
        <f>IFERROR(VLOOKUP(B100,'[3]Incoming Transmittals from PDO'!$A$6:$G$20000,2,0),"")</f>
        <v>KHF_AIP_D_EXT_01436</v>
      </c>
      <c r="S100" s="15" t="str">
        <f>IFERROR(VLOOKUP(B100,'[3]Incoming Transmittals from PDO'!$A$6:$G$20000,7,0),"")</f>
        <v>Code A</v>
      </c>
      <c r="T100" s="15">
        <f>IFERROR(VLOOKUP(B100,'[1]Outgoing to JEL'!$A$6:$G$5000,3,0),"")</f>
        <v>43731</v>
      </c>
      <c r="U100" s="15" t="str">
        <f>IFERROR(VLOOKUP(B100,'[1]Outgoing to JEL'!$A$6:$G$5000,2,0),"")</f>
        <v>AIP-YKP-JEL-P1701009-T-0045</v>
      </c>
      <c r="V100" s="15" t="str">
        <f>IFERROR(VLOOKUP(B100,'[1]Outgoing to JEL'!$A$6:$G$5000,7,0),"")</f>
        <v>Code A</v>
      </c>
      <c r="W100" s="3" t="str">
        <f t="shared" si="83"/>
        <v>Approved by PDO</v>
      </c>
    </row>
    <row r="101" spans="1:23" s="16" customFormat="1" x14ac:dyDescent="0.2">
      <c r="A101" s="98"/>
      <c r="B101" s="30" t="str">
        <f t="shared" si="74"/>
        <v>KHF-00-104265-BA-6070-01313-0000-2</v>
      </c>
      <c r="C101" s="31" t="s">
        <v>299</v>
      </c>
      <c r="D101" s="32" t="s">
        <v>466</v>
      </c>
      <c r="E101" s="20">
        <v>2</v>
      </c>
      <c r="F101" s="20"/>
      <c r="G101" s="20"/>
      <c r="H101" s="20" t="str">
        <f t="shared" si="75"/>
        <v/>
      </c>
      <c r="I101" s="3" t="str">
        <f t="shared" ref="I101:I102" si="86">IFERROR(IF(OR(V100="Code B",V100="Code D",V100="-",ISNUMBER(J101)),T100+14,""),"")</f>
        <v/>
      </c>
      <c r="J101" s="15" t="str">
        <f>IFERROR(VLOOKUP(B101,'[1]Incoming from JEL'!$A$6:$G$5002,3,0),"")</f>
        <v/>
      </c>
      <c r="K101" s="15" t="str">
        <f>IFERROR(VLOOKUP(B101,'[1]Incoming from JEL'!$A$6:$G$5002,2,0),"")</f>
        <v/>
      </c>
      <c r="L101" s="15" t="str">
        <f>IFERROR(VLOOKUP(B101,'[1]Incoming from JEL'!$A$6:$G$5002,7,0),"")</f>
        <v/>
      </c>
      <c r="M101" s="15" t="str">
        <f>IFERROR(VLOOKUP(B101,'[2]Outgoing Transmittals to PDO'!$A$6:$G$20000,3,0),"")</f>
        <v/>
      </c>
      <c r="N101" s="15" t="str">
        <f>IFERROR(VLOOKUP(B101,'[2]Outgoing Transmittals to PDO'!$A$6:$G$20000,2,0),"")</f>
        <v/>
      </c>
      <c r="O101" s="15" t="str">
        <f>IFERROR(VLOOKUP(B101,'[2]Outgoing Transmittals to PDO'!$A$6:$G$20000,7,0),"")</f>
        <v/>
      </c>
      <c r="P101" s="15" t="str">
        <f t="shared" si="82"/>
        <v/>
      </c>
      <c r="Q101" s="15" t="str">
        <f>IFERROR(VLOOKUP(B101,'[3]Incoming Transmittals from PDO'!$A$6:$G$20000,3,0),"")</f>
        <v/>
      </c>
      <c r="R101" s="15" t="str">
        <f>IFERROR(VLOOKUP(B101,'[3]Incoming Transmittals from PDO'!$A$6:$G$20000,2,0),"")</f>
        <v/>
      </c>
      <c r="S101" s="15" t="str">
        <f>IFERROR(VLOOKUP(B101,'[3]Incoming Transmittals from PDO'!$A$6:$G$20000,7,0),"")</f>
        <v/>
      </c>
      <c r="T101" s="15" t="str">
        <f>IFERROR(VLOOKUP(B101,'[1]Outgoing to JEL'!$A$6:$G$5000,3,0),"")</f>
        <v/>
      </c>
      <c r="U101" s="15" t="str">
        <f>IFERROR(VLOOKUP(B101,'[1]Outgoing to JEL'!$A$6:$G$5000,2,0),"")</f>
        <v/>
      </c>
      <c r="V101" s="15" t="str">
        <f>IFERROR(VLOOKUP(B101,'[1]Outgoing to JEL'!$A$6:$G$5000,7,0),"")</f>
        <v/>
      </c>
      <c r="W101" s="3" t="str">
        <f t="shared" si="83"/>
        <v/>
      </c>
    </row>
    <row r="102" spans="1:23" s="16" customFormat="1" x14ac:dyDescent="0.2">
      <c r="A102" s="99"/>
      <c r="B102" s="30" t="str">
        <f t="shared" si="74"/>
        <v>KHF-00-104265-BA-6070-01313-0000-3</v>
      </c>
      <c r="C102" s="31" t="s">
        <v>299</v>
      </c>
      <c r="D102" s="32" t="s">
        <v>466</v>
      </c>
      <c r="E102" s="20">
        <v>3</v>
      </c>
      <c r="F102" s="20"/>
      <c r="G102" s="20"/>
      <c r="H102" s="20" t="str">
        <f t="shared" si="75"/>
        <v/>
      </c>
      <c r="I102" s="3" t="str">
        <f t="shared" si="86"/>
        <v/>
      </c>
      <c r="J102" s="15" t="str">
        <f>IFERROR(VLOOKUP(B102,'[1]Incoming from JEL'!$A$6:$G$5002,3,0),"")</f>
        <v/>
      </c>
      <c r="K102" s="15" t="str">
        <f>IFERROR(VLOOKUP(B102,'[1]Incoming from JEL'!$A$6:$G$5002,2,0),"")</f>
        <v/>
      </c>
      <c r="L102" s="15" t="str">
        <f>IFERROR(VLOOKUP(B102,'[1]Incoming from JEL'!$A$6:$G$5002,7,0),"")</f>
        <v/>
      </c>
      <c r="M102" s="15" t="str">
        <f>IFERROR(VLOOKUP(B102,'[2]Outgoing Transmittals to PDO'!$A$6:$G$20000,3,0),"")</f>
        <v/>
      </c>
      <c r="N102" s="15" t="str">
        <f>IFERROR(VLOOKUP(B102,'[2]Outgoing Transmittals to PDO'!$A$6:$G$20000,2,0),"")</f>
        <v/>
      </c>
      <c r="O102" s="15" t="str">
        <f>IFERROR(VLOOKUP(B102,'[2]Outgoing Transmittals to PDO'!$A$6:$G$20000,7,0),"")</f>
        <v/>
      </c>
      <c r="P102" s="15" t="str">
        <f t="shared" si="82"/>
        <v/>
      </c>
      <c r="Q102" s="15" t="str">
        <f>IFERROR(VLOOKUP(B102,'[3]Incoming Transmittals from PDO'!$A$6:$G$20000,3,0),"")</f>
        <v/>
      </c>
      <c r="R102" s="15" t="str">
        <f>IFERROR(VLOOKUP(B102,'[3]Incoming Transmittals from PDO'!$A$6:$G$20000,2,0),"")</f>
        <v/>
      </c>
      <c r="S102" s="15" t="str">
        <f>IFERROR(VLOOKUP(B102,'[3]Incoming Transmittals from PDO'!$A$6:$G$20000,7,0),"")</f>
        <v/>
      </c>
      <c r="T102" s="15" t="str">
        <f>IFERROR(VLOOKUP(B102,'[1]Outgoing to JEL'!$A$6:$G$5000,3,0),"")</f>
        <v/>
      </c>
      <c r="U102" s="15" t="str">
        <f>IFERROR(VLOOKUP(B102,'[1]Outgoing to JEL'!$A$6:$G$5000,2,0),"")</f>
        <v/>
      </c>
      <c r="V102" s="15" t="str">
        <f>IFERROR(VLOOKUP(B102,'[1]Outgoing to JEL'!$A$6:$G$5000,7,0),"")</f>
        <v/>
      </c>
      <c r="W102" s="3" t="str">
        <f t="shared" si="83"/>
        <v/>
      </c>
    </row>
    <row r="103" spans="1:23" s="16" customFormat="1" x14ac:dyDescent="0.2">
      <c r="A103" s="97">
        <f t="shared" ref="A103" si="87">A100+1</f>
        <v>32</v>
      </c>
      <c r="B103" s="74" t="str">
        <f t="shared" ref="B103:B105" si="88">CONCATENATE(C103,"-",E103)</f>
        <v>KHF-00-104265-BA-6070-01314-0000-1</v>
      </c>
      <c r="C103" s="31" t="s">
        <v>444</v>
      </c>
      <c r="D103" s="32" t="s">
        <v>445</v>
      </c>
      <c r="E103" s="20">
        <v>1</v>
      </c>
      <c r="F103" s="20"/>
      <c r="G103" s="20"/>
      <c r="H103" s="20" t="str">
        <f t="shared" si="75"/>
        <v/>
      </c>
      <c r="I103" s="3">
        <f t="shared" ref="I103" si="89">J103</f>
        <v>43642</v>
      </c>
      <c r="J103" s="15">
        <f>IFERROR(VLOOKUP(B103,'[1]Incoming from JEL'!$A$6:$G$5002,3,0),"")</f>
        <v>43642</v>
      </c>
      <c r="K103" s="15" t="str">
        <f>IFERROR(VLOOKUP(B103,'[1]Incoming from JEL'!$A$6:$G$5002,2,0),"")</f>
        <v>AIP-YKP-JEL -T-0059</v>
      </c>
      <c r="L103" s="15" t="str">
        <f>IFERROR(VLOOKUP(B103,'[1]Incoming from JEL'!$A$6:$G$5002,7,0),"")</f>
        <v>IFR</v>
      </c>
      <c r="M103" s="15">
        <f>IFERROR(VLOOKUP(B103,'[2]Outgoing Transmittals to PDO'!$A$6:$G$20000,3,0),"")</f>
        <v>43699</v>
      </c>
      <c r="N103" s="15" t="str">
        <f>IFERROR(VLOOKUP(B103,'[2]Outgoing Transmittals to PDO'!$A$6:$G$20000,2,0),"")</f>
        <v>AIP-PDO-P1701009-T-1357</v>
      </c>
      <c r="O103" s="15" t="str">
        <f>IFERROR(VLOOKUP(B103,'[2]Outgoing Transmittals to PDO'!$A$6:$G$20000,7,0),"")</f>
        <v>IFR</v>
      </c>
      <c r="P103" s="15">
        <f t="shared" ref="P103:P105" si="90">IF(ISNUMBER(M103),SUM(M103+14),"")</f>
        <v>43713</v>
      </c>
      <c r="Q103" s="15">
        <f>IFERROR(VLOOKUP(B103,'[3]Incoming Transmittals from PDO'!$A$6:$G$20000,3,0),"")</f>
        <v>43753</v>
      </c>
      <c r="R103" s="15" t="str">
        <f>IFERROR(VLOOKUP(B103,'[3]Incoming Transmittals from PDO'!$A$6:$G$20000,2,0),"")</f>
        <v>KHF_AIP_D_EXT_01472</v>
      </c>
      <c r="S103" s="15" t="str">
        <f>IFERROR(VLOOKUP(B103,'[3]Incoming Transmittals from PDO'!$A$6:$G$20000,7,0),"")</f>
        <v>Code B</v>
      </c>
      <c r="T103" s="15">
        <f>IFERROR(VLOOKUP(B103,'[1]Outgoing to JEL'!$A$6:$G$5000,3,0),"")</f>
        <v>43754</v>
      </c>
      <c r="U103" s="15" t="str">
        <f>IFERROR(VLOOKUP(B103,'[1]Outgoing to JEL'!$A$6:$G$5000,2,0),"")</f>
        <v>AIP-YKP-JEL-P1701009-T-0048</v>
      </c>
      <c r="V103" s="15" t="str">
        <f>IFERROR(VLOOKUP(B103,'[1]Outgoing to JEL'!$A$6:$G$5000,7,0),"")</f>
        <v>Code B</v>
      </c>
      <c r="W103" s="3" t="str">
        <f t="shared" ref="W103:W105" si="91">IF(S103="Code A","Approved by PDO",IF(S103="Code B","Comments from PDO",IF(S103="Code C","Review not Required",IF(S103="Code D","Rejected by PDO",IF(V103="Code A","Approved by AIP",IF(V103="Code B","Comments from AIP",IF(V103="Code C","Review not Required",IF(V103="Code D","Rejected by AIP",IF(AND(M103="-",Q103="-"),"Pending for AIP review",IF(O103="IFI","Issued for Information",IF(M103&lt;&gt;"","Pending for PDO Approval",IF(L103="IFI","Issued for AIP Information",IF(J103&lt;&gt;"","Pending for PDO submission",IF(I103&lt;&gt;"","Pending from JEL",""))))))))))))))</f>
        <v>Comments from PDO</v>
      </c>
    </row>
    <row r="104" spans="1:23" s="16" customFormat="1" x14ac:dyDescent="0.2">
      <c r="A104" s="98"/>
      <c r="B104" s="74" t="str">
        <f t="shared" si="88"/>
        <v>KHF-00-104265-BA-6070-01314-0000-2</v>
      </c>
      <c r="C104" s="31" t="s">
        <v>444</v>
      </c>
      <c r="D104" s="32" t="s">
        <v>445</v>
      </c>
      <c r="E104" s="20">
        <v>2</v>
      </c>
      <c r="F104" s="20"/>
      <c r="G104" s="20"/>
      <c r="H104" s="20" t="str">
        <f t="shared" si="75"/>
        <v>L</v>
      </c>
      <c r="I104" s="3">
        <f t="shared" ref="I104:I105" si="92">IFERROR(IF(OR(V103="Code B",V103="Code D",V103="-",ISNUMBER(J104)),T103+14,""),"")</f>
        <v>43768</v>
      </c>
      <c r="J104" s="15">
        <f>IFERROR(VLOOKUP(B104,'[1]Incoming from JEL'!$A$6:$G$5002,3,0),"")</f>
        <v>43779</v>
      </c>
      <c r="K104" s="15" t="str">
        <f>IFERROR(VLOOKUP(B104,'[1]Incoming from JEL'!$A$6:$G$5002,2,0),"")</f>
        <v>AIP-YKP-JEL -T-0085</v>
      </c>
      <c r="L104" s="15" t="str">
        <f>IFERROR(VLOOKUP(B104,'[1]Incoming from JEL'!$A$6:$G$5002,7,0),"")</f>
        <v>IFR</v>
      </c>
      <c r="M104" s="15">
        <f>IFERROR(VLOOKUP(B104,'[2]Outgoing Transmittals to PDO'!$A$6:$G$20000,3,0),"")</f>
        <v>43781</v>
      </c>
      <c r="N104" s="15" t="str">
        <f>IFERROR(VLOOKUP(B104,'[2]Outgoing Transmittals to PDO'!$A$6:$G$20000,2,0),"")</f>
        <v>AIP-PDO-P1701009-T-1491</v>
      </c>
      <c r="O104" s="15" t="str">
        <f>IFERROR(VLOOKUP(B104,'[2]Outgoing Transmittals to PDO'!$A$6:$G$20000,7,0),"")</f>
        <v>IFA</v>
      </c>
      <c r="P104" s="15">
        <f t="shared" si="90"/>
        <v>43795</v>
      </c>
      <c r="Q104" s="15" t="str">
        <f>IFERROR(VLOOKUP(B104,'[3]Incoming Transmittals from PDO'!$A$6:$G$20000,3,0),"")</f>
        <v/>
      </c>
      <c r="R104" s="15" t="str">
        <f>IFERROR(VLOOKUP(B104,'[3]Incoming Transmittals from PDO'!$A$6:$G$20000,2,0),"")</f>
        <v/>
      </c>
      <c r="S104" s="15" t="str">
        <f>IFERROR(VLOOKUP(B104,'[3]Incoming Transmittals from PDO'!$A$6:$G$20000,7,0),"")</f>
        <v/>
      </c>
      <c r="T104" s="15" t="str">
        <f>IFERROR(VLOOKUP(B104,'[1]Outgoing to JEL'!$A$6:$G$5000,3,0),"")</f>
        <v/>
      </c>
      <c r="U104" s="15" t="str">
        <f>IFERROR(VLOOKUP(B104,'[1]Outgoing to JEL'!$A$6:$G$5000,2,0),"")</f>
        <v/>
      </c>
      <c r="V104" s="15" t="str">
        <f>IFERROR(VLOOKUP(B104,'[1]Outgoing to JEL'!$A$6:$G$5000,7,0),"")</f>
        <v/>
      </c>
      <c r="W104" s="3" t="str">
        <f t="shared" si="91"/>
        <v>Pending for PDO Approval</v>
      </c>
    </row>
    <row r="105" spans="1:23" s="16" customFormat="1" x14ac:dyDescent="0.2">
      <c r="A105" s="99"/>
      <c r="B105" s="74" t="str">
        <f t="shared" si="88"/>
        <v>KHF-00-104265-BA-6070-01314-0000-3</v>
      </c>
      <c r="C105" s="31" t="s">
        <v>444</v>
      </c>
      <c r="D105" s="32" t="s">
        <v>445</v>
      </c>
      <c r="E105" s="20">
        <v>3</v>
      </c>
      <c r="F105" s="20"/>
      <c r="G105" s="20"/>
      <c r="H105" s="20" t="str">
        <f t="shared" si="75"/>
        <v/>
      </c>
      <c r="I105" s="3" t="str">
        <f t="shared" si="92"/>
        <v/>
      </c>
      <c r="J105" s="15" t="str">
        <f>IFERROR(VLOOKUP(B105,'[1]Incoming from JEL'!$A$6:$G$5002,3,0),"")</f>
        <v/>
      </c>
      <c r="K105" s="15" t="str">
        <f>IFERROR(VLOOKUP(B105,'[1]Incoming from JEL'!$A$6:$G$5002,2,0),"")</f>
        <v/>
      </c>
      <c r="L105" s="15" t="str">
        <f>IFERROR(VLOOKUP(B105,'[1]Incoming from JEL'!$A$6:$G$5002,7,0),"")</f>
        <v/>
      </c>
      <c r="M105" s="15" t="str">
        <f>IFERROR(VLOOKUP(B105,'[2]Outgoing Transmittals to PDO'!$A$6:$G$20000,3,0),"")</f>
        <v/>
      </c>
      <c r="N105" s="15" t="str">
        <f>IFERROR(VLOOKUP(B105,'[2]Outgoing Transmittals to PDO'!$A$6:$G$20000,2,0),"")</f>
        <v/>
      </c>
      <c r="O105" s="15" t="str">
        <f>IFERROR(VLOOKUP(B105,'[2]Outgoing Transmittals to PDO'!$A$6:$G$20000,7,0),"")</f>
        <v/>
      </c>
      <c r="P105" s="15" t="str">
        <f t="shared" si="90"/>
        <v/>
      </c>
      <c r="Q105" s="15" t="str">
        <f>IFERROR(VLOOKUP(B105,'[3]Incoming Transmittals from PDO'!$A$6:$G$20000,3,0),"")</f>
        <v/>
      </c>
      <c r="R105" s="15" t="str">
        <f>IFERROR(VLOOKUP(B105,'[3]Incoming Transmittals from PDO'!$A$6:$G$20000,2,0),"")</f>
        <v/>
      </c>
      <c r="S105" s="15" t="str">
        <f>IFERROR(VLOOKUP(B105,'[3]Incoming Transmittals from PDO'!$A$6:$G$20000,7,0),"")</f>
        <v/>
      </c>
      <c r="T105" s="15" t="str">
        <f>IFERROR(VLOOKUP(B105,'[1]Outgoing to JEL'!$A$6:$G$5000,3,0),"")</f>
        <v/>
      </c>
      <c r="U105" s="15" t="str">
        <f>IFERROR(VLOOKUP(B105,'[1]Outgoing to JEL'!$A$6:$G$5000,2,0),"")</f>
        <v/>
      </c>
      <c r="V105" s="15" t="str">
        <f>IFERROR(VLOOKUP(B105,'[1]Outgoing to JEL'!$A$6:$G$5000,7,0),"")</f>
        <v/>
      </c>
      <c r="W105" s="3" t="str">
        <f t="shared" si="91"/>
        <v/>
      </c>
    </row>
    <row r="106" spans="1:23" s="16" customFormat="1" x14ac:dyDescent="0.2">
      <c r="A106" s="97">
        <f t="shared" ref="A106" si="93">A103+1</f>
        <v>33</v>
      </c>
      <c r="B106" s="90" t="str">
        <f t="shared" ref="B106:B108" si="94">CONCATENATE(C106,"-",E106)</f>
        <v>KHF-00-104265-BA-6070-01315-0000-1</v>
      </c>
      <c r="C106" s="31" t="s">
        <v>480</v>
      </c>
      <c r="D106" s="32" t="s">
        <v>482</v>
      </c>
      <c r="E106" s="20">
        <v>1</v>
      </c>
      <c r="F106" s="20"/>
      <c r="G106" s="20"/>
      <c r="H106" s="20" t="str">
        <f t="shared" si="75"/>
        <v>L</v>
      </c>
      <c r="I106" s="3">
        <f t="shared" ref="I106" si="95">J106</f>
        <v>43778</v>
      </c>
      <c r="J106" s="15">
        <f>IFERROR(VLOOKUP(B106,'[1]Incoming from JEL'!$A$6:$G$5002,3,0),"")</f>
        <v>43778</v>
      </c>
      <c r="K106" s="15" t="str">
        <f>IFERROR(VLOOKUP(B106,'[1]Incoming from JEL'!$A$6:$G$5002,2,0),"")</f>
        <v>AIP-YKP-JEL -T-0084</v>
      </c>
      <c r="L106" s="15" t="str">
        <f>IFERROR(VLOOKUP(B106,'[1]Incoming from JEL'!$A$6:$G$5002,7,0),"")</f>
        <v>IFR</v>
      </c>
      <c r="M106" s="15">
        <f>IFERROR(VLOOKUP(B106,'[2]Outgoing Transmittals to PDO'!$A$6:$G$20000,3,0),"")</f>
        <v>43781</v>
      </c>
      <c r="N106" s="15" t="str">
        <f>IFERROR(VLOOKUP(B106,'[2]Outgoing Transmittals to PDO'!$A$6:$G$20000,2,0),"")</f>
        <v>AIP-PDO-P1701009-T-1490</v>
      </c>
      <c r="O106" s="15" t="str">
        <f>IFERROR(VLOOKUP(B106,'[2]Outgoing Transmittals to PDO'!$A$6:$G$20000,7,0),"")</f>
        <v>IFR</v>
      </c>
      <c r="P106" s="15">
        <f t="shared" ref="P106:P108" si="96">IF(ISNUMBER(M106),SUM(M106+14),"")</f>
        <v>43795</v>
      </c>
      <c r="Q106" s="15" t="str">
        <f>IFERROR(VLOOKUP(B106,'[3]Incoming Transmittals from PDO'!$A$6:$G$20000,3,0),"")</f>
        <v/>
      </c>
      <c r="R106" s="15" t="str">
        <f>IFERROR(VLOOKUP(B106,'[3]Incoming Transmittals from PDO'!$A$6:$G$20000,2,0),"")</f>
        <v/>
      </c>
      <c r="S106" s="15" t="str">
        <f>IFERROR(VLOOKUP(B106,'[3]Incoming Transmittals from PDO'!$A$6:$G$20000,7,0),"")</f>
        <v/>
      </c>
      <c r="T106" s="15" t="str">
        <f>IFERROR(VLOOKUP(B106,'[1]Outgoing to JEL'!$A$6:$G$5000,3,0),"")</f>
        <v/>
      </c>
      <c r="U106" s="15" t="str">
        <f>IFERROR(VLOOKUP(B106,'[1]Outgoing to JEL'!$A$6:$G$5000,2,0),"")</f>
        <v/>
      </c>
      <c r="V106" s="15" t="str">
        <f>IFERROR(VLOOKUP(B106,'[1]Outgoing to JEL'!$A$6:$G$5000,7,0),"")</f>
        <v/>
      </c>
      <c r="W106" s="3" t="str">
        <f t="shared" ref="W106:W108" si="97">IF(S106="Code A","Approved by PDO",IF(S106="Code B","Comments from PDO",IF(S106="Code C","Review not Required",IF(S106="Code D","Rejected by PDO",IF(V106="Code A","Approved by AIP",IF(V106="Code B","Comments from AIP",IF(V106="Code C","Review not Required",IF(V106="Code D","Rejected by AIP",IF(AND(M106="-",Q106="-"),"Pending for AIP review",IF(O106="IFI","Issued for Information",IF(M106&lt;&gt;"","Pending for PDO Approval",IF(L106="IFI","Issued for AIP Information",IF(J106&lt;&gt;"","Pending for PDO submission",IF(I106&lt;&gt;"","Pending from JEL",""))))))))))))))</f>
        <v>Pending for PDO Approval</v>
      </c>
    </row>
    <row r="107" spans="1:23" s="16" customFormat="1" x14ac:dyDescent="0.2">
      <c r="A107" s="98"/>
      <c r="B107" s="90" t="str">
        <f t="shared" si="94"/>
        <v>KHF-00-104265-BA-6070-01315-0000-2</v>
      </c>
      <c r="C107" s="31" t="s">
        <v>480</v>
      </c>
      <c r="D107" s="32" t="s">
        <v>482</v>
      </c>
      <c r="E107" s="20">
        <v>2</v>
      </c>
      <c r="F107" s="20"/>
      <c r="G107" s="20"/>
      <c r="H107" s="20" t="str">
        <f t="shared" si="75"/>
        <v/>
      </c>
      <c r="I107" s="3" t="str">
        <f t="shared" ref="I107:I108" si="98">IFERROR(IF(OR(V106="Code B",V106="Code D",V106="-",ISNUMBER(J107)),T106+14,""),"")</f>
        <v/>
      </c>
      <c r="J107" s="15" t="str">
        <f>IFERROR(VLOOKUP(B107,'[1]Incoming from JEL'!$A$6:$G$5002,3,0),"")</f>
        <v/>
      </c>
      <c r="K107" s="15" t="str">
        <f>IFERROR(VLOOKUP(B107,'[1]Incoming from JEL'!$A$6:$G$5002,2,0),"")</f>
        <v/>
      </c>
      <c r="L107" s="15" t="str">
        <f>IFERROR(VLOOKUP(B107,'[1]Incoming from JEL'!$A$6:$G$5002,7,0),"")</f>
        <v/>
      </c>
      <c r="M107" s="15" t="str">
        <f>IFERROR(VLOOKUP(B107,'[2]Outgoing Transmittals to PDO'!$A$6:$G$20000,3,0),"")</f>
        <v/>
      </c>
      <c r="N107" s="15" t="str">
        <f>IFERROR(VLOOKUP(B107,'[2]Outgoing Transmittals to PDO'!$A$6:$G$20000,2,0),"")</f>
        <v/>
      </c>
      <c r="O107" s="15" t="str">
        <f>IFERROR(VLOOKUP(B107,'[2]Outgoing Transmittals to PDO'!$A$6:$G$20000,7,0),"")</f>
        <v/>
      </c>
      <c r="P107" s="15" t="str">
        <f t="shared" si="96"/>
        <v/>
      </c>
      <c r="Q107" s="15" t="str">
        <f>IFERROR(VLOOKUP(B107,'[3]Incoming Transmittals from PDO'!$A$6:$G$20000,3,0),"")</f>
        <v/>
      </c>
      <c r="R107" s="15" t="str">
        <f>IFERROR(VLOOKUP(B107,'[3]Incoming Transmittals from PDO'!$A$6:$G$20000,2,0),"")</f>
        <v/>
      </c>
      <c r="S107" s="15" t="str">
        <f>IFERROR(VLOOKUP(B107,'[3]Incoming Transmittals from PDO'!$A$6:$G$20000,7,0),"")</f>
        <v/>
      </c>
      <c r="T107" s="15" t="str">
        <f>IFERROR(VLOOKUP(B107,'[1]Outgoing to JEL'!$A$6:$G$5000,3,0),"")</f>
        <v/>
      </c>
      <c r="U107" s="15" t="str">
        <f>IFERROR(VLOOKUP(B107,'[1]Outgoing to JEL'!$A$6:$G$5000,2,0),"")</f>
        <v/>
      </c>
      <c r="V107" s="15" t="str">
        <f>IFERROR(VLOOKUP(B107,'[1]Outgoing to JEL'!$A$6:$G$5000,7,0),"")</f>
        <v/>
      </c>
      <c r="W107" s="3" t="str">
        <f t="shared" si="97"/>
        <v/>
      </c>
    </row>
    <row r="108" spans="1:23" s="16" customFormat="1" x14ac:dyDescent="0.2">
      <c r="A108" s="99"/>
      <c r="B108" s="90" t="str">
        <f t="shared" si="94"/>
        <v>KHF-00-104265-BA-6070-01315-0000-3</v>
      </c>
      <c r="C108" s="31" t="s">
        <v>480</v>
      </c>
      <c r="D108" s="32" t="s">
        <v>482</v>
      </c>
      <c r="E108" s="20">
        <v>3</v>
      </c>
      <c r="F108" s="20"/>
      <c r="G108" s="20"/>
      <c r="H108" s="20" t="str">
        <f t="shared" si="75"/>
        <v/>
      </c>
      <c r="I108" s="3" t="str">
        <f t="shared" si="98"/>
        <v/>
      </c>
      <c r="J108" s="15" t="str">
        <f>IFERROR(VLOOKUP(B108,'[1]Incoming from JEL'!$A$6:$G$5002,3,0),"")</f>
        <v/>
      </c>
      <c r="K108" s="15" t="str">
        <f>IFERROR(VLOOKUP(B108,'[1]Incoming from JEL'!$A$6:$G$5002,2,0),"")</f>
        <v/>
      </c>
      <c r="L108" s="15" t="str">
        <f>IFERROR(VLOOKUP(B108,'[1]Incoming from JEL'!$A$6:$G$5002,7,0),"")</f>
        <v/>
      </c>
      <c r="M108" s="15" t="str">
        <f>IFERROR(VLOOKUP(B108,'[2]Outgoing Transmittals to PDO'!$A$6:$G$20000,3,0),"")</f>
        <v/>
      </c>
      <c r="N108" s="15" t="str">
        <f>IFERROR(VLOOKUP(B108,'[2]Outgoing Transmittals to PDO'!$A$6:$G$20000,2,0),"")</f>
        <v/>
      </c>
      <c r="O108" s="15" t="str">
        <f>IFERROR(VLOOKUP(B108,'[2]Outgoing Transmittals to PDO'!$A$6:$G$20000,7,0),"")</f>
        <v/>
      </c>
      <c r="P108" s="15" t="str">
        <f t="shared" si="96"/>
        <v/>
      </c>
      <c r="Q108" s="15" t="str">
        <f>IFERROR(VLOOKUP(B108,'[3]Incoming Transmittals from PDO'!$A$6:$G$20000,3,0),"")</f>
        <v/>
      </c>
      <c r="R108" s="15" t="str">
        <f>IFERROR(VLOOKUP(B108,'[3]Incoming Transmittals from PDO'!$A$6:$G$20000,2,0),"")</f>
        <v/>
      </c>
      <c r="S108" s="15" t="str">
        <f>IFERROR(VLOOKUP(B108,'[3]Incoming Transmittals from PDO'!$A$6:$G$20000,7,0),"")</f>
        <v/>
      </c>
      <c r="T108" s="15" t="str">
        <f>IFERROR(VLOOKUP(B108,'[1]Outgoing to JEL'!$A$6:$G$5000,3,0),"")</f>
        <v/>
      </c>
      <c r="U108" s="15" t="str">
        <f>IFERROR(VLOOKUP(B108,'[1]Outgoing to JEL'!$A$6:$G$5000,2,0),"")</f>
        <v/>
      </c>
      <c r="V108" s="15" t="str">
        <f>IFERROR(VLOOKUP(B108,'[1]Outgoing to JEL'!$A$6:$G$5000,7,0),"")</f>
        <v/>
      </c>
      <c r="W108" s="3" t="str">
        <f t="shared" si="97"/>
        <v/>
      </c>
    </row>
    <row r="109" spans="1:23" s="16" customFormat="1" x14ac:dyDescent="0.2">
      <c r="A109" s="97">
        <f t="shared" ref="A109" si="99">A106+1</f>
        <v>34</v>
      </c>
      <c r="B109" s="30" t="str">
        <f t="shared" si="74"/>
        <v>KHF-00-104265-BA-5011-01301-0000-1</v>
      </c>
      <c r="C109" s="31" t="s">
        <v>300</v>
      </c>
      <c r="D109" s="32" t="s">
        <v>301</v>
      </c>
      <c r="E109" s="20">
        <v>1</v>
      </c>
      <c r="F109" s="20"/>
      <c r="G109" s="20"/>
      <c r="H109" s="20" t="str">
        <f t="shared" si="75"/>
        <v>L</v>
      </c>
      <c r="I109" s="3">
        <f t="shared" si="85"/>
        <v>43458</v>
      </c>
      <c r="J109" s="15">
        <f>IFERROR(VLOOKUP(B109,'[1]Incoming from JEL'!$A$6:$G$5002,3,0),"")</f>
        <v>43458</v>
      </c>
      <c r="K109" s="15" t="str">
        <f>IFERROR(VLOOKUP(B109,'[1]Incoming from JEL'!$A$6:$G$5002,2,0),"")</f>
        <v>AIP-YKP-JEL-T-0002</v>
      </c>
      <c r="L109" s="15" t="str">
        <f>IFERROR(VLOOKUP(B109,'[1]Incoming from JEL'!$A$6:$G$5002,7,0),"")</f>
        <v>IFI</v>
      </c>
      <c r="M109" s="15" t="str">
        <f>IFERROR(VLOOKUP(B109,'[2]Outgoing Transmittals to PDO'!$A$6:$G$20000,3,0),"")</f>
        <v/>
      </c>
      <c r="N109" s="15" t="str">
        <f>IFERROR(VLOOKUP(B109,'[2]Outgoing Transmittals to PDO'!$A$6:$G$20000,2,0),"")</f>
        <v/>
      </c>
      <c r="O109" s="15" t="str">
        <f>IFERROR(VLOOKUP(B109,'[2]Outgoing Transmittals to PDO'!$A$6:$G$20000,7,0),"")</f>
        <v/>
      </c>
      <c r="P109" s="15" t="str">
        <f t="shared" si="82"/>
        <v/>
      </c>
      <c r="Q109" s="15" t="str">
        <f>IFERROR(VLOOKUP(B109,'[3]Incoming Transmittals from PDO'!$A$6:$G$20000,3,0),"")</f>
        <v/>
      </c>
      <c r="R109" s="15" t="str">
        <f>IFERROR(VLOOKUP(B109,'[3]Incoming Transmittals from PDO'!$A$6:$G$20000,2,0),"")</f>
        <v/>
      </c>
      <c r="S109" s="15" t="str">
        <f>IFERROR(VLOOKUP(B109,'[3]Incoming Transmittals from PDO'!$A$6:$G$20000,7,0),"")</f>
        <v/>
      </c>
      <c r="T109" s="15" t="str">
        <f>IFERROR(VLOOKUP(B109,'[1]Outgoing to JEL'!$A$6:$G$5000,3,0),"")</f>
        <v/>
      </c>
      <c r="U109" s="15" t="str">
        <f>IFERROR(VLOOKUP(B109,'[1]Outgoing to JEL'!$A$6:$G$5000,2,0),"")</f>
        <v/>
      </c>
      <c r="V109" s="15" t="str">
        <f>IFERROR(VLOOKUP(B109,'[1]Outgoing to JEL'!$A$6:$G$5000,7,0),"")</f>
        <v/>
      </c>
      <c r="W109" s="3" t="str">
        <f t="shared" si="83"/>
        <v>Issued for AIP Information</v>
      </c>
    </row>
    <row r="110" spans="1:23" s="16" customFormat="1" x14ac:dyDescent="0.2">
      <c r="A110" s="98"/>
      <c r="B110" s="30" t="str">
        <f t="shared" si="74"/>
        <v>KHF-00-104265-BA-5011-01301-0000-2</v>
      </c>
      <c r="C110" s="31" t="s">
        <v>300</v>
      </c>
      <c r="D110" s="32" t="s">
        <v>301</v>
      </c>
      <c r="E110" s="20">
        <v>2</v>
      </c>
      <c r="F110" s="20"/>
      <c r="G110" s="20"/>
      <c r="H110" s="20" t="str">
        <f t="shared" si="75"/>
        <v/>
      </c>
      <c r="I110" s="3" t="str">
        <f t="shared" ref="I110:I111" si="100">IFERROR(IF(OR(V109="Code B",V109="Code D",V109="-",ISNUMBER(J110)),T109+14,""),"")</f>
        <v/>
      </c>
      <c r="J110" s="15" t="str">
        <f>IFERROR(VLOOKUP(B110,'[1]Incoming from JEL'!$A$6:$G$5002,3,0),"")</f>
        <v/>
      </c>
      <c r="K110" s="15" t="str">
        <f>IFERROR(VLOOKUP(B110,'[1]Incoming from JEL'!$A$6:$G$5002,2,0),"")</f>
        <v/>
      </c>
      <c r="L110" s="15" t="str">
        <f>IFERROR(VLOOKUP(B110,'[1]Incoming from JEL'!$A$6:$G$5002,7,0),"")</f>
        <v/>
      </c>
      <c r="M110" s="15" t="str">
        <f>IFERROR(VLOOKUP(B110,'[2]Outgoing Transmittals to PDO'!$A$6:$G$20000,3,0),"")</f>
        <v/>
      </c>
      <c r="N110" s="15" t="str">
        <f>IFERROR(VLOOKUP(B110,'[2]Outgoing Transmittals to PDO'!$A$6:$G$20000,2,0),"")</f>
        <v/>
      </c>
      <c r="O110" s="15" t="str">
        <f>IFERROR(VLOOKUP(B110,'[2]Outgoing Transmittals to PDO'!$A$6:$G$20000,7,0),"")</f>
        <v/>
      </c>
      <c r="P110" s="15" t="str">
        <f t="shared" si="82"/>
        <v/>
      </c>
      <c r="Q110" s="15" t="str">
        <f>IFERROR(VLOOKUP(B110,'[3]Incoming Transmittals from PDO'!$A$6:$G$20000,3,0),"")</f>
        <v/>
      </c>
      <c r="R110" s="15" t="str">
        <f>IFERROR(VLOOKUP(B110,'[3]Incoming Transmittals from PDO'!$A$6:$G$20000,2,0),"")</f>
        <v/>
      </c>
      <c r="S110" s="15" t="str">
        <f>IFERROR(VLOOKUP(B110,'[3]Incoming Transmittals from PDO'!$A$6:$G$20000,7,0),"")</f>
        <v/>
      </c>
      <c r="T110" s="15" t="str">
        <f>IFERROR(VLOOKUP(B110,'[1]Outgoing to JEL'!$A$6:$G$5000,3,0),"")</f>
        <v/>
      </c>
      <c r="U110" s="15" t="str">
        <f>IFERROR(VLOOKUP(B110,'[1]Outgoing to JEL'!$A$6:$G$5000,2,0),"")</f>
        <v/>
      </c>
      <c r="V110" s="15" t="str">
        <f>IFERROR(VLOOKUP(B110,'[1]Outgoing to JEL'!$A$6:$G$5000,7,0),"")</f>
        <v/>
      </c>
      <c r="W110" s="3" t="str">
        <f t="shared" si="83"/>
        <v/>
      </c>
    </row>
    <row r="111" spans="1:23" s="16" customFormat="1" x14ac:dyDescent="0.2">
      <c r="A111" s="99"/>
      <c r="B111" s="30" t="str">
        <f t="shared" si="74"/>
        <v>KHF-00-104265-BA-5011-01301-0000-3</v>
      </c>
      <c r="C111" s="31" t="s">
        <v>300</v>
      </c>
      <c r="D111" s="32" t="s">
        <v>301</v>
      </c>
      <c r="E111" s="20">
        <v>3</v>
      </c>
      <c r="F111" s="20"/>
      <c r="G111" s="20"/>
      <c r="H111" s="20" t="str">
        <f t="shared" si="75"/>
        <v/>
      </c>
      <c r="I111" s="3" t="str">
        <f t="shared" si="100"/>
        <v/>
      </c>
      <c r="J111" s="15" t="str">
        <f>IFERROR(VLOOKUP(B111,'[1]Incoming from JEL'!$A$6:$G$5002,3,0),"")</f>
        <v/>
      </c>
      <c r="K111" s="15" t="str">
        <f>IFERROR(VLOOKUP(B111,'[1]Incoming from JEL'!$A$6:$G$5002,2,0),"")</f>
        <v/>
      </c>
      <c r="L111" s="15" t="str">
        <f>IFERROR(VLOOKUP(B111,'[1]Incoming from JEL'!$A$6:$G$5002,7,0),"")</f>
        <v/>
      </c>
      <c r="M111" s="15" t="str">
        <f>IFERROR(VLOOKUP(B111,'[2]Outgoing Transmittals to PDO'!$A$6:$G$20000,3,0),"")</f>
        <v/>
      </c>
      <c r="N111" s="15" t="str">
        <f>IFERROR(VLOOKUP(B111,'[2]Outgoing Transmittals to PDO'!$A$6:$G$20000,2,0),"")</f>
        <v/>
      </c>
      <c r="O111" s="15" t="str">
        <f>IFERROR(VLOOKUP(B111,'[2]Outgoing Transmittals to PDO'!$A$6:$G$20000,7,0),"")</f>
        <v/>
      </c>
      <c r="P111" s="15" t="str">
        <f t="shared" si="82"/>
        <v/>
      </c>
      <c r="Q111" s="15" t="str">
        <f>IFERROR(VLOOKUP(B111,'[3]Incoming Transmittals from PDO'!$A$6:$G$20000,3,0),"")</f>
        <v/>
      </c>
      <c r="R111" s="15" t="str">
        <f>IFERROR(VLOOKUP(B111,'[3]Incoming Transmittals from PDO'!$A$6:$G$20000,2,0),"")</f>
        <v/>
      </c>
      <c r="S111" s="15" t="str">
        <f>IFERROR(VLOOKUP(B111,'[3]Incoming Transmittals from PDO'!$A$6:$G$20000,7,0),"")</f>
        <v/>
      </c>
      <c r="T111" s="15" t="str">
        <f>IFERROR(VLOOKUP(B111,'[1]Outgoing to JEL'!$A$6:$G$5000,3,0),"")</f>
        <v/>
      </c>
      <c r="U111" s="15" t="str">
        <f>IFERROR(VLOOKUP(B111,'[1]Outgoing to JEL'!$A$6:$G$5000,2,0),"")</f>
        <v/>
      </c>
      <c r="V111" s="15" t="str">
        <f>IFERROR(VLOOKUP(B111,'[1]Outgoing to JEL'!$A$6:$G$5000,7,0),"")</f>
        <v/>
      </c>
      <c r="W111" s="3" t="str">
        <f t="shared" si="83"/>
        <v/>
      </c>
    </row>
    <row r="112" spans="1:23" s="16" customFormat="1" x14ac:dyDescent="0.2">
      <c r="A112" s="97">
        <f t="shared" ref="A112" si="101">A109+1</f>
        <v>35</v>
      </c>
      <c r="B112" s="30" t="str">
        <f t="shared" si="74"/>
        <v>KHF-00-104265-BA-5011-01302-0000-1</v>
      </c>
      <c r="C112" s="31" t="s">
        <v>302</v>
      </c>
      <c r="D112" s="32" t="s">
        <v>303</v>
      </c>
      <c r="E112" s="20">
        <v>1</v>
      </c>
      <c r="F112" s="20"/>
      <c r="G112" s="20"/>
      <c r="H112" s="20" t="str">
        <f t="shared" si="75"/>
        <v>L</v>
      </c>
      <c r="I112" s="3">
        <f>J112</f>
        <v>43458</v>
      </c>
      <c r="J112" s="15">
        <f>IFERROR(VLOOKUP(B112,'[1]Incoming from JEL'!$A$6:$G$5002,3,0),"")</f>
        <v>43458</v>
      </c>
      <c r="K112" s="15" t="str">
        <f>IFERROR(VLOOKUP(B112,'[1]Incoming from JEL'!$A$6:$G$5002,2,0),"")</f>
        <v>AIP-YKP-JEL-T-0002</v>
      </c>
      <c r="L112" s="15" t="str">
        <f>IFERROR(VLOOKUP(B112,'[1]Incoming from JEL'!$A$6:$G$5002,7,0),"")</f>
        <v>IFI</v>
      </c>
      <c r="M112" s="15" t="str">
        <f>IFERROR(VLOOKUP(B112,'[2]Outgoing Transmittals to PDO'!$A$6:$G$20000,3,0),"")</f>
        <v/>
      </c>
      <c r="N112" s="15" t="str">
        <f>IFERROR(VLOOKUP(B112,'[2]Outgoing Transmittals to PDO'!$A$6:$G$20000,2,0),"")</f>
        <v/>
      </c>
      <c r="O112" s="15" t="str">
        <f>IFERROR(VLOOKUP(B112,'[2]Outgoing Transmittals to PDO'!$A$6:$G$20000,7,0),"")</f>
        <v/>
      </c>
      <c r="P112" s="15" t="str">
        <f t="shared" si="82"/>
        <v/>
      </c>
      <c r="Q112" s="15" t="str">
        <f>IFERROR(VLOOKUP(B112,'[3]Incoming Transmittals from PDO'!$A$6:$G$20000,3,0),"")</f>
        <v/>
      </c>
      <c r="R112" s="15" t="str">
        <f>IFERROR(VLOOKUP(B112,'[3]Incoming Transmittals from PDO'!$A$6:$G$20000,2,0),"")</f>
        <v/>
      </c>
      <c r="S112" s="15" t="str">
        <f>IFERROR(VLOOKUP(B112,'[3]Incoming Transmittals from PDO'!$A$6:$G$20000,7,0),"")</f>
        <v/>
      </c>
      <c r="T112" s="15" t="str">
        <f>IFERROR(VLOOKUP(B112,'[1]Outgoing to JEL'!$A$6:$G$5000,3,0),"")</f>
        <v/>
      </c>
      <c r="U112" s="15" t="str">
        <f>IFERROR(VLOOKUP(B112,'[1]Outgoing to JEL'!$A$6:$G$5000,2,0),"")</f>
        <v/>
      </c>
      <c r="V112" s="15" t="str">
        <f>IFERROR(VLOOKUP(B112,'[1]Outgoing to JEL'!$A$6:$G$5000,7,0),"")</f>
        <v/>
      </c>
      <c r="W112" s="3" t="str">
        <f t="shared" si="83"/>
        <v>Issued for AIP Information</v>
      </c>
    </row>
    <row r="113" spans="1:23" s="16" customFormat="1" x14ac:dyDescent="0.2">
      <c r="A113" s="98"/>
      <c r="B113" s="30" t="str">
        <f t="shared" si="74"/>
        <v>KHF-00-104265-BA-5011-01302-0000-2</v>
      </c>
      <c r="C113" s="31" t="s">
        <v>302</v>
      </c>
      <c r="D113" s="32" t="s">
        <v>303</v>
      </c>
      <c r="E113" s="20">
        <v>2</v>
      </c>
      <c r="F113" s="20"/>
      <c r="G113" s="20"/>
      <c r="H113" s="20" t="str">
        <f t="shared" si="75"/>
        <v/>
      </c>
      <c r="I113" s="3" t="str">
        <f t="shared" ref="I113:I114" si="102">IFERROR(IF(OR(V112="Code B",V112="Code D",V112="-",ISNUMBER(J113)),T112+14,""),"")</f>
        <v/>
      </c>
      <c r="J113" s="15" t="str">
        <f>IFERROR(VLOOKUP(B113,'[1]Incoming from JEL'!$A$6:$G$5002,3,0),"")</f>
        <v/>
      </c>
      <c r="K113" s="15" t="str">
        <f>IFERROR(VLOOKUP(B113,'[1]Incoming from JEL'!$A$6:$G$5002,2,0),"")</f>
        <v/>
      </c>
      <c r="L113" s="15" t="str">
        <f>IFERROR(VLOOKUP(B113,'[1]Incoming from JEL'!$A$6:$G$5002,7,0),"")</f>
        <v/>
      </c>
      <c r="M113" s="15" t="str">
        <f>IFERROR(VLOOKUP(B113,'[2]Outgoing Transmittals to PDO'!$A$6:$G$20000,3,0),"")</f>
        <v/>
      </c>
      <c r="N113" s="15" t="str">
        <f>IFERROR(VLOOKUP(B113,'[2]Outgoing Transmittals to PDO'!$A$6:$G$20000,2,0),"")</f>
        <v/>
      </c>
      <c r="O113" s="15" t="str">
        <f>IFERROR(VLOOKUP(B113,'[2]Outgoing Transmittals to PDO'!$A$6:$G$20000,7,0),"")</f>
        <v/>
      </c>
      <c r="P113" s="15" t="str">
        <f t="shared" si="82"/>
        <v/>
      </c>
      <c r="Q113" s="15" t="str">
        <f>IFERROR(VLOOKUP(B113,'[3]Incoming Transmittals from PDO'!$A$6:$G$20000,3,0),"")</f>
        <v/>
      </c>
      <c r="R113" s="15" t="str">
        <f>IFERROR(VLOOKUP(B113,'[3]Incoming Transmittals from PDO'!$A$6:$G$20000,2,0),"")</f>
        <v/>
      </c>
      <c r="S113" s="15" t="str">
        <f>IFERROR(VLOOKUP(B113,'[3]Incoming Transmittals from PDO'!$A$6:$G$20000,7,0),"")</f>
        <v/>
      </c>
      <c r="T113" s="15" t="str">
        <f>IFERROR(VLOOKUP(B113,'[1]Outgoing to JEL'!$A$6:$G$5000,3,0),"")</f>
        <v/>
      </c>
      <c r="U113" s="15" t="str">
        <f>IFERROR(VLOOKUP(B113,'[1]Outgoing to JEL'!$A$6:$G$5000,2,0),"")</f>
        <v/>
      </c>
      <c r="V113" s="15" t="str">
        <f>IFERROR(VLOOKUP(B113,'[1]Outgoing to JEL'!$A$6:$G$5000,7,0),"")</f>
        <v/>
      </c>
      <c r="W113" s="3" t="str">
        <f t="shared" si="83"/>
        <v/>
      </c>
    </row>
    <row r="114" spans="1:23" s="16" customFormat="1" x14ac:dyDescent="0.2">
      <c r="A114" s="99"/>
      <c r="B114" s="30" t="str">
        <f t="shared" si="74"/>
        <v>KHF-00-104265-BA-5011-01302-0000-3</v>
      </c>
      <c r="C114" s="31" t="s">
        <v>302</v>
      </c>
      <c r="D114" s="32" t="s">
        <v>303</v>
      </c>
      <c r="E114" s="20">
        <v>3</v>
      </c>
      <c r="F114" s="20"/>
      <c r="G114" s="20"/>
      <c r="H114" s="20" t="str">
        <f t="shared" si="75"/>
        <v/>
      </c>
      <c r="I114" s="3" t="str">
        <f t="shared" si="102"/>
        <v/>
      </c>
      <c r="J114" s="15" t="str">
        <f>IFERROR(VLOOKUP(B114,'[1]Incoming from JEL'!$A$6:$G$5002,3,0),"")</f>
        <v/>
      </c>
      <c r="K114" s="15" t="str">
        <f>IFERROR(VLOOKUP(B114,'[1]Incoming from JEL'!$A$6:$G$5002,2,0),"")</f>
        <v/>
      </c>
      <c r="L114" s="15" t="str">
        <f>IFERROR(VLOOKUP(B114,'[1]Incoming from JEL'!$A$6:$G$5002,7,0),"")</f>
        <v/>
      </c>
      <c r="M114" s="15" t="str">
        <f>IFERROR(VLOOKUP(B114,'[2]Outgoing Transmittals to PDO'!$A$6:$G$20000,3,0),"")</f>
        <v/>
      </c>
      <c r="N114" s="15" t="str">
        <f>IFERROR(VLOOKUP(B114,'[2]Outgoing Transmittals to PDO'!$A$6:$G$20000,2,0),"")</f>
        <v/>
      </c>
      <c r="O114" s="15" t="str">
        <f>IFERROR(VLOOKUP(B114,'[2]Outgoing Transmittals to PDO'!$A$6:$G$20000,7,0),"")</f>
        <v/>
      </c>
      <c r="P114" s="15" t="str">
        <f t="shared" si="82"/>
        <v/>
      </c>
      <c r="Q114" s="15" t="str">
        <f>IFERROR(VLOOKUP(B114,'[3]Incoming Transmittals from PDO'!$A$6:$G$20000,3,0),"")</f>
        <v/>
      </c>
      <c r="R114" s="15" t="str">
        <f>IFERROR(VLOOKUP(B114,'[3]Incoming Transmittals from PDO'!$A$6:$G$20000,2,0),"")</f>
        <v/>
      </c>
      <c r="S114" s="15" t="str">
        <f>IFERROR(VLOOKUP(B114,'[3]Incoming Transmittals from PDO'!$A$6:$G$20000,7,0),"")</f>
        <v/>
      </c>
      <c r="T114" s="15" t="str">
        <f>IFERROR(VLOOKUP(B114,'[1]Outgoing to JEL'!$A$6:$G$5000,3,0),"")</f>
        <v/>
      </c>
      <c r="U114" s="15" t="str">
        <f>IFERROR(VLOOKUP(B114,'[1]Outgoing to JEL'!$A$6:$G$5000,2,0),"")</f>
        <v/>
      </c>
      <c r="V114" s="15" t="str">
        <f>IFERROR(VLOOKUP(B114,'[1]Outgoing to JEL'!$A$6:$G$5000,7,0),"")</f>
        <v/>
      </c>
      <c r="W114" s="3" t="str">
        <f t="shared" si="83"/>
        <v/>
      </c>
    </row>
    <row r="115" spans="1:23" s="16" customFormat="1" x14ac:dyDescent="0.2">
      <c r="A115" s="97">
        <f t="shared" ref="A115" si="103">A112+1</f>
        <v>36</v>
      </c>
      <c r="B115" s="30" t="str">
        <f t="shared" si="74"/>
        <v>KHF-00-104265-QA-5733-01305-0000-1</v>
      </c>
      <c r="C115" s="31" t="s">
        <v>304</v>
      </c>
      <c r="D115" s="32" t="s">
        <v>305</v>
      </c>
      <c r="E115" s="20">
        <v>1</v>
      </c>
      <c r="F115" s="20"/>
      <c r="G115" s="20"/>
      <c r="H115" s="20" t="str">
        <f t="shared" si="75"/>
        <v/>
      </c>
      <c r="I115" s="3">
        <f t="shared" ref="I115" si="104">J115</f>
        <v>43461</v>
      </c>
      <c r="J115" s="15">
        <f>IFERROR(VLOOKUP(B115,'[1]Incoming from JEL'!$A$6:$G$5002,3,0),"")</f>
        <v>43461</v>
      </c>
      <c r="K115" s="15" t="str">
        <f>IFERROR(VLOOKUP(B115,'[1]Incoming from JEL'!$A$6:$G$5002,2,0),"")</f>
        <v>AIP-YKP-JEL-T-0009</v>
      </c>
      <c r="L115" s="15" t="str">
        <f>IFERROR(VLOOKUP(B115,'[1]Incoming from JEL'!$A$6:$G$5002,7,0),"")</f>
        <v>IFR</v>
      </c>
      <c r="M115" s="15">
        <f>IFERROR(VLOOKUP(B115,'[2]Outgoing Transmittals to PDO'!$A$6:$G$20000,3,0),"")</f>
        <v>43485</v>
      </c>
      <c r="N115" s="15" t="str">
        <f>IFERROR(VLOOKUP(B115,'[2]Outgoing Transmittals to PDO'!$A$6:$G$20000,2,0),"")</f>
        <v>AIP-PDO-P1701009-T-0927</v>
      </c>
      <c r="O115" s="15" t="str">
        <f>IFERROR(VLOOKUP(B115,'[2]Outgoing Transmittals to PDO'!$A$6:$G$20000,7,0),"")</f>
        <v>IFR</v>
      </c>
      <c r="P115" s="15">
        <f t="shared" si="82"/>
        <v>43499</v>
      </c>
      <c r="Q115" s="15">
        <f>IFERROR(VLOOKUP(B115,'[3]Incoming Transmittals from PDO'!$A$6:$G$20000,3,0),"")</f>
        <v>43494</v>
      </c>
      <c r="R115" s="15" t="str">
        <f>IFERROR(VLOOKUP(B115,'[3]Incoming Transmittals from PDO'!$A$6:$G$20000,2,0),"")</f>
        <v>KHF_AIP_D_EXT_00962</v>
      </c>
      <c r="S115" s="15" t="str">
        <f>IFERROR(VLOOKUP(B115,'[3]Incoming Transmittals from PDO'!$A$6:$G$20000,7,0),"")</f>
        <v>Code B</v>
      </c>
      <c r="T115" s="15">
        <f>IFERROR(VLOOKUP(B115,'[1]Outgoing to JEL'!$A$6:$G$5000,3,0),"")</f>
        <v>43494</v>
      </c>
      <c r="U115" s="15" t="str">
        <f>IFERROR(VLOOKUP(B115,'[1]Outgoing to JEL'!$A$6:$G$5000,2,0),"")</f>
        <v>AIP-YKP-JEL-P1701009-T-0005</v>
      </c>
      <c r="V115" s="15" t="str">
        <f>IFERROR(VLOOKUP(B115,'[1]Outgoing to JEL'!$A$6:$G$5000,7,0),"")</f>
        <v>Code B</v>
      </c>
      <c r="W115" s="3" t="str">
        <f t="shared" si="83"/>
        <v>Comments from PDO</v>
      </c>
    </row>
    <row r="116" spans="1:23" s="16" customFormat="1" x14ac:dyDescent="0.2">
      <c r="A116" s="98"/>
      <c r="B116" s="30" t="str">
        <f t="shared" si="74"/>
        <v>KHF-00-104265-QA-5733-01305-0000-2</v>
      </c>
      <c r="C116" s="31" t="s">
        <v>304</v>
      </c>
      <c r="D116" s="32" t="s">
        <v>305</v>
      </c>
      <c r="E116" s="20">
        <v>2</v>
      </c>
      <c r="F116" s="20"/>
      <c r="G116" s="20"/>
      <c r="H116" s="20" t="str">
        <f t="shared" si="75"/>
        <v>L</v>
      </c>
      <c r="I116" s="3">
        <f t="shared" ref="I116:I117" si="105">IFERROR(IF(OR(V115="Code B",V115="Code D",V115="-",ISNUMBER(J116)),T115+14,""),"")</f>
        <v>43508</v>
      </c>
      <c r="J116" s="15">
        <f>IFERROR(VLOOKUP(B116,'[1]Incoming from JEL'!$A$6:$G$5002,3,0),"")</f>
        <v>43499</v>
      </c>
      <c r="K116" s="15" t="str">
        <f>IFERROR(VLOOKUP(B116,'[1]Incoming from JEL'!$A$6:$G$5002,2,0),"")</f>
        <v>AIP-YKP-JEL-T-0016</v>
      </c>
      <c r="L116" s="15" t="str">
        <f>IFERROR(VLOOKUP(B116,'[1]Incoming from JEL'!$A$6:$G$5002,7,0),"")</f>
        <v>IFR</v>
      </c>
      <c r="M116" s="15">
        <f>IFERROR(VLOOKUP(B116,'[2]Outgoing Transmittals to PDO'!$A$6:$G$20000,3,0),"")</f>
        <v>43500</v>
      </c>
      <c r="N116" s="15" t="str">
        <f>IFERROR(VLOOKUP(B116,'[2]Outgoing Transmittals to PDO'!$A$6:$G$20000,2,0),"")</f>
        <v>AIP-PDO-P1701009-T-0965</v>
      </c>
      <c r="O116" s="15" t="str">
        <f>IFERROR(VLOOKUP(B116,'[2]Outgoing Transmittals to PDO'!$A$6:$G$20000,7,0),"")</f>
        <v>IFA</v>
      </c>
      <c r="P116" s="15">
        <f t="shared" si="82"/>
        <v>43514</v>
      </c>
      <c r="Q116" s="15">
        <f>IFERROR(VLOOKUP(B116,'[3]Incoming Transmittals from PDO'!$A$6:$G$20000,3,0),"")</f>
        <v>43514</v>
      </c>
      <c r="R116" s="15" t="str">
        <f>IFERROR(VLOOKUP(B116,'[3]Incoming Transmittals from PDO'!$A$6:$G$20000,2,0),"")</f>
        <v>KHF_AIP_D_EXT_01021</v>
      </c>
      <c r="S116" s="15" t="str">
        <f>IFERROR(VLOOKUP(B116,'[3]Incoming Transmittals from PDO'!$A$6:$G$20000,7,0),"")</f>
        <v>Code A</v>
      </c>
      <c r="T116" s="15">
        <f>IFERROR(VLOOKUP(B116,'[1]Outgoing to JEL'!$A$6:$G$5000,3,0),"")</f>
        <v>43514</v>
      </c>
      <c r="U116" s="15" t="str">
        <f>IFERROR(VLOOKUP(B116,'[1]Outgoing to JEL'!$A$6:$G$5000,2,0),"")</f>
        <v>AIP-YKP-JEL-P1701009-T-0009</v>
      </c>
      <c r="V116" s="15" t="str">
        <f>IFERROR(VLOOKUP(B116,'[1]Outgoing to JEL'!$A$6:$G$5000,7,0),"")</f>
        <v>Code A</v>
      </c>
      <c r="W116" s="3" t="str">
        <f t="shared" si="83"/>
        <v>Approved by PDO</v>
      </c>
    </row>
    <row r="117" spans="1:23" s="16" customFormat="1" x14ac:dyDescent="0.2">
      <c r="A117" s="99"/>
      <c r="B117" s="30" t="str">
        <f t="shared" si="74"/>
        <v>KHF-00-104265-QA-5733-01305-0000-3</v>
      </c>
      <c r="C117" s="31" t="s">
        <v>304</v>
      </c>
      <c r="D117" s="32" t="s">
        <v>305</v>
      </c>
      <c r="E117" s="20">
        <v>3</v>
      </c>
      <c r="F117" s="20"/>
      <c r="G117" s="20"/>
      <c r="H117" s="20" t="str">
        <f t="shared" si="75"/>
        <v/>
      </c>
      <c r="I117" s="3" t="str">
        <f t="shared" si="105"/>
        <v/>
      </c>
      <c r="J117" s="15" t="str">
        <f>IFERROR(VLOOKUP(B117,'[1]Incoming from JEL'!$A$6:$G$5002,3,0),"")</f>
        <v/>
      </c>
      <c r="K117" s="15" t="str">
        <f>IFERROR(VLOOKUP(B117,'[1]Incoming from JEL'!$A$6:$G$5002,2,0),"")</f>
        <v/>
      </c>
      <c r="L117" s="15" t="str">
        <f>IFERROR(VLOOKUP(B117,'[1]Incoming from JEL'!$A$6:$G$5002,7,0),"")</f>
        <v/>
      </c>
      <c r="M117" s="15" t="str">
        <f>IFERROR(VLOOKUP(B117,'[2]Outgoing Transmittals to PDO'!$A$6:$G$20000,3,0),"")</f>
        <v/>
      </c>
      <c r="N117" s="15" t="str">
        <f>IFERROR(VLOOKUP(B117,'[2]Outgoing Transmittals to PDO'!$A$6:$G$20000,2,0),"")</f>
        <v/>
      </c>
      <c r="O117" s="15" t="str">
        <f>IFERROR(VLOOKUP(B117,'[2]Outgoing Transmittals to PDO'!$A$6:$G$20000,7,0),"")</f>
        <v/>
      </c>
      <c r="P117" s="15" t="str">
        <f t="shared" si="82"/>
        <v/>
      </c>
      <c r="Q117" s="15" t="str">
        <f>IFERROR(VLOOKUP(B117,'[3]Incoming Transmittals from PDO'!$A$6:$G$20000,3,0),"")</f>
        <v/>
      </c>
      <c r="R117" s="15" t="str">
        <f>IFERROR(VLOOKUP(B117,'[3]Incoming Transmittals from PDO'!$A$6:$G$20000,2,0),"")</f>
        <v/>
      </c>
      <c r="S117" s="15" t="str">
        <f>IFERROR(VLOOKUP(B117,'[3]Incoming Transmittals from PDO'!$A$6:$G$20000,7,0),"")</f>
        <v/>
      </c>
      <c r="T117" s="15" t="str">
        <f>IFERROR(VLOOKUP(B117,'[1]Outgoing to JEL'!$A$6:$G$5000,3,0),"")</f>
        <v/>
      </c>
      <c r="U117" s="15" t="str">
        <f>IFERROR(VLOOKUP(B117,'[1]Outgoing to JEL'!$A$6:$G$5000,2,0),"")</f>
        <v/>
      </c>
      <c r="V117" s="15" t="str">
        <f>IFERROR(VLOOKUP(B117,'[1]Outgoing to JEL'!$A$6:$G$5000,7,0),"")</f>
        <v/>
      </c>
      <c r="W117" s="3" t="str">
        <f t="shared" si="83"/>
        <v/>
      </c>
    </row>
    <row r="118" spans="1:23" s="16" customFormat="1" x14ac:dyDescent="0.2">
      <c r="A118" s="97">
        <f>A115+1</f>
        <v>37</v>
      </c>
      <c r="B118" s="30" t="str">
        <f t="shared" si="74"/>
        <v>KHF-00-104265-QA-5733-01306-0000-1</v>
      </c>
      <c r="C118" s="31" t="s">
        <v>306</v>
      </c>
      <c r="D118" s="32" t="s">
        <v>307</v>
      </c>
      <c r="E118" s="20">
        <v>1</v>
      </c>
      <c r="F118" s="20"/>
      <c r="G118" s="20"/>
      <c r="H118" s="20" t="str">
        <f t="shared" si="75"/>
        <v/>
      </c>
      <c r="I118" s="3">
        <f>J118</f>
        <v>43461</v>
      </c>
      <c r="J118" s="15">
        <f>IFERROR(VLOOKUP(B118,'[1]Incoming from JEL'!$A$6:$G$5002,3,0),"")</f>
        <v>43461</v>
      </c>
      <c r="K118" s="15" t="str">
        <f>IFERROR(VLOOKUP(B118,'[1]Incoming from JEL'!$A$6:$G$5002,2,0),"")</f>
        <v>AIP-YKP-JEL-T-0009</v>
      </c>
      <c r="L118" s="15" t="str">
        <f>IFERROR(VLOOKUP(B118,'[1]Incoming from JEL'!$A$6:$G$5002,7,0),"")</f>
        <v>IFR</v>
      </c>
      <c r="M118" s="15">
        <f>IFERROR(VLOOKUP(B118,'[2]Outgoing Transmittals to PDO'!$A$6:$G$20000,3,0),"")</f>
        <v>43485</v>
      </c>
      <c r="N118" s="15" t="str">
        <f>IFERROR(VLOOKUP(B118,'[2]Outgoing Transmittals to PDO'!$A$6:$G$20000,2,0),"")</f>
        <v>AIP-PDO-P1701009-T-0927</v>
      </c>
      <c r="O118" s="15" t="str">
        <f>IFERROR(VLOOKUP(B118,'[2]Outgoing Transmittals to PDO'!$A$6:$G$20000,7,0),"")</f>
        <v>IFR</v>
      </c>
      <c r="P118" s="15">
        <f t="shared" si="82"/>
        <v>43499</v>
      </c>
      <c r="Q118" s="15">
        <f>IFERROR(VLOOKUP(B118,'[3]Incoming Transmittals from PDO'!$A$6:$G$20000,3,0),"")</f>
        <v>43496</v>
      </c>
      <c r="R118" s="15" t="str">
        <f>IFERROR(VLOOKUP(B118,'[3]Incoming Transmittals from PDO'!$A$6:$G$20000,2,0),"")</f>
        <v>KHF_AIP_D_EXT_00968</v>
      </c>
      <c r="S118" s="15" t="str">
        <f>IFERROR(VLOOKUP(B118,'[3]Incoming Transmittals from PDO'!$A$6:$G$20000,7,0),"")</f>
        <v>Code B</v>
      </c>
      <c r="T118" s="15">
        <f>IFERROR(VLOOKUP(B118,'[1]Outgoing to JEL'!$A$6:$G$5000,3,0),"")</f>
        <v>43499</v>
      </c>
      <c r="U118" s="15" t="str">
        <f>IFERROR(VLOOKUP(B118,'[1]Outgoing to JEL'!$A$6:$G$5000,2,0),"")</f>
        <v>AIP-YKP-JEL-P1701009-T-0006</v>
      </c>
      <c r="V118" s="15" t="str">
        <f>IFERROR(VLOOKUP(B118,'[1]Outgoing to JEL'!$A$6:$G$5000,7,0),"")</f>
        <v>Code B</v>
      </c>
      <c r="W118" s="3" t="str">
        <f t="shared" si="83"/>
        <v>Comments from PDO</v>
      </c>
    </row>
    <row r="119" spans="1:23" s="16" customFormat="1" x14ac:dyDescent="0.2">
      <c r="A119" s="98"/>
      <c r="B119" s="30" t="str">
        <f t="shared" si="74"/>
        <v>KHF-00-104265-QA-5733-01306-0000-2</v>
      </c>
      <c r="C119" s="31" t="s">
        <v>306</v>
      </c>
      <c r="D119" s="32" t="s">
        <v>307</v>
      </c>
      <c r="E119" s="20">
        <v>2</v>
      </c>
      <c r="F119" s="20"/>
      <c r="G119" s="20"/>
      <c r="H119" s="20" t="str">
        <f t="shared" si="75"/>
        <v>L</v>
      </c>
      <c r="I119" s="3">
        <f t="shared" ref="I119:I120" si="106">IFERROR(IF(OR(V118="Code B",V118="Code D",V118="-",ISNUMBER(J119)),T118+14,""),"")</f>
        <v>43513</v>
      </c>
      <c r="J119" s="15">
        <f>IFERROR(VLOOKUP(B119,'[1]Incoming from JEL'!$A$6:$G$5002,3,0),"")</f>
        <v>43499</v>
      </c>
      <c r="K119" s="15" t="str">
        <f>IFERROR(VLOOKUP(B119,'[1]Incoming from JEL'!$A$6:$G$5002,2,0),"")</f>
        <v>AIP-YKP-JEL-T-0016</v>
      </c>
      <c r="L119" s="15" t="str">
        <f>IFERROR(VLOOKUP(B119,'[1]Incoming from JEL'!$A$6:$G$5002,7,0),"")</f>
        <v>IFR</v>
      </c>
      <c r="M119" s="15">
        <f>IFERROR(VLOOKUP(B119,'[2]Outgoing Transmittals to PDO'!$A$6:$G$20000,3,0),"")</f>
        <v>43500</v>
      </c>
      <c r="N119" s="15" t="str">
        <f>IFERROR(VLOOKUP(B119,'[2]Outgoing Transmittals to PDO'!$A$6:$G$20000,2,0),"")</f>
        <v>AIP-PDO-P1701009-T-0965</v>
      </c>
      <c r="O119" s="15" t="str">
        <f>IFERROR(VLOOKUP(B119,'[2]Outgoing Transmittals to PDO'!$A$6:$G$20000,7,0),"")</f>
        <v>IFA</v>
      </c>
      <c r="P119" s="15">
        <f t="shared" si="82"/>
        <v>43514</v>
      </c>
      <c r="Q119" s="15">
        <f>IFERROR(VLOOKUP(B119,'[3]Incoming Transmittals from PDO'!$A$6:$G$20000,3,0),"")</f>
        <v>43507</v>
      </c>
      <c r="R119" s="15" t="str">
        <f>IFERROR(VLOOKUP(B119,'[3]Incoming Transmittals from PDO'!$A$6:$G$20000,2,0),"")</f>
        <v>KHF_AIP_D_EXT_00991</v>
      </c>
      <c r="S119" s="15" t="str">
        <f>IFERROR(VLOOKUP(B119,'[3]Incoming Transmittals from PDO'!$A$6:$G$20000,7,0),"")</f>
        <v>Code A</v>
      </c>
      <c r="T119" s="15">
        <f>IFERROR(VLOOKUP(B119,'[1]Outgoing to JEL'!$A$6:$G$5000,3,0),"")</f>
        <v>43508</v>
      </c>
      <c r="U119" s="15" t="str">
        <f>IFERROR(VLOOKUP(B119,'[1]Outgoing to JEL'!$A$6:$G$5000,2,0),"")</f>
        <v>AIP-YKP-JEL-P1701009-T-0008</v>
      </c>
      <c r="V119" s="15" t="str">
        <f>IFERROR(VLOOKUP(B119,'[1]Outgoing to JEL'!$A$6:$G$5000,7,0),"")</f>
        <v>Code A</v>
      </c>
      <c r="W119" s="3" t="str">
        <f t="shared" si="83"/>
        <v>Approved by PDO</v>
      </c>
    </row>
    <row r="120" spans="1:23" s="16" customFormat="1" x14ac:dyDescent="0.2">
      <c r="A120" s="99"/>
      <c r="B120" s="30" t="str">
        <f t="shared" si="74"/>
        <v>KHF-00-104265-QA-5733-01306-0000-3</v>
      </c>
      <c r="C120" s="31" t="s">
        <v>306</v>
      </c>
      <c r="D120" s="32" t="s">
        <v>307</v>
      </c>
      <c r="E120" s="20">
        <v>3</v>
      </c>
      <c r="F120" s="20"/>
      <c r="G120" s="20"/>
      <c r="H120" s="20" t="str">
        <f t="shared" si="75"/>
        <v/>
      </c>
      <c r="I120" s="3" t="str">
        <f t="shared" si="106"/>
        <v/>
      </c>
      <c r="J120" s="15" t="str">
        <f>IFERROR(VLOOKUP(B120,'[1]Incoming from JEL'!$A$6:$G$5002,3,0),"")</f>
        <v/>
      </c>
      <c r="K120" s="15" t="str">
        <f>IFERROR(VLOOKUP(B120,'[1]Incoming from JEL'!$A$6:$G$5002,2,0),"")</f>
        <v/>
      </c>
      <c r="L120" s="15" t="str">
        <f>IFERROR(VLOOKUP(B120,'[1]Incoming from JEL'!$A$6:$G$5002,7,0),"")</f>
        <v/>
      </c>
      <c r="M120" s="15" t="str">
        <f>IFERROR(VLOOKUP(B120,'[2]Outgoing Transmittals to PDO'!$A$6:$G$20000,3,0),"")</f>
        <v/>
      </c>
      <c r="N120" s="15" t="str">
        <f>IFERROR(VLOOKUP(B120,'[2]Outgoing Transmittals to PDO'!$A$6:$G$20000,2,0),"")</f>
        <v/>
      </c>
      <c r="O120" s="15" t="str">
        <f>IFERROR(VLOOKUP(B120,'[2]Outgoing Transmittals to PDO'!$A$6:$G$20000,7,0),"")</f>
        <v/>
      </c>
      <c r="P120" s="15" t="str">
        <f t="shared" si="82"/>
        <v/>
      </c>
      <c r="Q120" s="15" t="str">
        <f>IFERROR(VLOOKUP(B120,'[3]Incoming Transmittals from PDO'!$A$6:$G$20000,3,0),"")</f>
        <v/>
      </c>
      <c r="R120" s="15" t="str">
        <f>IFERROR(VLOOKUP(B120,'[3]Incoming Transmittals from PDO'!$A$6:$G$20000,2,0),"")</f>
        <v/>
      </c>
      <c r="S120" s="15" t="str">
        <f>IFERROR(VLOOKUP(B120,'[3]Incoming Transmittals from PDO'!$A$6:$G$20000,7,0),"")</f>
        <v/>
      </c>
      <c r="T120" s="15" t="str">
        <f>IFERROR(VLOOKUP(B120,'[1]Outgoing to JEL'!$A$6:$G$5000,3,0),"")</f>
        <v/>
      </c>
      <c r="U120" s="15" t="str">
        <f>IFERROR(VLOOKUP(B120,'[1]Outgoing to JEL'!$A$6:$G$5000,2,0),"")</f>
        <v/>
      </c>
      <c r="V120" s="15" t="str">
        <f>IFERROR(VLOOKUP(B120,'[1]Outgoing to JEL'!$A$6:$G$5000,7,0),"")</f>
        <v/>
      </c>
      <c r="W120" s="3" t="str">
        <f t="shared" si="83"/>
        <v/>
      </c>
    </row>
    <row r="121" spans="1:23" s="16" customFormat="1" x14ac:dyDescent="0.2">
      <c r="A121" s="97">
        <f t="shared" ref="A121" si="107">A118+1</f>
        <v>38</v>
      </c>
      <c r="B121" s="30" t="str">
        <f t="shared" si="74"/>
        <v>KHF-00-104265-QA-5733-01307-0000-1</v>
      </c>
      <c r="C121" s="31" t="s">
        <v>308</v>
      </c>
      <c r="D121" s="32" t="s">
        <v>309</v>
      </c>
      <c r="E121" s="20">
        <v>1</v>
      </c>
      <c r="F121" s="20"/>
      <c r="G121" s="20"/>
      <c r="H121" s="20" t="str">
        <f t="shared" si="75"/>
        <v/>
      </c>
      <c r="I121" s="3">
        <f t="shared" ref="I121" si="108">J121</f>
        <v>43461</v>
      </c>
      <c r="J121" s="15">
        <f>IFERROR(VLOOKUP(B121,'[1]Incoming from JEL'!$A$6:$G$5002,3,0),"")</f>
        <v>43461</v>
      </c>
      <c r="K121" s="15" t="str">
        <f>IFERROR(VLOOKUP(B121,'[1]Incoming from JEL'!$A$6:$G$5002,2,0),"")</f>
        <v>AIP-YKP-JEL-T-0009</v>
      </c>
      <c r="L121" s="15" t="str">
        <f>IFERROR(VLOOKUP(B121,'[1]Incoming from JEL'!$A$6:$G$5002,7,0),"")</f>
        <v>IFR</v>
      </c>
      <c r="M121" s="15">
        <f>IFERROR(VLOOKUP(B121,'[2]Outgoing Transmittals to PDO'!$A$6:$G$20000,3,0),"")</f>
        <v>43485</v>
      </c>
      <c r="N121" s="15" t="str">
        <f>IFERROR(VLOOKUP(B121,'[2]Outgoing Transmittals to PDO'!$A$6:$G$20000,2,0),"")</f>
        <v>AIP-PDO-P1701009-T-0927</v>
      </c>
      <c r="O121" s="15" t="str">
        <f>IFERROR(VLOOKUP(B121,'[2]Outgoing Transmittals to PDO'!$A$6:$G$20000,7,0),"")</f>
        <v>IFR</v>
      </c>
      <c r="P121" s="15">
        <f t="shared" si="82"/>
        <v>43499</v>
      </c>
      <c r="Q121" s="15">
        <f>IFERROR(VLOOKUP(B121,'[3]Incoming Transmittals from PDO'!$A$6:$G$20000,3,0),"")</f>
        <v>43494</v>
      </c>
      <c r="R121" s="15" t="str">
        <f>IFERROR(VLOOKUP(B121,'[3]Incoming Transmittals from PDO'!$A$6:$G$20000,2,0),"")</f>
        <v>KHF_AIP_D_EXT_00962</v>
      </c>
      <c r="S121" s="15" t="str">
        <f>IFERROR(VLOOKUP(B121,'[3]Incoming Transmittals from PDO'!$A$6:$G$20000,7,0),"")</f>
        <v>Code B</v>
      </c>
      <c r="T121" s="15">
        <f>IFERROR(VLOOKUP(B121,'[1]Outgoing to JEL'!$A$6:$G$5000,3,0),"")</f>
        <v>43494</v>
      </c>
      <c r="U121" s="15" t="str">
        <f>IFERROR(VLOOKUP(B121,'[1]Outgoing to JEL'!$A$6:$G$5000,2,0),"")</f>
        <v>AIP-YKP-JEL-P1701009-T-0005</v>
      </c>
      <c r="V121" s="15" t="str">
        <f>IFERROR(VLOOKUP(B121,'[1]Outgoing to JEL'!$A$6:$G$5000,7,0),"")</f>
        <v>Code B</v>
      </c>
      <c r="W121" s="3" t="str">
        <f t="shared" si="83"/>
        <v>Comments from PDO</v>
      </c>
    </row>
    <row r="122" spans="1:23" s="16" customFormat="1" x14ac:dyDescent="0.2">
      <c r="A122" s="98"/>
      <c r="B122" s="30" t="str">
        <f t="shared" si="74"/>
        <v>KHF-00-104265-QA-5733-01307-0000-2</v>
      </c>
      <c r="C122" s="31" t="s">
        <v>308</v>
      </c>
      <c r="D122" s="32" t="s">
        <v>309</v>
      </c>
      <c r="E122" s="20">
        <v>2</v>
      </c>
      <c r="F122" s="20"/>
      <c r="G122" s="20"/>
      <c r="H122" s="20" t="str">
        <f t="shared" si="75"/>
        <v>L</v>
      </c>
      <c r="I122" s="3">
        <f t="shared" ref="I122:I123" si="109">IFERROR(IF(OR(V121="Code B",V121="Code D",V121="-",ISNUMBER(J122)),T121+14,""),"")</f>
        <v>43508</v>
      </c>
      <c r="J122" s="15">
        <f>IFERROR(VLOOKUP(B122,'[1]Incoming from JEL'!$A$6:$G$5002,3,0),"")</f>
        <v>43499</v>
      </c>
      <c r="K122" s="15" t="str">
        <f>IFERROR(VLOOKUP(B122,'[1]Incoming from JEL'!$A$6:$G$5002,2,0),"")</f>
        <v>AIP-YKP-JEL-T-0016</v>
      </c>
      <c r="L122" s="15" t="str">
        <f>IFERROR(VLOOKUP(B122,'[1]Incoming from JEL'!$A$6:$G$5002,7,0),"")</f>
        <v>IFR</v>
      </c>
      <c r="M122" s="15">
        <f>IFERROR(VLOOKUP(B122,'[2]Outgoing Transmittals to PDO'!$A$6:$G$20000,3,0),"")</f>
        <v>43500</v>
      </c>
      <c r="N122" s="15" t="str">
        <f>IFERROR(VLOOKUP(B122,'[2]Outgoing Transmittals to PDO'!$A$6:$G$20000,2,0),"")</f>
        <v>AIP-PDO-P1701009-T-0965</v>
      </c>
      <c r="O122" s="15" t="str">
        <f>IFERROR(VLOOKUP(B122,'[2]Outgoing Transmittals to PDO'!$A$6:$G$20000,7,0),"")</f>
        <v>IFA</v>
      </c>
      <c r="P122" s="15">
        <f t="shared" si="82"/>
        <v>43514</v>
      </c>
      <c r="Q122" s="15">
        <f>IFERROR(VLOOKUP(B122,'[3]Incoming Transmittals from PDO'!$A$6:$G$20000,3,0),"")</f>
        <v>43507</v>
      </c>
      <c r="R122" s="15" t="str">
        <f>IFERROR(VLOOKUP(B122,'[3]Incoming Transmittals from PDO'!$A$6:$G$20000,2,0),"")</f>
        <v>KHF_AIP_D_EXT_00991</v>
      </c>
      <c r="S122" s="15" t="str">
        <f>IFERROR(VLOOKUP(B122,'[3]Incoming Transmittals from PDO'!$A$6:$G$20000,7,0),"")</f>
        <v>Code A</v>
      </c>
      <c r="T122" s="15">
        <f>IFERROR(VLOOKUP(B122,'[1]Outgoing to JEL'!$A$6:$G$5000,3,0),"")</f>
        <v>43508</v>
      </c>
      <c r="U122" s="15" t="str">
        <f>IFERROR(VLOOKUP(B122,'[1]Outgoing to JEL'!$A$6:$G$5000,2,0),"")</f>
        <v>AIP-YKP-JEL-P1701009-T-0008</v>
      </c>
      <c r="V122" s="15" t="str">
        <f>IFERROR(VLOOKUP(B122,'[1]Outgoing to JEL'!$A$6:$G$5000,7,0),"")</f>
        <v>Code A</v>
      </c>
      <c r="W122" s="3" t="str">
        <f t="shared" si="83"/>
        <v>Approved by PDO</v>
      </c>
    </row>
    <row r="123" spans="1:23" s="16" customFormat="1" x14ac:dyDescent="0.2">
      <c r="A123" s="99"/>
      <c r="B123" s="30" t="str">
        <f t="shared" si="74"/>
        <v>KHF-00-104265-QA-5733-01307-0000-3</v>
      </c>
      <c r="C123" s="31" t="s">
        <v>308</v>
      </c>
      <c r="D123" s="32" t="s">
        <v>309</v>
      </c>
      <c r="E123" s="20">
        <v>3</v>
      </c>
      <c r="F123" s="20"/>
      <c r="G123" s="20"/>
      <c r="H123" s="20" t="str">
        <f t="shared" si="75"/>
        <v/>
      </c>
      <c r="I123" s="3" t="str">
        <f t="shared" si="109"/>
        <v/>
      </c>
      <c r="J123" s="15" t="str">
        <f>IFERROR(VLOOKUP(B123,'[1]Incoming from JEL'!$A$6:$G$5002,3,0),"")</f>
        <v/>
      </c>
      <c r="K123" s="15" t="str">
        <f>IFERROR(VLOOKUP(B123,'[1]Incoming from JEL'!$A$6:$G$5002,2,0),"")</f>
        <v/>
      </c>
      <c r="L123" s="15" t="str">
        <f>IFERROR(VLOOKUP(B123,'[1]Incoming from JEL'!$A$6:$G$5002,7,0),"")</f>
        <v/>
      </c>
      <c r="M123" s="15" t="str">
        <f>IFERROR(VLOOKUP(B123,'[2]Outgoing Transmittals to PDO'!$A$6:$G$20000,3,0),"")</f>
        <v/>
      </c>
      <c r="N123" s="15" t="str">
        <f>IFERROR(VLOOKUP(B123,'[2]Outgoing Transmittals to PDO'!$A$6:$G$20000,2,0),"")</f>
        <v/>
      </c>
      <c r="O123" s="15" t="str">
        <f>IFERROR(VLOOKUP(B123,'[2]Outgoing Transmittals to PDO'!$A$6:$G$20000,7,0),"")</f>
        <v/>
      </c>
      <c r="P123" s="15" t="str">
        <f t="shared" si="82"/>
        <v/>
      </c>
      <c r="Q123" s="15" t="str">
        <f>IFERROR(VLOOKUP(B123,'[3]Incoming Transmittals from PDO'!$A$6:$G$20000,3,0),"")</f>
        <v/>
      </c>
      <c r="R123" s="15" t="str">
        <f>IFERROR(VLOOKUP(B123,'[3]Incoming Transmittals from PDO'!$A$6:$G$20000,2,0),"")</f>
        <v/>
      </c>
      <c r="S123" s="15" t="str">
        <f>IFERROR(VLOOKUP(B123,'[3]Incoming Transmittals from PDO'!$A$6:$G$20000,7,0),"")</f>
        <v/>
      </c>
      <c r="T123" s="15" t="str">
        <f>IFERROR(VLOOKUP(B123,'[1]Outgoing to JEL'!$A$6:$G$5000,3,0),"")</f>
        <v/>
      </c>
      <c r="U123" s="15" t="str">
        <f>IFERROR(VLOOKUP(B123,'[1]Outgoing to JEL'!$A$6:$G$5000,2,0),"")</f>
        <v/>
      </c>
      <c r="V123" s="15" t="str">
        <f>IFERROR(VLOOKUP(B123,'[1]Outgoing to JEL'!$A$6:$G$5000,7,0),"")</f>
        <v/>
      </c>
      <c r="W123" s="3" t="str">
        <f t="shared" si="83"/>
        <v/>
      </c>
    </row>
    <row r="124" spans="1:23" s="16" customFormat="1" x14ac:dyDescent="0.2">
      <c r="A124" s="97">
        <f t="shared" ref="A124" si="110">A121+1</f>
        <v>39</v>
      </c>
      <c r="B124" s="33" t="str">
        <f t="shared" ref="B124:B126" si="111">CONCATENATE(C124,"-",E124)</f>
        <v>KHF-00-104265-QA-5733-01308-0000-1</v>
      </c>
      <c r="C124" s="31" t="s">
        <v>312</v>
      </c>
      <c r="D124" s="32" t="s">
        <v>311</v>
      </c>
      <c r="E124" s="20">
        <v>1</v>
      </c>
      <c r="F124" s="20"/>
      <c r="G124" s="20"/>
      <c r="H124" s="20" t="str">
        <f t="shared" si="75"/>
        <v/>
      </c>
      <c r="I124" s="3">
        <f t="shared" ref="I124" si="112">J124</f>
        <v>43465</v>
      </c>
      <c r="J124" s="15">
        <f>IFERROR(VLOOKUP(B124,'[1]Incoming from JEL'!$A$6:$G$5002,3,0),"")</f>
        <v>43465</v>
      </c>
      <c r="K124" s="15" t="str">
        <f>IFERROR(VLOOKUP(B124,'[1]Incoming from JEL'!$A$6:$G$5002,2,0),"")</f>
        <v>AIP-YKP-JEL-T-0011</v>
      </c>
      <c r="L124" s="15" t="str">
        <f>IFERROR(VLOOKUP(B124,'[1]Incoming from JEL'!$A$6:$G$5002,7,0),"")</f>
        <v>IFR</v>
      </c>
      <c r="M124" s="15">
        <f>IFERROR(VLOOKUP(B124,'[2]Outgoing Transmittals to PDO'!$A$6:$G$20000,3,0),"")</f>
        <v>43485</v>
      </c>
      <c r="N124" s="15" t="str">
        <f>IFERROR(VLOOKUP(B124,'[2]Outgoing Transmittals to PDO'!$A$6:$G$20000,2,0),"")</f>
        <v>AIP-PDO-P1701009-T-0927</v>
      </c>
      <c r="O124" s="15" t="str">
        <f>IFERROR(VLOOKUP(B124,'[2]Outgoing Transmittals to PDO'!$A$6:$G$20000,7,0),"")</f>
        <v>IFR</v>
      </c>
      <c r="P124" s="15">
        <f t="shared" ref="P124:P126" si="113">IF(ISNUMBER(M124),SUM(M124+14),"")</f>
        <v>43499</v>
      </c>
      <c r="Q124" s="15">
        <f>IFERROR(VLOOKUP(B124,'[3]Incoming Transmittals from PDO'!$A$6:$G$20000,3,0),"")</f>
        <v>43496</v>
      </c>
      <c r="R124" s="15" t="str">
        <f>IFERROR(VLOOKUP(B124,'[3]Incoming Transmittals from PDO'!$A$6:$G$20000,2,0),"")</f>
        <v>KHF_AIP_D_EXT_00968</v>
      </c>
      <c r="S124" s="15" t="str">
        <f>IFERROR(VLOOKUP(B124,'[3]Incoming Transmittals from PDO'!$A$6:$G$20000,7,0),"")</f>
        <v>Code B</v>
      </c>
      <c r="T124" s="15">
        <f>IFERROR(VLOOKUP(B124,'[1]Outgoing to JEL'!$A$6:$G$5000,3,0),"")</f>
        <v>43499</v>
      </c>
      <c r="U124" s="15" t="str">
        <f>IFERROR(VLOOKUP(B124,'[1]Outgoing to JEL'!$A$6:$G$5000,2,0),"")</f>
        <v>AIP-YKP-JEL-P1701009-T-0006</v>
      </c>
      <c r="V124" s="15" t="str">
        <f>IFERROR(VLOOKUP(B124,'[1]Outgoing to JEL'!$A$6:$G$5000,7,0),"")</f>
        <v>Code B</v>
      </c>
      <c r="W124" s="3" t="str">
        <f t="shared" ref="W124:W126" si="114">IF(S124="Code A","Approved by PDO",IF(S124="Code B","Comments from PDO",IF(S124="Code C","Review not Required",IF(S124="Code D","Rejected by PDO",IF(V124="Code A","Approved by AIP",IF(V124="Code B","Comments from AIP",IF(V124="Code C","Review not Required",IF(V124="Code D","Rejected by AIP",IF(AND(M124="-",Q124="-"),"Pending for AIP review",IF(O124="IFI","Issued for Information",IF(M124&lt;&gt;"","Pending for PDO Approval",IF(L124="IFI","Issued for AIP Information",IF(J124&lt;&gt;"","Pending for PDO submission",IF(I124&lt;&gt;"","Pending from JEL",""))))))))))))))</f>
        <v>Comments from PDO</v>
      </c>
    </row>
    <row r="125" spans="1:23" s="16" customFormat="1" x14ac:dyDescent="0.2">
      <c r="A125" s="98"/>
      <c r="B125" s="33" t="str">
        <f t="shared" si="111"/>
        <v>KHF-00-104265-QA-5733-01308-0000-2</v>
      </c>
      <c r="C125" s="31" t="s">
        <v>312</v>
      </c>
      <c r="D125" s="32" t="s">
        <v>311</v>
      </c>
      <c r="E125" s="20">
        <v>2</v>
      </c>
      <c r="F125" s="20"/>
      <c r="G125" s="20"/>
      <c r="H125" s="20" t="str">
        <f t="shared" ref="H125:H126" si="115">IF(AND(C125=C126,J126="",J125&lt;&gt;""),"L","")</f>
        <v>L</v>
      </c>
      <c r="I125" s="3">
        <f t="shared" ref="I125:I126" si="116">IFERROR(IF(OR(V124="Code B",V124="Code D",V124="-",ISNUMBER(J125)),T124+14,""),"")</f>
        <v>43513</v>
      </c>
      <c r="J125" s="15">
        <f>IFERROR(VLOOKUP(B125,'[1]Incoming from JEL'!$A$6:$G$5002,3,0),"")</f>
        <v>43499</v>
      </c>
      <c r="K125" s="15" t="str">
        <f>IFERROR(VLOOKUP(B125,'[1]Incoming from JEL'!$A$6:$G$5002,2,0),"")</f>
        <v>AIP-YKP-JEL-T-0016</v>
      </c>
      <c r="L125" s="15" t="str">
        <f>IFERROR(VLOOKUP(B125,'[1]Incoming from JEL'!$A$6:$G$5002,7,0),"")</f>
        <v>IFR</v>
      </c>
      <c r="M125" s="15">
        <f>IFERROR(VLOOKUP(B125,'[2]Outgoing Transmittals to PDO'!$A$6:$G$20000,3,0),"")</f>
        <v>43500</v>
      </c>
      <c r="N125" s="15" t="str">
        <f>IFERROR(VLOOKUP(B125,'[2]Outgoing Transmittals to PDO'!$A$6:$G$20000,2,0),"")</f>
        <v>AIP-PDO-P1701009-T-0965</v>
      </c>
      <c r="O125" s="15" t="str">
        <f>IFERROR(VLOOKUP(B125,'[2]Outgoing Transmittals to PDO'!$A$6:$G$20000,7,0),"")</f>
        <v>IFA</v>
      </c>
      <c r="P125" s="15">
        <f t="shared" si="113"/>
        <v>43514</v>
      </c>
      <c r="Q125" s="15">
        <f>IFERROR(VLOOKUP(B125,'[3]Incoming Transmittals from PDO'!$A$6:$G$20000,3,0),"")</f>
        <v>43507</v>
      </c>
      <c r="R125" s="15" t="str">
        <f>IFERROR(VLOOKUP(B125,'[3]Incoming Transmittals from PDO'!$A$6:$G$20000,2,0),"")</f>
        <v>KHF_AIP_D_EXT_00991</v>
      </c>
      <c r="S125" s="15" t="str">
        <f>IFERROR(VLOOKUP(B125,'[3]Incoming Transmittals from PDO'!$A$6:$G$20000,7,0),"")</f>
        <v>Code A</v>
      </c>
      <c r="T125" s="15">
        <f>IFERROR(VLOOKUP(B125,'[1]Outgoing to JEL'!$A$6:$G$5000,3,0),"")</f>
        <v>43508</v>
      </c>
      <c r="U125" s="15" t="str">
        <f>IFERROR(VLOOKUP(B125,'[1]Outgoing to JEL'!$A$6:$G$5000,2,0),"")</f>
        <v>AIP-YKP-JEL-P1701009-T-0008</v>
      </c>
      <c r="V125" s="15" t="str">
        <f>IFERROR(VLOOKUP(B125,'[1]Outgoing to JEL'!$A$6:$G$5000,7,0),"")</f>
        <v>Code A</v>
      </c>
      <c r="W125" s="3" t="str">
        <f t="shared" si="114"/>
        <v>Approved by PDO</v>
      </c>
    </row>
    <row r="126" spans="1:23" s="16" customFormat="1" x14ac:dyDescent="0.2">
      <c r="A126" s="99"/>
      <c r="B126" s="33" t="str">
        <f t="shared" si="111"/>
        <v>KHF-00-104265-QA-5733-01308-0000-3</v>
      </c>
      <c r="C126" s="31" t="s">
        <v>312</v>
      </c>
      <c r="D126" s="32" t="s">
        <v>311</v>
      </c>
      <c r="E126" s="20">
        <v>3</v>
      </c>
      <c r="F126" s="20"/>
      <c r="G126" s="20"/>
      <c r="H126" s="20" t="str">
        <f t="shared" si="115"/>
        <v/>
      </c>
      <c r="I126" s="3" t="str">
        <f t="shared" si="116"/>
        <v/>
      </c>
      <c r="J126" s="15" t="str">
        <f>IFERROR(VLOOKUP(B126,'[1]Incoming from JEL'!$A$6:$G$5002,3,0),"")</f>
        <v/>
      </c>
      <c r="K126" s="15" t="str">
        <f>IFERROR(VLOOKUP(B126,'[1]Incoming from JEL'!$A$6:$G$5002,2,0),"")</f>
        <v/>
      </c>
      <c r="L126" s="15" t="str">
        <f>IFERROR(VLOOKUP(B126,'[1]Incoming from JEL'!$A$6:$G$5002,7,0),"")</f>
        <v/>
      </c>
      <c r="M126" s="15" t="str">
        <f>IFERROR(VLOOKUP(B126,'[2]Outgoing Transmittals to PDO'!$A$6:$G$20000,3,0),"")</f>
        <v/>
      </c>
      <c r="N126" s="15" t="str">
        <f>IFERROR(VLOOKUP(B126,'[2]Outgoing Transmittals to PDO'!$A$6:$G$20000,2,0),"")</f>
        <v/>
      </c>
      <c r="O126" s="15" t="str">
        <f>IFERROR(VLOOKUP(B126,'[2]Outgoing Transmittals to PDO'!$A$6:$G$20000,7,0),"")</f>
        <v/>
      </c>
      <c r="P126" s="15" t="str">
        <f t="shared" si="113"/>
        <v/>
      </c>
      <c r="Q126" s="15" t="str">
        <f>IFERROR(VLOOKUP(B126,'[3]Incoming Transmittals from PDO'!$A$6:$G$20000,3,0),"")</f>
        <v/>
      </c>
      <c r="R126" s="15" t="str">
        <f>IFERROR(VLOOKUP(B126,'[3]Incoming Transmittals from PDO'!$A$6:$G$20000,2,0),"")</f>
        <v/>
      </c>
      <c r="S126" s="15" t="str">
        <f>IFERROR(VLOOKUP(B126,'[3]Incoming Transmittals from PDO'!$A$6:$G$20000,7,0),"")</f>
        <v/>
      </c>
      <c r="T126" s="15" t="str">
        <f>IFERROR(VLOOKUP(B126,'[1]Outgoing to JEL'!$A$6:$G$5000,3,0),"")</f>
        <v/>
      </c>
      <c r="U126" s="15" t="str">
        <f>IFERROR(VLOOKUP(B126,'[1]Outgoing to JEL'!$A$6:$G$5000,2,0),"")</f>
        <v/>
      </c>
      <c r="V126" s="15" t="str">
        <f>IFERROR(VLOOKUP(B126,'[1]Outgoing to JEL'!$A$6:$G$5000,7,0),"")</f>
        <v/>
      </c>
      <c r="W126" s="3" t="str">
        <f t="shared" si="114"/>
        <v/>
      </c>
    </row>
    <row r="127" spans="1:23" s="16" customFormat="1" x14ac:dyDescent="0.2">
      <c r="A127" s="97">
        <f t="shared" ref="A127" si="117">A124+1</f>
        <v>40</v>
      </c>
      <c r="B127" s="34" t="str">
        <f t="shared" ref="B127:B129" si="118">CONCATENATE(C127,"-",E127)</f>
        <v>KHF-00-104265-QA-5733-01309-0000-1</v>
      </c>
      <c r="C127" s="31" t="s">
        <v>313</v>
      </c>
      <c r="D127" s="32" t="s">
        <v>487</v>
      </c>
      <c r="E127" s="20">
        <v>1</v>
      </c>
      <c r="F127" s="20"/>
      <c r="G127" s="20"/>
      <c r="H127" s="20" t="str">
        <f t="shared" ref="H127:H129" si="119">IF(AND(C127=C128,J128="",J127&lt;&gt;""),"L","")</f>
        <v/>
      </c>
      <c r="I127" s="3">
        <f t="shared" ref="I127" si="120">J127</f>
        <v>43499</v>
      </c>
      <c r="J127" s="15">
        <f>IFERROR(VLOOKUP(B127,'[1]Incoming from JEL'!$A$6:$G$5002,3,0),"")</f>
        <v>43499</v>
      </c>
      <c r="K127" s="15" t="str">
        <f>IFERROR(VLOOKUP(B127,'[1]Incoming from JEL'!$A$6:$G$5002,2,0),"")</f>
        <v>AIP-YKP-JEL-T-0016</v>
      </c>
      <c r="L127" s="15" t="str">
        <f>IFERROR(VLOOKUP(B127,'[1]Incoming from JEL'!$A$6:$G$5002,7,0),"")</f>
        <v>IFR</v>
      </c>
      <c r="M127" s="15">
        <f>IFERROR(VLOOKUP(B127,'[2]Outgoing Transmittals to PDO'!$A$6:$G$20000,3,0),"")</f>
        <v>43510</v>
      </c>
      <c r="N127" s="15" t="str">
        <f>IFERROR(VLOOKUP(B127,'[2]Outgoing Transmittals to PDO'!$A$6:$G$20000,2,0),"")</f>
        <v>AIP-PDO-P1701009-T-0991</v>
      </c>
      <c r="O127" s="15" t="str">
        <f>IFERROR(VLOOKUP(B127,'[2]Outgoing Transmittals to PDO'!$A$6:$G$20000,7,0),"")</f>
        <v>IFR</v>
      </c>
      <c r="P127" s="15">
        <f t="shared" ref="P127:P129" si="121">IF(ISNUMBER(M127),SUM(M127+14),"")</f>
        <v>43524</v>
      </c>
      <c r="Q127" s="15">
        <f>IFERROR(VLOOKUP(B127,'[3]Incoming Transmittals from PDO'!$A$6:$G$20000,3,0),"")</f>
        <v>43520</v>
      </c>
      <c r="R127" s="15" t="str">
        <f>IFERROR(VLOOKUP(B127,'[3]Incoming Transmittals from PDO'!$A$6:$G$20000,2,0),"")</f>
        <v>KHF_AIP_D_EXT_01037</v>
      </c>
      <c r="S127" s="15" t="str">
        <f>IFERROR(VLOOKUP(B127,'[3]Incoming Transmittals from PDO'!$A$6:$G$20000,7,0),"")</f>
        <v>Code B</v>
      </c>
      <c r="T127" s="15">
        <f>IFERROR(VLOOKUP(B127,'[1]Outgoing to JEL'!$A$6:$G$5000,3,0),"")</f>
        <v>43528</v>
      </c>
      <c r="U127" s="15" t="str">
        <f>IFERROR(VLOOKUP(B127,'[1]Outgoing to JEL'!$A$6:$G$5000,2,0),"")</f>
        <v>AIP-YKP-JEL-P1701009-T-0011</v>
      </c>
      <c r="V127" s="15" t="str">
        <f>IFERROR(VLOOKUP(B127,'[1]Outgoing to JEL'!$A$6:$G$5000,7,0),"")</f>
        <v>Code B</v>
      </c>
      <c r="W127" s="3" t="str">
        <f t="shared" ref="W127:W129" si="122">IF(S127="Code A","Approved by PDO",IF(S127="Code B","Comments from PDO",IF(S127="Code C","Review not Required",IF(S127="Code D","Rejected by PDO",IF(V127="Code A","Approved by AIP",IF(V127="Code B","Comments from AIP",IF(V127="Code C","Review not Required",IF(V127="Code D","Rejected by AIP",IF(AND(M127="-",Q127="-"),"Pending for AIP review",IF(O127="IFI","Issued for Information",IF(M127&lt;&gt;"","Pending for PDO Approval",IF(L127="IFI","Issued for AIP Information",IF(J127&lt;&gt;"","Pending for PDO submission",IF(I127&lt;&gt;"","Pending from JEL",""))))))))))))))</f>
        <v>Comments from PDO</v>
      </c>
    </row>
    <row r="128" spans="1:23" s="16" customFormat="1" x14ac:dyDescent="0.2">
      <c r="A128" s="98"/>
      <c r="B128" s="34" t="str">
        <f t="shared" si="118"/>
        <v>KHF-00-104265-QA-5733-01309-0000-2</v>
      </c>
      <c r="C128" s="31" t="s">
        <v>313</v>
      </c>
      <c r="D128" s="32" t="s">
        <v>487</v>
      </c>
      <c r="E128" s="20">
        <v>2</v>
      </c>
      <c r="F128" s="20"/>
      <c r="G128" s="20"/>
      <c r="H128" s="20" t="str">
        <f t="shared" si="119"/>
        <v>L</v>
      </c>
      <c r="I128" s="3">
        <f t="shared" ref="I128:I129" si="123">IFERROR(IF(OR(V127="Code B",V127="Code D",V127="-",ISNUMBER(J128)),T127+14,""),"")</f>
        <v>43542</v>
      </c>
      <c r="J128" s="15">
        <f>IFERROR(VLOOKUP(B128,'[1]Incoming from JEL'!$A$6:$G$5002,3,0),"")</f>
        <v>43523</v>
      </c>
      <c r="K128" s="15" t="str">
        <f>IFERROR(VLOOKUP(B128,'[1]Incoming from JEL'!$A$6:$G$5002,2,0),"")</f>
        <v>AIP-YKP-JEL-T-0016R1</v>
      </c>
      <c r="L128" s="15" t="str">
        <f>IFERROR(VLOOKUP(B128,'[1]Incoming from JEL'!$A$6:$G$5002,7,0),"")</f>
        <v>IFA</v>
      </c>
      <c r="M128" s="15">
        <f>IFERROR(VLOOKUP(B128,'[2]Outgoing Transmittals to PDO'!$A$6:$G$20000,3,0),"")</f>
        <v>43528</v>
      </c>
      <c r="N128" s="15" t="str">
        <f>IFERROR(VLOOKUP(B128,'[2]Outgoing Transmittals to PDO'!$A$6:$G$20000,2,0),"")</f>
        <v>AIP-PDO-P1701009-T-1035</v>
      </c>
      <c r="O128" s="15" t="str">
        <f>IFERROR(VLOOKUP(B128,'[2]Outgoing Transmittals to PDO'!$A$6:$G$20000,7,0),"")</f>
        <v>IFA</v>
      </c>
      <c r="P128" s="15">
        <f t="shared" si="121"/>
        <v>43542</v>
      </c>
      <c r="Q128" s="15">
        <f>IFERROR(VLOOKUP(B128,'[3]Incoming Transmittals from PDO'!$A$6:$G$20000,3,0),"")</f>
        <v>43541</v>
      </c>
      <c r="R128" s="15" t="str">
        <f>IFERROR(VLOOKUP(B128,'[3]Incoming Transmittals from PDO'!$A$6:$G$20000,2,0),"")</f>
        <v>KHF_AIP_D_EXT_01104</v>
      </c>
      <c r="S128" s="15" t="str">
        <f>IFERROR(VLOOKUP(B128,'[3]Incoming Transmittals from PDO'!$A$6:$G$20000,7,0),"")</f>
        <v>Code A</v>
      </c>
      <c r="T128" s="15">
        <f>IFERROR(VLOOKUP(B128,'[1]Outgoing to JEL'!$A$6:$G$5000,3,0),"")</f>
        <v>43541</v>
      </c>
      <c r="U128" s="15" t="str">
        <f>IFERROR(VLOOKUP(B128,'[1]Outgoing to JEL'!$A$6:$G$5000,2,0),"")</f>
        <v>AIP-YKP-JEL-P1701009-T-0015</v>
      </c>
      <c r="V128" s="15" t="str">
        <f>IFERROR(VLOOKUP(B128,'[1]Outgoing to JEL'!$A$6:$G$5000,7,0),"")</f>
        <v>Code A</v>
      </c>
      <c r="W128" s="3" t="str">
        <f t="shared" si="122"/>
        <v>Approved by PDO</v>
      </c>
    </row>
    <row r="129" spans="1:23" s="16" customFormat="1" x14ac:dyDescent="0.2">
      <c r="A129" s="99"/>
      <c r="B129" s="34" t="str">
        <f t="shared" si="118"/>
        <v>KHF-00-104265-QA-5733-01309-0000-3</v>
      </c>
      <c r="C129" s="31" t="s">
        <v>313</v>
      </c>
      <c r="D129" s="32" t="s">
        <v>487</v>
      </c>
      <c r="E129" s="20">
        <v>3</v>
      </c>
      <c r="F129" s="20"/>
      <c r="G129" s="20"/>
      <c r="H129" s="20" t="str">
        <f t="shared" si="119"/>
        <v/>
      </c>
      <c r="I129" s="3" t="str">
        <f t="shared" si="123"/>
        <v/>
      </c>
      <c r="J129" s="15" t="str">
        <f>IFERROR(VLOOKUP(B129,'[1]Incoming from JEL'!$A$6:$G$5002,3,0),"")</f>
        <v/>
      </c>
      <c r="K129" s="15" t="str">
        <f>IFERROR(VLOOKUP(B129,'[1]Incoming from JEL'!$A$6:$G$5002,2,0),"")</f>
        <v/>
      </c>
      <c r="L129" s="15" t="str">
        <f>IFERROR(VLOOKUP(B129,'[1]Incoming from JEL'!$A$6:$G$5002,7,0),"")</f>
        <v/>
      </c>
      <c r="M129" s="15" t="str">
        <f>IFERROR(VLOOKUP(B129,'[2]Outgoing Transmittals to PDO'!$A$6:$G$20000,3,0),"")</f>
        <v/>
      </c>
      <c r="N129" s="15" t="str">
        <f>IFERROR(VLOOKUP(B129,'[2]Outgoing Transmittals to PDO'!$A$6:$G$20000,2,0),"")</f>
        <v/>
      </c>
      <c r="O129" s="15" t="str">
        <f>IFERROR(VLOOKUP(B129,'[2]Outgoing Transmittals to PDO'!$A$6:$G$20000,7,0),"")</f>
        <v/>
      </c>
      <c r="P129" s="15" t="str">
        <f t="shared" si="121"/>
        <v/>
      </c>
      <c r="Q129" s="15" t="str">
        <f>IFERROR(VLOOKUP(B129,'[3]Incoming Transmittals from PDO'!$A$6:$G$20000,3,0),"")</f>
        <v/>
      </c>
      <c r="R129" s="15" t="str">
        <f>IFERROR(VLOOKUP(B129,'[3]Incoming Transmittals from PDO'!$A$6:$G$20000,2,0),"")</f>
        <v/>
      </c>
      <c r="S129" s="15" t="str">
        <f>IFERROR(VLOOKUP(B129,'[3]Incoming Transmittals from PDO'!$A$6:$G$20000,7,0),"")</f>
        <v/>
      </c>
      <c r="T129" s="15" t="str">
        <f>IFERROR(VLOOKUP(B129,'[1]Outgoing to JEL'!$A$6:$G$5000,3,0),"")</f>
        <v/>
      </c>
      <c r="U129" s="15" t="str">
        <f>IFERROR(VLOOKUP(B129,'[1]Outgoing to JEL'!$A$6:$G$5000,2,0),"")</f>
        <v/>
      </c>
      <c r="V129" s="15" t="str">
        <f>IFERROR(VLOOKUP(B129,'[1]Outgoing to JEL'!$A$6:$G$5000,7,0),"")</f>
        <v/>
      </c>
      <c r="W129" s="3" t="str">
        <f t="shared" si="122"/>
        <v/>
      </c>
    </row>
    <row r="130" spans="1:23" s="16" customFormat="1" ht="21" x14ac:dyDescent="0.2">
      <c r="A130" s="97">
        <f t="shared" ref="A130" si="124">A127+1</f>
        <v>41</v>
      </c>
      <c r="B130" s="35" t="str">
        <f t="shared" ref="B130:B132" si="125">CONCATENATE(C130,"-",E130)</f>
        <v>KHF-00-104265-BA-5736-01302-0000-1</v>
      </c>
      <c r="C130" s="31" t="s">
        <v>317</v>
      </c>
      <c r="D130" s="32" t="s">
        <v>318</v>
      </c>
      <c r="E130" s="20">
        <v>1</v>
      </c>
      <c r="F130" s="20"/>
      <c r="G130" s="20"/>
      <c r="H130" s="20" t="str">
        <f t="shared" ref="H130:H132" si="126">IF(AND(C130=C131,J131="",J130&lt;&gt;""),"L","")</f>
        <v>L</v>
      </c>
      <c r="I130" s="3">
        <f t="shared" ref="I130" si="127">J130</f>
        <v>43506</v>
      </c>
      <c r="J130" s="15">
        <f>IFERROR(VLOOKUP(B130,'[1]Incoming from JEL'!$A$6:$G$5002,3,0),"")</f>
        <v>43506</v>
      </c>
      <c r="K130" s="15" t="str">
        <f>IFERROR(VLOOKUP(B130,'[1]Incoming from JEL'!$A$6:$G$5002,2,0),"")</f>
        <v>AIP-YKP-JEL-T-0017</v>
      </c>
      <c r="L130" s="15" t="str">
        <f>IFERROR(VLOOKUP(B130,'[1]Incoming from JEL'!$A$6:$G$5002,7,0),"")</f>
        <v>IFR</v>
      </c>
      <c r="M130" s="15">
        <f>IFERROR(VLOOKUP(B130,'[2]Outgoing Transmittals to PDO'!$A$6:$G$20000,3,0),"")</f>
        <v>43517</v>
      </c>
      <c r="N130" s="15" t="str">
        <f>IFERROR(VLOOKUP(B130,'[2]Outgoing Transmittals to PDO'!$A$6:$G$20000,2,0),"")</f>
        <v>AIP-PDO-P1701009-T-1016</v>
      </c>
      <c r="O130" s="15" t="str">
        <f>IFERROR(VLOOKUP(B130,'[2]Outgoing Transmittals to PDO'!$A$6:$G$20000,7,0),"")</f>
        <v>IFR</v>
      </c>
      <c r="P130" s="15">
        <f t="shared" ref="P130:P132" si="128">IF(ISNUMBER(M130),SUM(M130+14),"")</f>
        <v>43531</v>
      </c>
      <c r="Q130" s="15" t="str">
        <f>IFERROR(VLOOKUP(B130,'[3]Incoming Transmittals from PDO'!$A$6:$G$20000,3,0),"")</f>
        <v/>
      </c>
      <c r="R130" s="15" t="str">
        <f>IFERROR(VLOOKUP(B130,'[3]Incoming Transmittals from PDO'!$A$6:$G$20000,2,0),"")</f>
        <v/>
      </c>
      <c r="S130" s="15" t="str">
        <f>IFERROR(VLOOKUP(B130,'[3]Incoming Transmittals from PDO'!$A$6:$G$20000,7,0),"")</f>
        <v/>
      </c>
      <c r="T130" s="15" t="str">
        <f>IFERROR(VLOOKUP(B130,'[1]Outgoing to JEL'!$A$6:$G$5000,3,0),"")</f>
        <v/>
      </c>
      <c r="U130" s="15" t="str">
        <f>IFERROR(VLOOKUP(B130,'[1]Outgoing to JEL'!$A$6:$G$5000,2,0),"")</f>
        <v/>
      </c>
      <c r="V130" s="15" t="str">
        <f>IFERROR(VLOOKUP(B130,'[1]Outgoing to JEL'!$A$6:$G$5000,7,0),"")</f>
        <v/>
      </c>
      <c r="W130" s="3" t="str">
        <f t="shared" ref="W130:W132" si="129">IF(S130="Code A","Approved by PDO",IF(S130="Code B","Comments from PDO",IF(S130="Code C","Review not Required",IF(S130="Code D","Rejected by PDO",IF(V130="Code A","Approved by AIP",IF(V130="Code B","Comments from AIP",IF(V130="Code C","Review not Required",IF(V130="Code D","Rejected by AIP",IF(AND(M130="-",Q130="-"),"Pending for AIP review",IF(O130="IFI","Issued for Information",IF(M130&lt;&gt;"","Pending for PDO Approval",IF(L130="IFI","Issued for AIP Information",IF(J130&lt;&gt;"","Pending for PDO submission",IF(I130&lt;&gt;"","Pending from JEL",""))))))))))))))</f>
        <v>Pending for PDO Approval</v>
      </c>
    </row>
    <row r="131" spans="1:23" s="16" customFormat="1" ht="21" x14ac:dyDescent="0.2">
      <c r="A131" s="98"/>
      <c r="B131" s="35" t="str">
        <f t="shared" si="125"/>
        <v>KHF-00-104265-BA-5736-01302-0000-2</v>
      </c>
      <c r="C131" s="31" t="s">
        <v>317</v>
      </c>
      <c r="D131" s="32" t="s">
        <v>318</v>
      </c>
      <c r="E131" s="20">
        <v>2</v>
      </c>
      <c r="F131" s="20"/>
      <c r="G131" s="20"/>
      <c r="H131" s="20" t="str">
        <f t="shared" si="126"/>
        <v/>
      </c>
      <c r="I131" s="3" t="str">
        <f t="shared" ref="I131:I132" si="130">IFERROR(IF(OR(V130="Code B",V130="Code D",V130="-",ISNUMBER(J131)),T130+14,""),"")</f>
        <v/>
      </c>
      <c r="J131" s="15" t="str">
        <f>IFERROR(VLOOKUP(B131,'[1]Incoming from JEL'!$A$6:$G$5002,3,0),"")</f>
        <v/>
      </c>
      <c r="K131" s="15" t="str">
        <f>IFERROR(VLOOKUP(B131,'[1]Incoming from JEL'!$A$6:$G$5002,2,0),"")</f>
        <v/>
      </c>
      <c r="L131" s="15" t="str">
        <f>IFERROR(VLOOKUP(B131,'[1]Incoming from JEL'!$A$6:$G$5002,7,0),"")</f>
        <v/>
      </c>
      <c r="M131" s="15" t="str">
        <f>IFERROR(VLOOKUP(B131,'[2]Outgoing Transmittals to PDO'!$A$6:$G$20000,3,0),"")</f>
        <v/>
      </c>
      <c r="N131" s="15" t="str">
        <f>IFERROR(VLOOKUP(B131,'[2]Outgoing Transmittals to PDO'!$A$6:$G$20000,2,0),"")</f>
        <v/>
      </c>
      <c r="O131" s="15" t="str">
        <f>IFERROR(VLOOKUP(B131,'[2]Outgoing Transmittals to PDO'!$A$6:$G$20000,7,0),"")</f>
        <v/>
      </c>
      <c r="P131" s="15" t="str">
        <f t="shared" si="128"/>
        <v/>
      </c>
      <c r="Q131" s="15" t="str">
        <f>IFERROR(VLOOKUP(B131,'[3]Incoming Transmittals from PDO'!$A$6:$G$20000,3,0),"")</f>
        <v/>
      </c>
      <c r="R131" s="15" t="str">
        <f>IFERROR(VLOOKUP(B131,'[3]Incoming Transmittals from PDO'!$A$6:$G$20000,2,0),"")</f>
        <v/>
      </c>
      <c r="S131" s="15" t="str">
        <f>IFERROR(VLOOKUP(B131,'[3]Incoming Transmittals from PDO'!$A$6:$G$20000,7,0),"")</f>
        <v/>
      </c>
      <c r="T131" s="15" t="str">
        <f>IFERROR(VLOOKUP(B131,'[1]Outgoing to JEL'!$A$6:$G$5000,3,0),"")</f>
        <v/>
      </c>
      <c r="U131" s="15" t="str">
        <f>IFERROR(VLOOKUP(B131,'[1]Outgoing to JEL'!$A$6:$G$5000,2,0),"")</f>
        <v/>
      </c>
      <c r="V131" s="15" t="str">
        <f>IFERROR(VLOOKUP(B131,'[1]Outgoing to JEL'!$A$6:$G$5000,7,0),"")</f>
        <v/>
      </c>
      <c r="W131" s="3" t="str">
        <f t="shared" si="129"/>
        <v/>
      </c>
    </row>
    <row r="132" spans="1:23" s="16" customFormat="1" ht="21" x14ac:dyDescent="0.2">
      <c r="A132" s="99"/>
      <c r="B132" s="35" t="str">
        <f t="shared" si="125"/>
        <v>KHF-00-104265-BA-5736-01302-0000-3</v>
      </c>
      <c r="C132" s="31" t="s">
        <v>317</v>
      </c>
      <c r="D132" s="32" t="s">
        <v>318</v>
      </c>
      <c r="E132" s="20">
        <v>3</v>
      </c>
      <c r="F132" s="20"/>
      <c r="G132" s="20"/>
      <c r="H132" s="20" t="str">
        <f t="shared" si="126"/>
        <v/>
      </c>
      <c r="I132" s="3" t="str">
        <f t="shared" si="130"/>
        <v/>
      </c>
      <c r="J132" s="15" t="str">
        <f>IFERROR(VLOOKUP(B132,'[1]Incoming from JEL'!$A$6:$G$5002,3,0),"")</f>
        <v/>
      </c>
      <c r="K132" s="15" t="str">
        <f>IFERROR(VLOOKUP(B132,'[1]Incoming from JEL'!$A$6:$G$5002,2,0),"")</f>
        <v/>
      </c>
      <c r="L132" s="15" t="str">
        <f>IFERROR(VLOOKUP(B132,'[1]Incoming from JEL'!$A$6:$G$5002,7,0),"")</f>
        <v/>
      </c>
      <c r="M132" s="15" t="str">
        <f>IFERROR(VLOOKUP(B132,'[2]Outgoing Transmittals to PDO'!$A$6:$G$20000,3,0),"")</f>
        <v/>
      </c>
      <c r="N132" s="15" t="str">
        <f>IFERROR(VLOOKUP(B132,'[2]Outgoing Transmittals to PDO'!$A$6:$G$20000,2,0),"")</f>
        <v/>
      </c>
      <c r="O132" s="15" t="str">
        <f>IFERROR(VLOOKUP(B132,'[2]Outgoing Transmittals to PDO'!$A$6:$G$20000,7,0),"")</f>
        <v/>
      </c>
      <c r="P132" s="15" t="str">
        <f t="shared" si="128"/>
        <v/>
      </c>
      <c r="Q132" s="15" t="str">
        <f>IFERROR(VLOOKUP(B132,'[3]Incoming Transmittals from PDO'!$A$6:$G$20000,3,0),"")</f>
        <v/>
      </c>
      <c r="R132" s="15" t="str">
        <f>IFERROR(VLOOKUP(B132,'[3]Incoming Transmittals from PDO'!$A$6:$G$20000,2,0),"")</f>
        <v/>
      </c>
      <c r="S132" s="15" t="str">
        <f>IFERROR(VLOOKUP(B132,'[3]Incoming Transmittals from PDO'!$A$6:$G$20000,7,0),"")</f>
        <v/>
      </c>
      <c r="T132" s="15" t="str">
        <f>IFERROR(VLOOKUP(B132,'[1]Outgoing to JEL'!$A$6:$G$5000,3,0),"")</f>
        <v/>
      </c>
      <c r="U132" s="15" t="str">
        <f>IFERROR(VLOOKUP(B132,'[1]Outgoing to JEL'!$A$6:$G$5000,2,0),"")</f>
        <v/>
      </c>
      <c r="V132" s="15" t="str">
        <f>IFERROR(VLOOKUP(B132,'[1]Outgoing to JEL'!$A$6:$G$5000,7,0),"")</f>
        <v/>
      </c>
      <c r="W132" s="3" t="str">
        <f t="shared" si="129"/>
        <v/>
      </c>
    </row>
    <row r="133" spans="1:23" s="16" customFormat="1" x14ac:dyDescent="0.2">
      <c r="A133" s="97">
        <f t="shared" ref="A133" si="131">A130+1</f>
        <v>42</v>
      </c>
      <c r="B133" s="35" t="str">
        <f t="shared" ref="B133:B135" si="132">CONCATENATE(C133,"-",E133)</f>
        <v>KHF-00-104265-BA-5736-01303-0000-1</v>
      </c>
      <c r="C133" s="31" t="s">
        <v>320</v>
      </c>
      <c r="D133" s="32" t="s">
        <v>321</v>
      </c>
      <c r="E133" s="20">
        <v>1</v>
      </c>
      <c r="F133" s="20"/>
      <c r="G133" s="20"/>
      <c r="H133" s="20" t="str">
        <f t="shared" ref="H133:H135" si="133">IF(AND(C133=C134,J134="",J133&lt;&gt;""),"L","")</f>
        <v>L</v>
      </c>
      <c r="I133" s="3">
        <f t="shared" ref="I133" si="134">J133</f>
        <v>43503</v>
      </c>
      <c r="J133" s="15">
        <f>IFERROR(VLOOKUP(B133,'[1]Incoming from JEL'!$A$6:$G$5002,3,0),"")</f>
        <v>43503</v>
      </c>
      <c r="K133" s="15" t="str">
        <f>IFERROR(VLOOKUP(B133,'[1]Incoming from JEL'!$A$6:$G$5002,2,0),"")</f>
        <v>AIP-YKP-JEL-T-0018</v>
      </c>
      <c r="L133" s="15" t="str">
        <f>IFERROR(VLOOKUP(B133,'[1]Incoming from JEL'!$A$6:$G$5002,7,0),"")</f>
        <v>IFR</v>
      </c>
      <c r="M133" s="15">
        <f>IFERROR(VLOOKUP(B133,'[2]Outgoing Transmittals to PDO'!$A$6:$G$20000,3,0),"")</f>
        <v>43517</v>
      </c>
      <c r="N133" s="15" t="str">
        <f>IFERROR(VLOOKUP(B133,'[2]Outgoing Transmittals to PDO'!$A$6:$G$20000,2,0),"")</f>
        <v>AIP-PDO-P1701009-T-1016</v>
      </c>
      <c r="O133" s="15" t="str">
        <f>IFERROR(VLOOKUP(B133,'[2]Outgoing Transmittals to PDO'!$A$6:$G$20000,7,0),"")</f>
        <v>IFR</v>
      </c>
      <c r="P133" s="15">
        <f t="shared" ref="P133:P135" si="135">IF(ISNUMBER(M133),SUM(M133+14),"")</f>
        <v>43531</v>
      </c>
      <c r="Q133" s="15">
        <f>IFERROR(VLOOKUP(B133,'[3]Incoming Transmittals from PDO'!$A$6:$G$20000,3,0),"")</f>
        <v>43520</v>
      </c>
      <c r="R133" s="15" t="str">
        <f>IFERROR(VLOOKUP(B133,'[3]Incoming Transmittals from PDO'!$A$6:$G$20000,2,0),"")</f>
        <v>KHF_AIP_D_EXT_01041</v>
      </c>
      <c r="S133" s="15" t="str">
        <f>IFERROR(VLOOKUP(B133,'[3]Incoming Transmittals from PDO'!$A$6:$G$20000,7,0),"")</f>
        <v>Code B</v>
      </c>
      <c r="T133" s="15">
        <f>IFERROR(VLOOKUP(B133,'[1]Outgoing to JEL'!$A$6:$G$5000,3,0),"")</f>
        <v>43528</v>
      </c>
      <c r="U133" s="15" t="str">
        <f>IFERROR(VLOOKUP(B133,'[1]Outgoing to JEL'!$A$6:$G$5000,2,0),"")</f>
        <v>AIP-YKP-JEL-P1701009-T-0011</v>
      </c>
      <c r="V133" s="15" t="str">
        <f>IFERROR(VLOOKUP(B133,'[1]Outgoing to JEL'!$A$6:$G$5000,7,0),"")</f>
        <v>Code B</v>
      </c>
      <c r="W133" s="3" t="str">
        <f t="shared" ref="W133:W135" si="136">IF(S133="Code A","Approved by PDO",IF(S133="Code B","Comments from PDO",IF(S133="Code C","Review not Required",IF(S133="Code D","Rejected by PDO",IF(V133="Code A","Approved by AIP",IF(V133="Code B","Comments from AIP",IF(V133="Code C","Review not Required",IF(V133="Code D","Rejected by AIP",IF(AND(M133="-",Q133="-"),"Pending for AIP review",IF(O133="IFI","Issued for Information",IF(M133&lt;&gt;"","Pending for PDO Approval",IF(L133="IFI","Issued for AIP Information",IF(J133&lt;&gt;"","Pending for PDO submission",IF(I133&lt;&gt;"","Pending from JEL",""))))))))))))))</f>
        <v>Comments from PDO</v>
      </c>
    </row>
    <row r="134" spans="1:23" s="16" customFormat="1" x14ac:dyDescent="0.2">
      <c r="A134" s="98"/>
      <c r="B134" s="35" t="str">
        <f t="shared" si="132"/>
        <v>KHF-00-104265-BA-5736-01303-0000-2</v>
      </c>
      <c r="C134" s="31" t="s">
        <v>320</v>
      </c>
      <c r="D134" s="32" t="s">
        <v>321</v>
      </c>
      <c r="E134" s="20">
        <v>2</v>
      </c>
      <c r="F134" s="20"/>
      <c r="G134" s="20"/>
      <c r="H134" s="20" t="str">
        <f t="shared" si="133"/>
        <v/>
      </c>
      <c r="I134" s="3">
        <f t="shared" ref="I134:I135" si="137">IFERROR(IF(OR(V133="Code B",V133="Code D",V133="-",ISNUMBER(J134)),T133+14,""),"")</f>
        <v>43542</v>
      </c>
      <c r="J134" s="15" t="str">
        <f>IFERROR(VLOOKUP(B134,'[1]Incoming from JEL'!$A$6:$G$5002,3,0),"")</f>
        <v/>
      </c>
      <c r="K134" s="15" t="str">
        <f>IFERROR(VLOOKUP(B134,'[1]Incoming from JEL'!$A$6:$G$5002,2,0),"")</f>
        <v/>
      </c>
      <c r="L134" s="15" t="str">
        <f>IFERROR(VLOOKUP(B134,'[1]Incoming from JEL'!$A$6:$G$5002,7,0),"")</f>
        <v/>
      </c>
      <c r="M134" s="15" t="str">
        <f>IFERROR(VLOOKUP(B134,'[2]Outgoing Transmittals to PDO'!$A$6:$G$20000,3,0),"")</f>
        <v/>
      </c>
      <c r="N134" s="15" t="str">
        <f>IFERROR(VLOOKUP(B134,'[2]Outgoing Transmittals to PDO'!$A$6:$G$20000,2,0),"")</f>
        <v/>
      </c>
      <c r="O134" s="15" t="str">
        <f>IFERROR(VLOOKUP(B134,'[2]Outgoing Transmittals to PDO'!$A$6:$G$20000,7,0),"")</f>
        <v/>
      </c>
      <c r="P134" s="15" t="str">
        <f t="shared" si="135"/>
        <v/>
      </c>
      <c r="Q134" s="15" t="str">
        <f>IFERROR(VLOOKUP(B134,'[3]Incoming Transmittals from PDO'!$A$6:$G$20000,3,0),"")</f>
        <v/>
      </c>
      <c r="R134" s="15" t="str">
        <f>IFERROR(VLOOKUP(B134,'[3]Incoming Transmittals from PDO'!$A$6:$G$20000,2,0),"")</f>
        <v/>
      </c>
      <c r="S134" s="15" t="str">
        <f>IFERROR(VLOOKUP(B134,'[3]Incoming Transmittals from PDO'!$A$6:$G$20000,7,0),"")</f>
        <v/>
      </c>
      <c r="T134" s="15" t="str">
        <f>IFERROR(VLOOKUP(B134,'[1]Outgoing to JEL'!$A$6:$G$5000,3,0),"")</f>
        <v/>
      </c>
      <c r="U134" s="15" t="str">
        <f>IFERROR(VLOOKUP(B134,'[1]Outgoing to JEL'!$A$6:$G$5000,2,0),"")</f>
        <v/>
      </c>
      <c r="V134" s="15" t="str">
        <f>IFERROR(VLOOKUP(B134,'[1]Outgoing to JEL'!$A$6:$G$5000,7,0),"")</f>
        <v/>
      </c>
      <c r="W134" s="3" t="str">
        <f t="shared" si="136"/>
        <v>Pending from JEL</v>
      </c>
    </row>
    <row r="135" spans="1:23" s="16" customFormat="1" x14ac:dyDescent="0.2">
      <c r="A135" s="99"/>
      <c r="B135" s="35" t="str">
        <f t="shared" si="132"/>
        <v>KHF-00-104265-BA-5736-01303-0000-3</v>
      </c>
      <c r="C135" s="31" t="s">
        <v>320</v>
      </c>
      <c r="D135" s="32" t="s">
        <v>321</v>
      </c>
      <c r="E135" s="20">
        <v>3</v>
      </c>
      <c r="F135" s="20"/>
      <c r="G135" s="20"/>
      <c r="H135" s="20" t="str">
        <f t="shared" si="133"/>
        <v/>
      </c>
      <c r="I135" s="3" t="str">
        <f t="shared" si="137"/>
        <v/>
      </c>
      <c r="J135" s="15" t="str">
        <f>IFERROR(VLOOKUP(B135,'[1]Incoming from JEL'!$A$6:$G$5002,3,0),"")</f>
        <v/>
      </c>
      <c r="K135" s="15" t="str">
        <f>IFERROR(VLOOKUP(B135,'[1]Incoming from JEL'!$A$6:$G$5002,2,0),"")</f>
        <v/>
      </c>
      <c r="L135" s="15" t="str">
        <f>IFERROR(VLOOKUP(B135,'[1]Incoming from JEL'!$A$6:$G$5002,7,0),"")</f>
        <v/>
      </c>
      <c r="M135" s="15" t="str">
        <f>IFERROR(VLOOKUP(B135,'[2]Outgoing Transmittals to PDO'!$A$6:$G$20000,3,0),"")</f>
        <v/>
      </c>
      <c r="N135" s="15" t="str">
        <f>IFERROR(VLOOKUP(B135,'[2]Outgoing Transmittals to PDO'!$A$6:$G$20000,2,0),"")</f>
        <v/>
      </c>
      <c r="O135" s="15" t="str">
        <f>IFERROR(VLOOKUP(B135,'[2]Outgoing Transmittals to PDO'!$A$6:$G$20000,7,0),"")</f>
        <v/>
      </c>
      <c r="P135" s="15" t="str">
        <f t="shared" si="135"/>
        <v/>
      </c>
      <c r="Q135" s="15" t="str">
        <f>IFERROR(VLOOKUP(B135,'[3]Incoming Transmittals from PDO'!$A$6:$G$20000,3,0),"")</f>
        <v/>
      </c>
      <c r="R135" s="15" t="str">
        <f>IFERROR(VLOOKUP(B135,'[3]Incoming Transmittals from PDO'!$A$6:$G$20000,2,0),"")</f>
        <v/>
      </c>
      <c r="S135" s="15" t="str">
        <f>IFERROR(VLOOKUP(B135,'[3]Incoming Transmittals from PDO'!$A$6:$G$20000,7,0),"")</f>
        <v/>
      </c>
      <c r="T135" s="15" t="str">
        <f>IFERROR(VLOOKUP(B135,'[1]Outgoing to JEL'!$A$6:$G$5000,3,0),"")</f>
        <v/>
      </c>
      <c r="U135" s="15" t="str">
        <f>IFERROR(VLOOKUP(B135,'[1]Outgoing to JEL'!$A$6:$G$5000,2,0),"")</f>
        <v/>
      </c>
      <c r="V135" s="15" t="str">
        <f>IFERROR(VLOOKUP(B135,'[1]Outgoing to JEL'!$A$6:$G$5000,7,0),"")</f>
        <v/>
      </c>
      <c r="W135" s="3" t="str">
        <f t="shared" si="136"/>
        <v/>
      </c>
    </row>
    <row r="136" spans="1:23" s="16" customFormat="1" x14ac:dyDescent="0.2">
      <c r="A136" s="97">
        <f t="shared" ref="A136" si="138">A133+1</f>
        <v>43</v>
      </c>
      <c r="B136" s="36" t="str">
        <f t="shared" ref="B136:B138" si="139">CONCATENATE(C136,"-",E136)</f>
        <v>KHF-00-104265-BA-6065-01310-0000-1</v>
      </c>
      <c r="C136" s="31" t="s">
        <v>322</v>
      </c>
      <c r="D136" s="32" t="s">
        <v>323</v>
      </c>
      <c r="E136" s="20">
        <v>1</v>
      </c>
      <c r="F136" s="20"/>
      <c r="G136" s="20"/>
      <c r="H136" s="20" t="str">
        <f t="shared" ref="H136:H138" si="140">IF(AND(C136=C137,J137="",J136&lt;&gt;""),"L","")</f>
        <v>L</v>
      </c>
      <c r="I136" s="3">
        <f t="shared" ref="I136" si="141">J136</f>
        <v>43502</v>
      </c>
      <c r="J136" s="15">
        <f>IFERROR(VLOOKUP(B136,'[1]Incoming from JEL'!$A$6:$G$5002,3,0),"")</f>
        <v>43502</v>
      </c>
      <c r="K136" s="15" t="str">
        <f>IFERROR(VLOOKUP(B136,'[1]Incoming from JEL'!$A$6:$G$5002,2,0),"")</f>
        <v>AIP-YKP-JEL-T-0015R1</v>
      </c>
      <c r="L136" s="15" t="str">
        <f>IFERROR(VLOOKUP(B136,'[1]Incoming from JEL'!$A$6:$G$5002,7,0),"")</f>
        <v>IFA</v>
      </c>
      <c r="M136" s="15">
        <f>IFERROR(VLOOKUP(B136,'[2]Outgoing Transmittals to PDO'!$A$6:$G$20000,3,0),"")</f>
        <v>43506</v>
      </c>
      <c r="N136" s="15" t="str">
        <f>IFERROR(VLOOKUP(B136,'[2]Outgoing Transmittals to PDO'!$A$6:$G$20000,2,0),"")</f>
        <v>AIP-PDO-P1701009-T-0984</v>
      </c>
      <c r="O136" s="15" t="str">
        <f>IFERROR(VLOOKUP(B136,'[2]Outgoing Transmittals to PDO'!$A$6:$G$20000,7,0),"")</f>
        <v>IFR</v>
      </c>
      <c r="P136" s="15">
        <f t="shared" ref="P136:P138" si="142">IF(ISNUMBER(M136),SUM(M136+14),"")</f>
        <v>43520</v>
      </c>
      <c r="Q136" s="15">
        <f>IFERROR(VLOOKUP(B136,'[3]Incoming Transmittals from PDO'!$A$6:$G$20000,3,0),"")</f>
        <v>43513</v>
      </c>
      <c r="R136" s="15" t="str">
        <f>IFERROR(VLOOKUP(B136,'[3]Incoming Transmittals from PDO'!$A$6:$G$20000,2,0),"")</f>
        <v>KHF_AIP_D_EXT_01012</v>
      </c>
      <c r="S136" s="15" t="str">
        <f>IFERROR(VLOOKUP(B136,'[3]Incoming Transmittals from PDO'!$A$6:$G$20000,7,0),"")</f>
        <v>Code A</v>
      </c>
      <c r="T136" s="15">
        <f>IFERROR(VLOOKUP(B136,'[1]Outgoing to JEL'!$A$6:$G$5000,3,0),"")</f>
        <v>43514</v>
      </c>
      <c r="U136" s="15" t="str">
        <f>IFERROR(VLOOKUP(B136,'[1]Outgoing to JEL'!$A$6:$G$5000,2,0),"")</f>
        <v>AIP-YKP-JEL-P1701009-T-0009</v>
      </c>
      <c r="V136" s="15" t="str">
        <f>IFERROR(VLOOKUP(B136,'[1]Outgoing to JEL'!$A$6:$G$5000,7,0),"")</f>
        <v>Code A</v>
      </c>
      <c r="W136" s="3" t="str">
        <f t="shared" ref="W136:W138" si="143">IF(S136="Code A","Approved by PDO",IF(S136="Code B","Comments from PDO",IF(S136="Code C","Review not Required",IF(S136="Code D","Rejected by PDO",IF(V136="Code A","Approved by AIP",IF(V136="Code B","Comments from AIP",IF(V136="Code C","Review not Required",IF(V136="Code D","Rejected by AIP",IF(AND(M136="-",Q136="-"),"Pending for AIP review",IF(O136="IFI","Issued for Information",IF(M136&lt;&gt;"","Pending for PDO Approval",IF(L136="IFI","Issued for AIP Information",IF(J136&lt;&gt;"","Pending for PDO submission",IF(I136&lt;&gt;"","Pending from JEL",""))))))))))))))</f>
        <v>Approved by PDO</v>
      </c>
    </row>
    <row r="137" spans="1:23" s="16" customFormat="1" x14ac:dyDescent="0.2">
      <c r="A137" s="98"/>
      <c r="B137" s="36" t="str">
        <f t="shared" si="139"/>
        <v>KHF-00-104265-BA-6065-01310-0000-2</v>
      </c>
      <c r="C137" s="31" t="s">
        <v>322</v>
      </c>
      <c r="D137" s="32" t="s">
        <v>323</v>
      </c>
      <c r="E137" s="20">
        <v>2</v>
      </c>
      <c r="F137" s="20"/>
      <c r="G137" s="20"/>
      <c r="H137" s="20" t="str">
        <f t="shared" si="140"/>
        <v/>
      </c>
      <c r="I137" s="3" t="str">
        <f t="shared" ref="I137:I138" si="144">IFERROR(IF(OR(V136="Code B",V136="Code D",V136="-",ISNUMBER(J137)),T136+14,""),"")</f>
        <v/>
      </c>
      <c r="J137" s="15" t="str">
        <f>IFERROR(VLOOKUP(B137,'[1]Incoming from JEL'!$A$6:$G$5002,3,0),"")</f>
        <v/>
      </c>
      <c r="K137" s="15" t="str">
        <f>IFERROR(VLOOKUP(B137,'[1]Incoming from JEL'!$A$6:$G$5002,2,0),"")</f>
        <v/>
      </c>
      <c r="L137" s="15" t="str">
        <f>IFERROR(VLOOKUP(B137,'[1]Incoming from JEL'!$A$6:$G$5002,7,0),"")</f>
        <v/>
      </c>
      <c r="M137" s="15" t="str">
        <f>IFERROR(VLOOKUP(B137,'[2]Outgoing Transmittals to PDO'!$A$6:$G$20000,3,0),"")</f>
        <v/>
      </c>
      <c r="N137" s="15" t="str">
        <f>IFERROR(VLOOKUP(B137,'[2]Outgoing Transmittals to PDO'!$A$6:$G$20000,2,0),"")</f>
        <v/>
      </c>
      <c r="O137" s="15" t="str">
        <f>IFERROR(VLOOKUP(B137,'[2]Outgoing Transmittals to PDO'!$A$6:$G$20000,7,0),"")</f>
        <v/>
      </c>
      <c r="P137" s="15" t="str">
        <f t="shared" si="142"/>
        <v/>
      </c>
      <c r="Q137" s="15" t="str">
        <f>IFERROR(VLOOKUP(B137,'[3]Incoming Transmittals from PDO'!$A$6:$G$20000,3,0),"")</f>
        <v/>
      </c>
      <c r="R137" s="15" t="str">
        <f>IFERROR(VLOOKUP(B137,'[3]Incoming Transmittals from PDO'!$A$6:$G$20000,2,0),"")</f>
        <v/>
      </c>
      <c r="S137" s="15" t="str">
        <f>IFERROR(VLOOKUP(B137,'[3]Incoming Transmittals from PDO'!$A$6:$G$20000,7,0),"")</f>
        <v/>
      </c>
      <c r="T137" s="15" t="str">
        <f>IFERROR(VLOOKUP(B137,'[1]Outgoing to JEL'!$A$6:$G$5000,3,0),"")</f>
        <v/>
      </c>
      <c r="U137" s="15" t="str">
        <f>IFERROR(VLOOKUP(B137,'[1]Outgoing to JEL'!$A$6:$G$5000,2,0),"")</f>
        <v/>
      </c>
      <c r="V137" s="15" t="str">
        <f>IFERROR(VLOOKUP(B137,'[1]Outgoing to JEL'!$A$6:$G$5000,7,0),"")</f>
        <v/>
      </c>
      <c r="W137" s="3" t="str">
        <f t="shared" si="143"/>
        <v/>
      </c>
    </row>
    <row r="138" spans="1:23" s="16" customFormat="1" x14ac:dyDescent="0.2">
      <c r="A138" s="99"/>
      <c r="B138" s="36" t="str">
        <f t="shared" si="139"/>
        <v>KHF-00-104265-BA-6065-01310-0000-3</v>
      </c>
      <c r="C138" s="31" t="s">
        <v>322</v>
      </c>
      <c r="D138" s="32" t="s">
        <v>323</v>
      </c>
      <c r="E138" s="20">
        <v>3</v>
      </c>
      <c r="F138" s="20"/>
      <c r="G138" s="20"/>
      <c r="H138" s="20" t="str">
        <f t="shared" si="140"/>
        <v/>
      </c>
      <c r="I138" s="3" t="str">
        <f t="shared" si="144"/>
        <v/>
      </c>
      <c r="J138" s="15" t="str">
        <f>IFERROR(VLOOKUP(B138,'[1]Incoming from JEL'!$A$6:$G$5002,3,0),"")</f>
        <v/>
      </c>
      <c r="K138" s="15" t="str">
        <f>IFERROR(VLOOKUP(B138,'[1]Incoming from JEL'!$A$6:$G$5002,2,0),"")</f>
        <v/>
      </c>
      <c r="L138" s="15" t="str">
        <f>IFERROR(VLOOKUP(B138,'[1]Incoming from JEL'!$A$6:$G$5002,7,0),"")</f>
        <v/>
      </c>
      <c r="M138" s="15" t="str">
        <f>IFERROR(VLOOKUP(B138,'[2]Outgoing Transmittals to PDO'!$A$6:$G$20000,3,0),"")</f>
        <v/>
      </c>
      <c r="N138" s="15" t="str">
        <f>IFERROR(VLOOKUP(B138,'[2]Outgoing Transmittals to PDO'!$A$6:$G$20000,2,0),"")</f>
        <v/>
      </c>
      <c r="O138" s="15" t="str">
        <f>IFERROR(VLOOKUP(B138,'[2]Outgoing Transmittals to PDO'!$A$6:$G$20000,7,0),"")</f>
        <v/>
      </c>
      <c r="P138" s="15" t="str">
        <f t="shared" si="142"/>
        <v/>
      </c>
      <c r="Q138" s="15" t="str">
        <f>IFERROR(VLOOKUP(B138,'[3]Incoming Transmittals from PDO'!$A$6:$G$20000,3,0),"")</f>
        <v/>
      </c>
      <c r="R138" s="15" t="str">
        <f>IFERROR(VLOOKUP(B138,'[3]Incoming Transmittals from PDO'!$A$6:$G$20000,2,0),"")</f>
        <v/>
      </c>
      <c r="S138" s="15" t="str">
        <f>IFERROR(VLOOKUP(B138,'[3]Incoming Transmittals from PDO'!$A$6:$G$20000,7,0),"")</f>
        <v/>
      </c>
      <c r="T138" s="15" t="str">
        <f>IFERROR(VLOOKUP(B138,'[1]Outgoing to JEL'!$A$6:$G$5000,3,0),"")</f>
        <v/>
      </c>
      <c r="U138" s="15" t="str">
        <f>IFERROR(VLOOKUP(B138,'[1]Outgoing to JEL'!$A$6:$G$5000,2,0),"")</f>
        <v/>
      </c>
      <c r="V138" s="15" t="str">
        <f>IFERROR(VLOOKUP(B138,'[1]Outgoing to JEL'!$A$6:$G$5000,7,0),"")</f>
        <v/>
      </c>
      <c r="W138" s="3" t="str">
        <f t="shared" si="143"/>
        <v/>
      </c>
    </row>
    <row r="139" spans="1:23" s="16" customFormat="1" ht="21" x14ac:dyDescent="0.2">
      <c r="A139" s="97">
        <f>A136+1</f>
        <v>44</v>
      </c>
      <c r="B139" s="37" t="str">
        <f t="shared" ref="B139:B142" si="145">CONCATENATE(C139,"-",E139)</f>
        <v>KHF-00-104265-BA-6065-01311-0000-1</v>
      </c>
      <c r="C139" s="31" t="s">
        <v>324</v>
      </c>
      <c r="D139" s="32" t="s">
        <v>325</v>
      </c>
      <c r="E139" s="20">
        <v>1</v>
      </c>
      <c r="F139" s="20"/>
      <c r="G139" s="20"/>
      <c r="H139" s="20" t="str">
        <f t="shared" ref="H139:H142" si="146">IF(AND(C139=C140,J140="",J139&lt;&gt;""),"L","")</f>
        <v/>
      </c>
      <c r="I139" s="3">
        <f t="shared" ref="I139" si="147">J139</f>
        <v>43510</v>
      </c>
      <c r="J139" s="15">
        <f>IFERROR(VLOOKUP(B139,'[1]Incoming from JEL'!$A$6:$G$5002,3,0),"")</f>
        <v>43510</v>
      </c>
      <c r="K139" s="15" t="str">
        <f>IFERROR(VLOOKUP(B139,'[1]Incoming from JEL'!$A$6:$G$5002,2,0),"")</f>
        <v>AIP-YKP-JEL-T-0015R3</v>
      </c>
      <c r="L139" s="15" t="str">
        <f>IFERROR(VLOOKUP(B139,'[1]Incoming from JEL'!$A$6:$G$5002,7,0),"")</f>
        <v>IFR</v>
      </c>
      <c r="M139" s="15">
        <f>IFERROR(VLOOKUP(B139,'[2]Outgoing Transmittals to PDO'!$A$6:$G$20000,3,0),"")</f>
        <v>43517</v>
      </c>
      <c r="N139" s="15" t="str">
        <f>IFERROR(VLOOKUP(B139,'[2]Outgoing Transmittals to PDO'!$A$6:$G$20000,2,0),"")</f>
        <v>AIP-PDO-P1701009-T-1017</v>
      </c>
      <c r="O139" s="15" t="str">
        <f>IFERROR(VLOOKUP(B139,'[2]Outgoing Transmittals to PDO'!$A$6:$G$20000,7,0),"")</f>
        <v>IFR</v>
      </c>
      <c r="P139" s="15">
        <f t="shared" ref="P139:P142" si="148">IF(ISNUMBER(M139),SUM(M139+14),"")</f>
        <v>43531</v>
      </c>
      <c r="Q139" s="15">
        <f>IFERROR(VLOOKUP(B139,'[3]Incoming Transmittals from PDO'!$A$6:$G$20000,3,0),"")</f>
        <v>43522</v>
      </c>
      <c r="R139" s="15" t="str">
        <f>IFERROR(VLOOKUP(B139,'[3]Incoming Transmittals from PDO'!$A$6:$G$20000,2,0),"")</f>
        <v>KHF_AIP_D_EXT_01043</v>
      </c>
      <c r="S139" s="15" t="str">
        <f>IFERROR(VLOOKUP(B139,'[3]Incoming Transmittals from PDO'!$A$6:$G$20000,7,0),"")</f>
        <v>Code D</v>
      </c>
      <c r="T139" s="15">
        <f>IFERROR(VLOOKUP(B139,'[1]Outgoing to JEL'!$A$6:$G$5000,3,0),"")</f>
        <v>43528</v>
      </c>
      <c r="U139" s="15" t="str">
        <f>IFERROR(VLOOKUP(B139,'[1]Outgoing to JEL'!$A$6:$G$5000,2,0),"")</f>
        <v>AIP-YKP-JEL-P1701009-T-0011</v>
      </c>
      <c r="V139" s="15" t="str">
        <f>IFERROR(VLOOKUP(B139,'[1]Outgoing to JEL'!$A$6:$G$5000,7,0),"")</f>
        <v>Code D</v>
      </c>
      <c r="W139" s="3" t="str">
        <f t="shared" ref="W139:W142" si="149">IF(S139="Code A","Approved by PDO",IF(S139="Code B","Comments from PDO",IF(S139="Code C","Review not Required",IF(S139="Code D","Rejected by PDO",IF(V139="Code A","Approved by AIP",IF(V139="Code B","Comments from AIP",IF(V139="Code C","Review not Required",IF(V139="Code D","Rejected by AIP",IF(AND(M139="-",Q139="-"),"Pending for AIP review",IF(O139="IFI","Issued for Information",IF(M139&lt;&gt;"","Pending for PDO Approval",IF(L139="IFI","Issued for AIP Information",IF(J139&lt;&gt;"","Pending for PDO submission",IF(I139&lt;&gt;"","Pending from JEL",""))))))))))))))</f>
        <v>Rejected by PDO</v>
      </c>
    </row>
    <row r="140" spans="1:23" s="16" customFormat="1" ht="21" x14ac:dyDescent="0.2">
      <c r="A140" s="98"/>
      <c r="B140" s="37" t="str">
        <f t="shared" si="145"/>
        <v>KHF-00-104265-BA-6065-01311-0000-2</v>
      </c>
      <c r="C140" s="31" t="s">
        <v>324</v>
      </c>
      <c r="D140" s="32" t="s">
        <v>325</v>
      </c>
      <c r="E140" s="20">
        <v>2</v>
      </c>
      <c r="F140" s="20"/>
      <c r="G140" s="20"/>
      <c r="H140" s="20" t="str">
        <f t="shared" si="146"/>
        <v/>
      </c>
      <c r="I140" s="3">
        <f t="shared" ref="I140:I142" si="150">IFERROR(IF(OR(V139="Code B",V139="Code D",V139="-",ISNUMBER(J140)),T139+14,""),"")</f>
        <v>43542</v>
      </c>
      <c r="J140" s="15">
        <f>IFERROR(VLOOKUP(B140,'[1]Incoming from JEL'!$A$6:$G$5002,3,0),"")</f>
        <v>43554</v>
      </c>
      <c r="K140" s="15" t="str">
        <f>IFERROR(VLOOKUP(B140,'[1]Incoming from JEL'!$A$6:$G$5002,2,0),"")</f>
        <v>AIP-YKP-JEL-T-0015R6</v>
      </c>
      <c r="L140" s="15" t="str">
        <f>IFERROR(VLOOKUP(B140,'[1]Incoming from JEL'!$A$6:$G$5002,7,0),"")</f>
        <v>IFA</v>
      </c>
      <c r="M140" s="15">
        <f>IFERROR(VLOOKUP(B140,'[2]Outgoing Transmittals to PDO'!$A$6:$G$20000,3,0),"")</f>
        <v>43565</v>
      </c>
      <c r="N140" s="15" t="str">
        <f>IFERROR(VLOOKUP(B140,'[2]Outgoing Transmittals to PDO'!$A$6:$G$20000,2,0),"")</f>
        <v>AIP-PDO-P1701009-T-1148</v>
      </c>
      <c r="O140" s="15" t="str">
        <f>IFERROR(VLOOKUP(B140,'[2]Outgoing Transmittals to PDO'!$A$6:$G$20000,7,0),"")</f>
        <v>IFA</v>
      </c>
      <c r="P140" s="15">
        <f t="shared" si="148"/>
        <v>43579</v>
      </c>
      <c r="Q140" s="15">
        <f>IFERROR(VLOOKUP(B140,'[3]Incoming Transmittals from PDO'!$A$6:$G$20000,3,0),"")</f>
        <v>43578</v>
      </c>
      <c r="R140" s="15" t="str">
        <f>IFERROR(VLOOKUP(B140,'[3]Incoming Transmittals from PDO'!$A$6:$G$20000,2,0),"")</f>
        <v>KHF_AIP_D_EXT_01201</v>
      </c>
      <c r="S140" s="15" t="str">
        <f>IFERROR(VLOOKUP(B140,'[3]Incoming Transmittals from PDO'!$A$6:$G$20000,7,0),"")</f>
        <v>Code B</v>
      </c>
      <c r="T140" s="15">
        <f>IFERROR(VLOOKUP(B140,'[1]Outgoing to JEL'!$A$6:$G$5000,3,0),"")</f>
        <v>43578</v>
      </c>
      <c r="U140" s="15" t="str">
        <f>IFERROR(VLOOKUP(B140,'[1]Outgoing to JEL'!$A$6:$G$5000,2,0),"")</f>
        <v>AIP-YKP-JEL-P1701009-T-0022</v>
      </c>
      <c r="V140" s="15" t="str">
        <f>IFERROR(VLOOKUP(B140,'[1]Outgoing to JEL'!$A$6:$G$5000,7,0),"")</f>
        <v>Code B</v>
      </c>
      <c r="W140" s="3" t="str">
        <f t="shared" si="149"/>
        <v>Comments from PDO</v>
      </c>
    </row>
    <row r="141" spans="1:23" s="16" customFormat="1" ht="21" x14ac:dyDescent="0.2">
      <c r="A141" s="98"/>
      <c r="B141" s="59" t="str">
        <f t="shared" ref="B141" si="151">CONCATENATE(C141,"-",E141)</f>
        <v>KHF-00-104265-BA-6065-01311-0000-3</v>
      </c>
      <c r="C141" s="31" t="s">
        <v>324</v>
      </c>
      <c r="D141" s="32" t="s">
        <v>325</v>
      </c>
      <c r="E141" s="20">
        <v>3</v>
      </c>
      <c r="F141" s="20"/>
      <c r="G141" s="20"/>
      <c r="H141" s="20" t="str">
        <f t="shared" si="146"/>
        <v>L</v>
      </c>
      <c r="I141" s="3">
        <f t="shared" si="150"/>
        <v>43592</v>
      </c>
      <c r="J141" s="15">
        <f>IFERROR(VLOOKUP(B141,'[1]Incoming from JEL'!$A$6:$G$5002,3,0),"")</f>
        <v>43583</v>
      </c>
      <c r="K141" s="15" t="str">
        <f>IFERROR(VLOOKUP(B141,'[1]Incoming from JEL'!$A$6:$G$5002,2,0),"")</f>
        <v>AIP-YKP-JEL -T-0015R7</v>
      </c>
      <c r="L141" s="15" t="str">
        <f>IFERROR(VLOOKUP(B141,'[1]Incoming from JEL'!$A$6:$G$5002,7,0),"")</f>
        <v>IFA</v>
      </c>
      <c r="M141" s="15">
        <f>IFERROR(VLOOKUP(B141,'[2]Outgoing Transmittals to PDO'!$A$6:$G$20000,3,0),"")</f>
        <v>43591</v>
      </c>
      <c r="N141" s="15" t="str">
        <f>IFERROR(VLOOKUP(B141,'[2]Outgoing Transmittals to PDO'!$A$6:$G$20000,2,0),"")</f>
        <v>AIP-PDO-P1701009-T-1195</v>
      </c>
      <c r="O141" s="15" t="str">
        <f>IFERROR(VLOOKUP(B141,'[2]Outgoing Transmittals to PDO'!$A$6:$G$20000,7,0),"")</f>
        <v>IFA</v>
      </c>
      <c r="P141" s="15">
        <f t="shared" ref="P141" si="152">IF(ISNUMBER(M141),SUM(M141+14),"")</f>
        <v>43605</v>
      </c>
      <c r="Q141" s="15">
        <f>IFERROR(VLOOKUP(B141,'[3]Incoming Transmittals from PDO'!$A$6:$G$20000,3,0),"")</f>
        <v>43604</v>
      </c>
      <c r="R141" s="15" t="str">
        <f>IFERROR(VLOOKUP(B141,'[3]Incoming Transmittals from PDO'!$A$6:$G$20000,2,0),"")</f>
        <v>KHF_AIP_D_EXT_01237</v>
      </c>
      <c r="S141" s="15" t="str">
        <f>IFERROR(VLOOKUP(B141,'[3]Incoming Transmittals from PDO'!$A$6:$G$20000,7,0),"")</f>
        <v>Code A</v>
      </c>
      <c r="T141" s="15">
        <f>IFERROR(VLOOKUP(B141,'[1]Outgoing to JEL'!$A$6:$G$5000,3,0),"")</f>
        <v>43606</v>
      </c>
      <c r="U141" s="15" t="str">
        <f>IFERROR(VLOOKUP(B141,'[1]Outgoing to JEL'!$A$6:$G$5000,2,0),"")</f>
        <v>AIP-YKP-JEL-P1701009-T-0027</v>
      </c>
      <c r="V141" s="15" t="str">
        <f>IFERROR(VLOOKUP(B141,'[1]Outgoing to JEL'!$A$6:$G$5000,7,0),"")</f>
        <v>Code A</v>
      </c>
      <c r="W141" s="3" t="str">
        <f t="shared" ref="W141" si="153">IF(S141="Code A","Approved by PDO",IF(S141="Code B","Comments from PDO",IF(S141="Code C","Review not Required",IF(S141="Code D","Rejected by PDO",IF(V141="Code A","Approved by AIP",IF(V141="Code B","Comments from AIP",IF(V141="Code C","Review not Required",IF(V141="Code D","Rejected by AIP",IF(AND(M141="-",Q141="-"),"Pending for AIP review",IF(O141="IFI","Issued for Information",IF(M141&lt;&gt;"","Pending for PDO Approval",IF(L141="IFI","Issued for AIP Information",IF(J141&lt;&gt;"","Pending for PDO submission",IF(I141&lt;&gt;"","Pending from JEL",""))))))))))))))</f>
        <v>Approved by PDO</v>
      </c>
    </row>
    <row r="142" spans="1:23" s="16" customFormat="1" ht="21" x14ac:dyDescent="0.2">
      <c r="A142" s="99"/>
      <c r="B142" s="37" t="str">
        <f t="shared" si="145"/>
        <v>KHF-00-104265-BA-6065-01311-0000-4</v>
      </c>
      <c r="C142" s="31" t="s">
        <v>324</v>
      </c>
      <c r="D142" s="32" t="s">
        <v>325</v>
      </c>
      <c r="E142" s="20">
        <v>4</v>
      </c>
      <c r="F142" s="20"/>
      <c r="G142" s="20"/>
      <c r="H142" s="20" t="str">
        <f t="shared" si="146"/>
        <v/>
      </c>
      <c r="I142" s="3" t="str">
        <f t="shared" si="150"/>
        <v/>
      </c>
      <c r="J142" s="15" t="str">
        <f>IFERROR(VLOOKUP(B142,'[1]Incoming from JEL'!$A$6:$G$5002,3,0),"")</f>
        <v/>
      </c>
      <c r="K142" s="15" t="str">
        <f>IFERROR(VLOOKUP(B142,'[1]Incoming from JEL'!$A$6:$G$5002,2,0),"")</f>
        <v/>
      </c>
      <c r="L142" s="15" t="str">
        <f>IFERROR(VLOOKUP(B142,'[1]Incoming from JEL'!$A$6:$G$5002,7,0),"")</f>
        <v/>
      </c>
      <c r="M142" s="15" t="str">
        <f>IFERROR(VLOOKUP(B142,'[2]Outgoing Transmittals to PDO'!$A$6:$G$20000,3,0),"")</f>
        <v/>
      </c>
      <c r="N142" s="15" t="str">
        <f>IFERROR(VLOOKUP(B142,'[2]Outgoing Transmittals to PDO'!$A$6:$G$20000,2,0),"")</f>
        <v/>
      </c>
      <c r="O142" s="15" t="str">
        <f>IFERROR(VLOOKUP(B142,'[2]Outgoing Transmittals to PDO'!$A$6:$G$20000,7,0),"")</f>
        <v/>
      </c>
      <c r="P142" s="15" t="str">
        <f t="shared" si="148"/>
        <v/>
      </c>
      <c r="Q142" s="15" t="str">
        <f>IFERROR(VLOOKUP(B142,'[3]Incoming Transmittals from PDO'!$A$6:$G$20000,3,0),"")</f>
        <v/>
      </c>
      <c r="R142" s="15" t="str">
        <f>IFERROR(VLOOKUP(B142,'[3]Incoming Transmittals from PDO'!$A$6:$G$20000,2,0),"")</f>
        <v/>
      </c>
      <c r="S142" s="15" t="str">
        <f>IFERROR(VLOOKUP(B142,'[3]Incoming Transmittals from PDO'!$A$6:$G$20000,7,0),"")</f>
        <v/>
      </c>
      <c r="T142" s="15" t="str">
        <f>IFERROR(VLOOKUP(B142,'[1]Outgoing to JEL'!$A$6:$G$5000,3,0),"")</f>
        <v/>
      </c>
      <c r="U142" s="15" t="str">
        <f>IFERROR(VLOOKUP(B142,'[1]Outgoing to JEL'!$A$6:$G$5000,2,0),"")</f>
        <v/>
      </c>
      <c r="V142" s="15" t="str">
        <f>IFERROR(VLOOKUP(B142,'[1]Outgoing to JEL'!$A$6:$G$5000,7,0),"")</f>
        <v/>
      </c>
      <c r="W142" s="3" t="str">
        <f t="shared" si="149"/>
        <v/>
      </c>
    </row>
    <row r="143" spans="1:23" s="16" customFormat="1" x14ac:dyDescent="0.2">
      <c r="A143" s="97">
        <f>A139+1</f>
        <v>45</v>
      </c>
      <c r="B143" s="38" t="str">
        <f t="shared" ref="B143:B146" si="154">CONCATENATE(C143,"-",E143)</f>
        <v>KHF-00-104265-QA-5733-01310-0000-1</v>
      </c>
      <c r="C143" s="31" t="s">
        <v>326</v>
      </c>
      <c r="D143" s="32" t="s">
        <v>368</v>
      </c>
      <c r="E143" s="20">
        <v>1</v>
      </c>
      <c r="F143" s="20"/>
      <c r="G143" s="20"/>
      <c r="H143" s="20" t="str">
        <f t="shared" ref="H143:H146" si="155">IF(AND(C143=C144,J144="",J143&lt;&gt;""),"L","")</f>
        <v/>
      </c>
      <c r="I143" s="3">
        <f t="shared" ref="I143" si="156">J143</f>
        <v>43512</v>
      </c>
      <c r="J143" s="15">
        <f>IFERROR(VLOOKUP(B143,'[1]Incoming from JEL'!$A$6:$G$5002,3,0),"")</f>
        <v>43512</v>
      </c>
      <c r="K143" s="15" t="str">
        <f>IFERROR(VLOOKUP(B143,'[1]Incoming from JEL'!$A$6:$G$5002,2,0),"")</f>
        <v>AIP-YKP-JEL-T-0021R1</v>
      </c>
      <c r="L143" s="15" t="str">
        <f>IFERROR(VLOOKUP(B143,'[1]Incoming from JEL'!$A$6:$G$5002,7,0),"")</f>
        <v>IFR</v>
      </c>
      <c r="M143" s="15">
        <f>IFERROR(VLOOKUP(B143,'[2]Outgoing Transmittals to PDO'!$A$6:$G$20000,3,0),"")</f>
        <v>43514</v>
      </c>
      <c r="N143" s="15" t="str">
        <f>IFERROR(VLOOKUP(B143,'[2]Outgoing Transmittals to PDO'!$A$6:$G$20000,2,0),"")</f>
        <v>AIP-PDO-P1701009-T-1007</v>
      </c>
      <c r="O143" s="15" t="str">
        <f>IFERROR(VLOOKUP(B143,'[2]Outgoing Transmittals to PDO'!$A$6:$G$20000,7,0),"")</f>
        <v>IFR</v>
      </c>
      <c r="P143" s="15">
        <f t="shared" ref="P143:P146" si="157">IF(ISNUMBER(M143),SUM(M143+14),"")</f>
        <v>43528</v>
      </c>
      <c r="Q143" s="15">
        <f>IFERROR(VLOOKUP(B143,'[3]Incoming Transmittals from PDO'!$A$6:$G$20000,3,0),"")</f>
        <v>43520</v>
      </c>
      <c r="R143" s="15" t="str">
        <f>IFERROR(VLOOKUP(B143,'[3]Incoming Transmittals from PDO'!$A$6:$G$20000,2,0),"")</f>
        <v>KHF_AIP_D_EXT_01038</v>
      </c>
      <c r="S143" s="15" t="str">
        <f>IFERROR(VLOOKUP(B143,'[3]Incoming Transmittals from PDO'!$A$6:$G$20000,7,0),"")</f>
        <v>Code B</v>
      </c>
      <c r="T143" s="15">
        <f>IFERROR(VLOOKUP(B143,'[1]Outgoing to JEL'!$A$6:$G$5000,3,0),"")</f>
        <v>43528</v>
      </c>
      <c r="U143" s="15" t="str">
        <f>IFERROR(VLOOKUP(B143,'[1]Outgoing to JEL'!$A$6:$G$5000,2,0),"")</f>
        <v>AIP-YKP-JEL-P1701009-T-0011</v>
      </c>
      <c r="V143" s="15" t="str">
        <f>IFERROR(VLOOKUP(B143,'[1]Outgoing to JEL'!$A$6:$G$5000,7,0),"")</f>
        <v>Code B</v>
      </c>
      <c r="W143" s="3" t="str">
        <f t="shared" ref="W143:W146" si="158">IF(S143="Code A","Approved by PDO",IF(S143="Code B","Comments from PDO",IF(S143="Code C","Review not Required",IF(S143="Code D","Rejected by PDO",IF(V143="Code A","Approved by AIP",IF(V143="Code B","Comments from AIP",IF(V143="Code C","Review not Required",IF(V143="Code D","Rejected by AIP",IF(AND(M143="-",Q143="-"),"Pending for AIP review",IF(O143="IFI","Issued for Information",IF(M143&lt;&gt;"","Pending for PDO Approval",IF(L143="IFI","Issued for AIP Information",IF(J143&lt;&gt;"","Pending for PDO submission",IF(I143&lt;&gt;"","Pending from JEL",""))))))))))))))</f>
        <v>Comments from PDO</v>
      </c>
    </row>
    <row r="144" spans="1:23" s="16" customFormat="1" x14ac:dyDescent="0.2">
      <c r="A144" s="98"/>
      <c r="B144" s="38" t="str">
        <f t="shared" si="154"/>
        <v>KHF-00-104265-QA-5733-01310-0000-2</v>
      </c>
      <c r="C144" s="31" t="s">
        <v>326</v>
      </c>
      <c r="D144" s="32" t="s">
        <v>368</v>
      </c>
      <c r="E144" s="20">
        <v>2</v>
      </c>
      <c r="F144" s="20"/>
      <c r="G144" s="20"/>
      <c r="H144" s="20" t="str">
        <f t="shared" si="155"/>
        <v/>
      </c>
      <c r="I144" s="3">
        <f t="shared" ref="I144:I146" si="159">IFERROR(IF(OR(V143="Code B",V143="Code D",V143="-",ISNUMBER(J144)),T143+14,""),"")</f>
        <v>43542</v>
      </c>
      <c r="J144" s="15">
        <f>IFERROR(VLOOKUP(B144,'[1]Incoming from JEL'!$A$6:$G$5002,3,0),"")</f>
        <v>43526</v>
      </c>
      <c r="K144" s="15" t="str">
        <f>IFERROR(VLOOKUP(B144,'[1]Incoming from JEL'!$A$6:$G$5002,2,0),"")</f>
        <v>AIP-YKP-JEL-T-0021R2</v>
      </c>
      <c r="L144" s="15" t="str">
        <f>IFERROR(VLOOKUP(B144,'[1]Incoming from JEL'!$A$6:$G$5002,7,0),"")</f>
        <v>IFA</v>
      </c>
      <c r="M144" s="15">
        <f>IFERROR(VLOOKUP(B144,'[2]Outgoing Transmittals to PDO'!$A$6:$G$20000,3,0),"")</f>
        <v>43528</v>
      </c>
      <c r="N144" s="15" t="str">
        <f>IFERROR(VLOOKUP(B144,'[2]Outgoing Transmittals to PDO'!$A$6:$G$20000,2,0),"")</f>
        <v>AIP-PDO-P1701009-T-1036</v>
      </c>
      <c r="O144" s="15" t="str">
        <f>IFERROR(VLOOKUP(B144,'[2]Outgoing Transmittals to PDO'!$A$6:$G$20000,7,0),"")</f>
        <v>IFA</v>
      </c>
      <c r="P144" s="15">
        <f t="shared" si="157"/>
        <v>43542</v>
      </c>
      <c r="Q144" s="15">
        <f>IFERROR(VLOOKUP(B144,'[3]Incoming Transmittals from PDO'!$A$6:$G$20000,3,0),"")</f>
        <v>43544</v>
      </c>
      <c r="R144" s="15" t="str">
        <f>IFERROR(VLOOKUP(B144,'[3]Incoming Transmittals from PDO'!$A$6:$G$20000,2,0),"")</f>
        <v>KHF_AIP_D_EXT_01110</v>
      </c>
      <c r="S144" s="15" t="str">
        <f>IFERROR(VLOOKUP(B144,'[3]Incoming Transmittals from PDO'!$A$6:$G$20000,7,0),"")</f>
        <v>Code B</v>
      </c>
      <c r="T144" s="15">
        <f>IFERROR(VLOOKUP(B144,'[1]Outgoing to JEL'!$A$6:$G$5000,3,0),"")</f>
        <v>43545</v>
      </c>
      <c r="U144" s="15" t="str">
        <f>IFERROR(VLOOKUP(B144,'[1]Outgoing to JEL'!$A$6:$G$5000,2,0),"")</f>
        <v>AIP-YKP-JEL-P1701009-T-0017</v>
      </c>
      <c r="V144" s="15" t="str">
        <f>IFERROR(VLOOKUP(B144,'[1]Outgoing to JEL'!$A$6:$G$5000,7,0),"")</f>
        <v>Code B</v>
      </c>
      <c r="W144" s="3" t="str">
        <f t="shared" si="158"/>
        <v>Comments from PDO</v>
      </c>
    </row>
    <row r="145" spans="1:23" s="16" customFormat="1" x14ac:dyDescent="0.2">
      <c r="A145" s="98"/>
      <c r="B145" s="47" t="str">
        <f t="shared" ref="B145" si="160">CONCATENATE(C145,"-",E145)</f>
        <v>KHF-00-104265-QA-5733-01310-0000-3</v>
      </c>
      <c r="C145" s="31" t="s">
        <v>326</v>
      </c>
      <c r="D145" s="32" t="s">
        <v>368</v>
      </c>
      <c r="E145" s="20">
        <v>3</v>
      </c>
      <c r="F145" s="20"/>
      <c r="G145" s="20"/>
      <c r="H145" s="20" t="str">
        <f t="shared" ref="H145" si="161">IF(AND(C145=C146,J146="",J145&lt;&gt;""),"L","")</f>
        <v>L</v>
      </c>
      <c r="I145" s="3">
        <f t="shared" si="159"/>
        <v>43559</v>
      </c>
      <c r="J145" s="15">
        <f>IFERROR(VLOOKUP(B145,'[1]Incoming from JEL'!$A$6:$G$5002,3,0),"")</f>
        <v>43551</v>
      </c>
      <c r="K145" s="15" t="str">
        <f>IFERROR(VLOOKUP(B145,'[1]Incoming from JEL'!$A$6:$G$5002,2,0),"")</f>
        <v>AIP-YKP-JEL-T-0021R3</v>
      </c>
      <c r="L145" s="15" t="str">
        <f>IFERROR(VLOOKUP(B145,'[1]Incoming from JEL'!$A$6:$G$5002,7,0),"")</f>
        <v>IFA</v>
      </c>
      <c r="M145" s="15">
        <f>IFERROR(VLOOKUP(B145,'[2]Outgoing Transmittals to PDO'!$A$6:$G$20000,3,0),"")</f>
        <v>43552</v>
      </c>
      <c r="N145" s="15" t="str">
        <f>IFERROR(VLOOKUP(B145,'[2]Outgoing Transmittals to PDO'!$A$6:$G$20000,2,0),"")</f>
        <v>AIP-PDO-P1701009-T-1113</v>
      </c>
      <c r="O145" s="15" t="str">
        <f>IFERROR(VLOOKUP(B145,'[2]Outgoing Transmittals to PDO'!$A$6:$G$20000,7,0),"")</f>
        <v>IFA</v>
      </c>
      <c r="P145" s="15">
        <f t="shared" ref="P145" si="162">IF(ISNUMBER(M145),SUM(M145+14),"")</f>
        <v>43566</v>
      </c>
      <c r="Q145" s="15">
        <f>IFERROR(VLOOKUP(B145,'[3]Incoming Transmittals from PDO'!$A$6:$G$20000,3,0),"")</f>
        <v>43557</v>
      </c>
      <c r="R145" s="15" t="str">
        <f>IFERROR(VLOOKUP(B145,'[3]Incoming Transmittals from PDO'!$A$6:$G$20000,2,0),"")</f>
        <v>KHF_AIP_D_EXT_01142</v>
      </c>
      <c r="S145" s="15" t="str">
        <f>IFERROR(VLOOKUP(B145,'[3]Incoming Transmittals from PDO'!$A$6:$G$20000,7,0),"")</f>
        <v>Code A</v>
      </c>
      <c r="T145" s="15">
        <f>IFERROR(VLOOKUP(B145,'[1]Outgoing to JEL'!$A$6:$G$5000,3,0),"")</f>
        <v>43557</v>
      </c>
      <c r="U145" s="15" t="str">
        <f>IFERROR(VLOOKUP(B145,'[1]Outgoing to JEL'!$A$6:$G$5000,2,0),"")</f>
        <v>AIP-YKP-JEL-P1701009-T-0019</v>
      </c>
      <c r="V145" s="15" t="str">
        <f>IFERROR(VLOOKUP(B145,'[1]Outgoing to JEL'!$A$6:$G$5000,7,0),"")</f>
        <v>Code A</v>
      </c>
      <c r="W145" s="3" t="str">
        <f t="shared" ref="W145" si="163">IF(S145="Code A","Approved by PDO",IF(S145="Code B","Comments from PDO",IF(S145="Code C","Review not Required",IF(S145="Code D","Rejected by PDO",IF(V145="Code A","Approved by AIP",IF(V145="Code B","Comments from AIP",IF(V145="Code C","Review not Required",IF(V145="Code D","Rejected by AIP",IF(AND(M145="-",Q145="-"),"Pending for AIP review",IF(O145="IFI","Issued for Information",IF(M145&lt;&gt;"","Pending for PDO Approval",IF(L145="IFI","Issued for AIP Information",IF(J145&lt;&gt;"","Pending for PDO submission",IF(I145&lt;&gt;"","Pending from JEL",""))))))))))))))</f>
        <v>Approved by PDO</v>
      </c>
    </row>
    <row r="146" spans="1:23" s="16" customFormat="1" x14ac:dyDescent="0.2">
      <c r="A146" s="99"/>
      <c r="B146" s="38" t="str">
        <f t="shared" si="154"/>
        <v>KHF-00-104265-QA-5733-01310-0000-4</v>
      </c>
      <c r="C146" s="31" t="s">
        <v>326</v>
      </c>
      <c r="D146" s="32" t="s">
        <v>368</v>
      </c>
      <c r="E146" s="20">
        <v>4</v>
      </c>
      <c r="F146" s="20"/>
      <c r="G146" s="20"/>
      <c r="H146" s="20" t="str">
        <f t="shared" si="155"/>
        <v/>
      </c>
      <c r="I146" s="3" t="str">
        <f t="shared" si="159"/>
        <v/>
      </c>
      <c r="J146" s="15" t="str">
        <f>IFERROR(VLOOKUP(B146,'[1]Incoming from JEL'!$A$6:$G$5002,3,0),"")</f>
        <v/>
      </c>
      <c r="K146" s="15" t="str">
        <f>IFERROR(VLOOKUP(B146,'[1]Incoming from JEL'!$A$6:$G$5002,2,0),"")</f>
        <v/>
      </c>
      <c r="L146" s="15" t="str">
        <f>IFERROR(VLOOKUP(B146,'[1]Incoming from JEL'!$A$6:$G$5002,7,0),"")</f>
        <v/>
      </c>
      <c r="M146" s="15" t="str">
        <f>IFERROR(VLOOKUP(B146,'[2]Outgoing Transmittals to PDO'!$A$6:$G$20000,3,0),"")</f>
        <v/>
      </c>
      <c r="N146" s="15" t="str">
        <f>IFERROR(VLOOKUP(B146,'[2]Outgoing Transmittals to PDO'!$A$6:$G$20000,2,0),"")</f>
        <v/>
      </c>
      <c r="O146" s="15" t="str">
        <f>IFERROR(VLOOKUP(B146,'[2]Outgoing Transmittals to PDO'!$A$6:$G$20000,7,0),"")</f>
        <v/>
      </c>
      <c r="P146" s="15" t="str">
        <f t="shared" si="157"/>
        <v/>
      </c>
      <c r="Q146" s="15" t="str">
        <f>IFERROR(VLOOKUP(B146,'[3]Incoming Transmittals from PDO'!$A$6:$G$20000,3,0),"")</f>
        <v/>
      </c>
      <c r="R146" s="15" t="str">
        <f>IFERROR(VLOOKUP(B146,'[3]Incoming Transmittals from PDO'!$A$6:$G$20000,2,0),"")</f>
        <v/>
      </c>
      <c r="S146" s="15" t="str">
        <f>IFERROR(VLOOKUP(B146,'[3]Incoming Transmittals from PDO'!$A$6:$G$20000,7,0),"")</f>
        <v/>
      </c>
      <c r="T146" s="15" t="str">
        <f>IFERROR(VLOOKUP(B146,'[1]Outgoing to JEL'!$A$6:$G$5000,3,0),"")</f>
        <v/>
      </c>
      <c r="U146" s="15" t="str">
        <f>IFERROR(VLOOKUP(B146,'[1]Outgoing to JEL'!$A$6:$G$5000,2,0),"")</f>
        <v/>
      </c>
      <c r="V146" s="15" t="str">
        <f>IFERROR(VLOOKUP(B146,'[1]Outgoing to JEL'!$A$6:$G$5000,7,0),"")</f>
        <v/>
      </c>
      <c r="W146" s="3" t="str">
        <f t="shared" si="158"/>
        <v/>
      </c>
    </row>
    <row r="147" spans="1:23" s="16" customFormat="1" x14ac:dyDescent="0.2">
      <c r="A147" s="97">
        <f>A143+1</f>
        <v>46</v>
      </c>
      <c r="B147" s="40" t="str">
        <f t="shared" ref="B147:B149" si="164">CONCATENATE(C147,"-",E147)</f>
        <v>KHF-00-104265-RA-6038-01310-0000-1</v>
      </c>
      <c r="C147" s="31" t="s">
        <v>344</v>
      </c>
      <c r="D147" s="32" t="s">
        <v>345</v>
      </c>
      <c r="E147" s="20">
        <v>1</v>
      </c>
      <c r="F147" s="20"/>
      <c r="G147" s="20"/>
      <c r="H147" s="20" t="str">
        <f t="shared" ref="H147:H149" si="165">IF(AND(C147=C148,J148="",J147&lt;&gt;""),"L","")</f>
        <v/>
      </c>
      <c r="I147" s="3">
        <f t="shared" ref="I147" si="166">J147</f>
        <v>43526</v>
      </c>
      <c r="J147" s="15">
        <f>IFERROR(VLOOKUP(B147,'[1]Incoming from JEL'!$A$6:$G$5002,3,0),"")</f>
        <v>43526</v>
      </c>
      <c r="K147" s="15" t="str">
        <f>IFERROR(VLOOKUP(B147,'[1]Incoming from JEL'!$A$6:$G$5002,2,0),"")</f>
        <v>AIP-YKP-JEL-T-0022R1</v>
      </c>
      <c r="L147" s="15" t="str">
        <f>IFERROR(VLOOKUP(B147,'[1]Incoming from JEL'!$A$6:$G$5002,7,0),"")</f>
        <v>IFR</v>
      </c>
      <c r="M147" s="15">
        <f>IFERROR(VLOOKUP(B147,'[2]Outgoing Transmittals to PDO'!$A$6:$G$20000,3,0),"")</f>
        <v>43528</v>
      </c>
      <c r="N147" s="15" t="str">
        <f>IFERROR(VLOOKUP(B147,'[2]Outgoing Transmittals to PDO'!$A$6:$G$20000,2,0),"")</f>
        <v>AIP-PDO-P1701009-T-1037</v>
      </c>
      <c r="O147" s="15" t="str">
        <f>IFERROR(VLOOKUP(B147,'[2]Outgoing Transmittals to PDO'!$A$6:$G$20000,7,0),"")</f>
        <v>IFR</v>
      </c>
      <c r="P147" s="15">
        <f t="shared" ref="P147:P149" si="167">IF(ISNUMBER(M147),SUM(M147+14),"")</f>
        <v>43542</v>
      </c>
      <c r="Q147" s="15">
        <f>IFERROR(VLOOKUP(B147,'[3]Incoming Transmittals from PDO'!$A$6:$G$20000,3,0),"")</f>
        <v>43541</v>
      </c>
      <c r="R147" s="15" t="str">
        <f>IFERROR(VLOOKUP(B147,'[3]Incoming Transmittals from PDO'!$A$6:$G$20000,2,0),"")</f>
        <v>KHF_AIP_D_EXT_01106</v>
      </c>
      <c r="S147" s="15" t="str">
        <f>IFERROR(VLOOKUP(B147,'[3]Incoming Transmittals from PDO'!$A$6:$G$20000,7,0),"")</f>
        <v>Code B</v>
      </c>
      <c r="T147" s="15">
        <f>IFERROR(VLOOKUP(B147,'[1]Outgoing to JEL'!$A$6:$G$5000,3,0),"")</f>
        <v>43541</v>
      </c>
      <c r="U147" s="15" t="str">
        <f>IFERROR(VLOOKUP(B147,'[1]Outgoing to JEL'!$A$6:$G$5000,2,0),"")</f>
        <v>AIP-YKP-JEL-P1701009-T-0015</v>
      </c>
      <c r="V147" s="15" t="str">
        <f>IFERROR(VLOOKUP(B147,'[1]Outgoing to JEL'!$A$6:$G$5000,7,0),"")</f>
        <v>Code B</v>
      </c>
      <c r="W147" s="3" t="str">
        <f t="shared" ref="W147:W149" si="168">IF(S147="Code A","Approved by PDO",IF(S147="Code B","Comments from PDO",IF(S147="Code C","Review not Required",IF(S147="Code D","Rejected by PDO",IF(V147="Code A","Approved by AIP",IF(V147="Code B","Comments from AIP",IF(V147="Code C","Review not Required",IF(V147="Code D","Rejected by AIP",IF(AND(M147="-",Q147="-"),"Pending for AIP review",IF(O147="IFI","Issued for Information",IF(M147&lt;&gt;"","Pending for PDO Approval",IF(L147="IFI","Issued for AIP Information",IF(J147&lt;&gt;"","Pending for PDO submission",IF(I147&lt;&gt;"","Pending from JEL",""))))))))))))))</f>
        <v>Comments from PDO</v>
      </c>
    </row>
    <row r="148" spans="1:23" s="16" customFormat="1" x14ac:dyDescent="0.2">
      <c r="A148" s="98"/>
      <c r="B148" s="40" t="str">
        <f t="shared" si="164"/>
        <v>KHF-00-104265-RA-6038-01310-0000-2</v>
      </c>
      <c r="C148" s="31" t="s">
        <v>344</v>
      </c>
      <c r="D148" s="32" t="s">
        <v>345</v>
      </c>
      <c r="E148" s="20">
        <v>2</v>
      </c>
      <c r="F148" s="20"/>
      <c r="G148" s="20"/>
      <c r="H148" s="20" t="str">
        <f t="shared" si="165"/>
        <v>L</v>
      </c>
      <c r="I148" s="3">
        <f t="shared" ref="I148:I149" si="169">IFERROR(IF(OR(V147="Code B",V147="Code D",V147="-",ISNUMBER(J148)),T147+14,""),"")</f>
        <v>43555</v>
      </c>
      <c r="J148" s="15">
        <f>IFERROR(VLOOKUP(B148,'[1]Incoming from JEL'!$A$6:$G$5002,3,0),"")</f>
        <v>43566</v>
      </c>
      <c r="K148" s="15" t="str">
        <f>IFERROR(VLOOKUP(B148,'[1]Incoming from JEL'!$A$6:$G$5002,2,0),"")</f>
        <v>AIP-YKP-JEL-T-0022R3</v>
      </c>
      <c r="L148" s="15" t="str">
        <f>IFERROR(VLOOKUP(B148,'[1]Incoming from JEL'!$A$6:$G$5002,7,0),"")</f>
        <v>IFA</v>
      </c>
      <c r="M148" s="15">
        <f>IFERROR(VLOOKUP(B148,'[2]Outgoing Transmittals to PDO'!$A$6:$G$20000,3,0),"")</f>
        <v>43580</v>
      </c>
      <c r="N148" s="15" t="str">
        <f>IFERROR(VLOOKUP(B148,'[2]Outgoing Transmittals to PDO'!$A$6:$G$20000,2,0),"")</f>
        <v>AIP-PDO-P1701009-T-1182</v>
      </c>
      <c r="O148" s="15" t="str">
        <f>IFERROR(VLOOKUP(B148,'[2]Outgoing Transmittals to PDO'!$A$6:$G$20000,7,0),"")</f>
        <v>IFA</v>
      </c>
      <c r="P148" s="15">
        <f t="shared" si="167"/>
        <v>43594</v>
      </c>
      <c r="Q148" s="15">
        <f>IFERROR(VLOOKUP(B148,'[3]Incoming Transmittals from PDO'!$A$6:$G$20000,3,0),"")</f>
        <v>43594</v>
      </c>
      <c r="R148" s="15" t="str">
        <f>IFERROR(VLOOKUP(B148,'[3]Incoming Transmittals from PDO'!$A$6:$G$20000,2,0),"")</f>
        <v>KHF_AIP_D_EXT_01227</v>
      </c>
      <c r="S148" s="15" t="str">
        <f>IFERROR(VLOOKUP(B148,'[3]Incoming Transmittals from PDO'!$A$6:$G$20000,7,0),"")</f>
        <v>Code A</v>
      </c>
      <c r="T148" s="15">
        <f>IFERROR(VLOOKUP(B148,'[1]Outgoing to JEL'!$A$6:$G$5000,3,0),"")</f>
        <v>43601</v>
      </c>
      <c r="U148" s="15" t="str">
        <f>IFERROR(VLOOKUP(B148,'[1]Outgoing to JEL'!$A$6:$G$5000,2,0),"")</f>
        <v>AIP-YKP-JEL-P1701009-T-0026</v>
      </c>
      <c r="V148" s="15" t="str">
        <f>IFERROR(VLOOKUP(B148,'[1]Outgoing to JEL'!$A$6:$G$5000,7,0),"")</f>
        <v>Code A</v>
      </c>
      <c r="W148" s="3" t="str">
        <f t="shared" si="168"/>
        <v>Approved by PDO</v>
      </c>
    </row>
    <row r="149" spans="1:23" s="16" customFormat="1" x14ac:dyDescent="0.2">
      <c r="A149" s="99"/>
      <c r="B149" s="40" t="str">
        <f t="shared" si="164"/>
        <v>KHF-00-104265-RA-6038-01310-0000-3</v>
      </c>
      <c r="C149" s="31" t="s">
        <v>344</v>
      </c>
      <c r="D149" s="32" t="s">
        <v>345</v>
      </c>
      <c r="E149" s="20">
        <v>3</v>
      </c>
      <c r="F149" s="20"/>
      <c r="G149" s="20"/>
      <c r="H149" s="20" t="str">
        <f t="shared" si="165"/>
        <v/>
      </c>
      <c r="I149" s="3" t="str">
        <f t="shared" si="169"/>
        <v/>
      </c>
      <c r="J149" s="15" t="str">
        <f>IFERROR(VLOOKUP(B149,'[1]Incoming from JEL'!$A$6:$G$5002,3,0),"")</f>
        <v/>
      </c>
      <c r="K149" s="15" t="str">
        <f>IFERROR(VLOOKUP(B149,'[1]Incoming from JEL'!$A$6:$G$5002,2,0),"")</f>
        <v/>
      </c>
      <c r="L149" s="15" t="str">
        <f>IFERROR(VLOOKUP(B149,'[1]Incoming from JEL'!$A$6:$G$5002,7,0),"")</f>
        <v/>
      </c>
      <c r="M149" s="15" t="str">
        <f>IFERROR(VLOOKUP(B149,'[2]Outgoing Transmittals to PDO'!$A$6:$G$20000,3,0),"")</f>
        <v/>
      </c>
      <c r="N149" s="15" t="str">
        <f>IFERROR(VLOOKUP(B149,'[2]Outgoing Transmittals to PDO'!$A$6:$G$20000,2,0),"")</f>
        <v/>
      </c>
      <c r="O149" s="15" t="str">
        <f>IFERROR(VLOOKUP(B149,'[2]Outgoing Transmittals to PDO'!$A$6:$G$20000,7,0),"")</f>
        <v/>
      </c>
      <c r="P149" s="15" t="str">
        <f t="shared" si="167"/>
        <v/>
      </c>
      <c r="Q149" s="15" t="str">
        <f>IFERROR(VLOOKUP(B149,'[3]Incoming Transmittals from PDO'!$A$6:$G$20000,3,0),"")</f>
        <v/>
      </c>
      <c r="R149" s="15" t="str">
        <f>IFERROR(VLOOKUP(B149,'[3]Incoming Transmittals from PDO'!$A$6:$G$20000,2,0),"")</f>
        <v/>
      </c>
      <c r="S149" s="15" t="str">
        <f>IFERROR(VLOOKUP(B149,'[3]Incoming Transmittals from PDO'!$A$6:$G$20000,7,0),"")</f>
        <v/>
      </c>
      <c r="T149" s="15" t="str">
        <f>IFERROR(VLOOKUP(B149,'[1]Outgoing to JEL'!$A$6:$G$5000,3,0),"")</f>
        <v/>
      </c>
      <c r="U149" s="15" t="str">
        <f>IFERROR(VLOOKUP(B149,'[1]Outgoing to JEL'!$A$6:$G$5000,2,0),"")</f>
        <v/>
      </c>
      <c r="V149" s="15" t="str">
        <f>IFERROR(VLOOKUP(B149,'[1]Outgoing to JEL'!$A$6:$G$5000,7,0),"")</f>
        <v/>
      </c>
      <c r="W149" s="3" t="str">
        <f t="shared" si="168"/>
        <v/>
      </c>
    </row>
    <row r="150" spans="1:23" s="16" customFormat="1" x14ac:dyDescent="0.2">
      <c r="A150" s="97">
        <f>A147+1</f>
        <v>47</v>
      </c>
      <c r="B150" s="51" t="str">
        <f t="shared" ref="B150:B152" si="170">CONCATENATE(C150,"-",E150)</f>
        <v>KHF-00-104265-RA-6038-01311-0000-1</v>
      </c>
      <c r="C150" s="31" t="s">
        <v>393</v>
      </c>
      <c r="D150" s="32" t="s">
        <v>392</v>
      </c>
      <c r="E150" s="20">
        <v>1</v>
      </c>
      <c r="F150" s="20"/>
      <c r="G150" s="20"/>
      <c r="H150" s="20" t="str">
        <f t="shared" ref="H150:H152" si="171">IF(AND(C150=C151,J151="",J150&lt;&gt;""),"L","")</f>
        <v>L</v>
      </c>
      <c r="I150" s="3">
        <f t="shared" ref="I150" si="172">J150</f>
        <v>43555</v>
      </c>
      <c r="J150" s="15">
        <f>IFERROR(VLOOKUP(B150,'[1]Incoming from JEL'!$A$6:$G$5002,3,0),"")</f>
        <v>43555</v>
      </c>
      <c r="K150" s="15" t="str">
        <f>IFERROR(VLOOKUP(B150,'[1]Incoming from JEL'!$A$6:$G$5002,2,0),"")</f>
        <v>AIP-YKP-JEL-T-0022R2</v>
      </c>
      <c r="L150" s="15" t="str">
        <f>IFERROR(VLOOKUP(B150,'[1]Incoming from JEL'!$A$6:$G$5002,7,0),"")</f>
        <v>IFR</v>
      </c>
      <c r="M150" s="15">
        <f>IFERROR(VLOOKUP(B150,'[2]Outgoing Transmittals to PDO'!$A$6:$G$20000,3,0),"")</f>
        <v>43578</v>
      </c>
      <c r="N150" s="15" t="str">
        <f>IFERROR(VLOOKUP(B150,'[2]Outgoing Transmittals to PDO'!$A$6:$G$20000,2,0),"")</f>
        <v>AIP-PDO-P1701009-T-1179</v>
      </c>
      <c r="O150" s="15" t="str">
        <f>IFERROR(VLOOKUP(B150,'[2]Outgoing Transmittals to PDO'!$A$6:$G$20000,7,0),"")</f>
        <v>IFR</v>
      </c>
      <c r="P150" s="15">
        <f t="shared" ref="P150:P152" si="173">IF(ISNUMBER(M150),SUM(M150+14),"")</f>
        <v>43592</v>
      </c>
      <c r="Q150" s="15">
        <f>IFERROR(VLOOKUP(B150,'[3]Incoming Transmittals from PDO'!$A$6:$G$20000,3,0),"")</f>
        <v>43583</v>
      </c>
      <c r="R150" s="15" t="str">
        <f>IFERROR(VLOOKUP(B150,'[3]Incoming Transmittals from PDO'!$A$6:$G$20000,2,0),"")</f>
        <v>KHF_AIP_D_EXT_01207</v>
      </c>
      <c r="S150" s="15" t="str">
        <f>IFERROR(VLOOKUP(B150,'[3]Incoming Transmittals from PDO'!$A$6:$G$20000,7,0),"")</f>
        <v>Code A</v>
      </c>
      <c r="T150" s="15">
        <f>IFERROR(VLOOKUP(B150,'[1]Outgoing to JEL'!$A$6:$G$5000,3,0),"")</f>
        <v>43584</v>
      </c>
      <c r="U150" s="15" t="str">
        <f>IFERROR(VLOOKUP(B150,'[1]Outgoing to JEL'!$A$6:$G$5000,2,0),"")</f>
        <v>AIP-YKP-JEL-P1701009-T-0023</v>
      </c>
      <c r="V150" s="15" t="str">
        <f>IFERROR(VLOOKUP(B150,'[1]Outgoing to JEL'!$A$6:$G$5000,7,0),"")</f>
        <v>Code A</v>
      </c>
      <c r="W150" s="3" t="str">
        <f t="shared" ref="W150:W152" si="174">IF(S150="Code A","Approved by PDO",IF(S150="Code B","Comments from PDO",IF(S150="Code C","Review not Required",IF(S150="Code D","Rejected by PDO",IF(V150="Code A","Approved by AIP",IF(V150="Code B","Comments from AIP",IF(V150="Code C","Review not Required",IF(V150="Code D","Rejected by AIP",IF(AND(M150="-",Q150="-"),"Pending for AIP review",IF(O150="IFI","Issued for Information",IF(M150&lt;&gt;"","Pending for PDO Approval",IF(L150="IFI","Issued for AIP Information",IF(J150&lt;&gt;"","Pending for PDO submission",IF(I150&lt;&gt;"","Pending from JEL",""))))))))))))))</f>
        <v>Approved by PDO</v>
      </c>
    </row>
    <row r="151" spans="1:23" s="16" customFormat="1" x14ac:dyDescent="0.2">
      <c r="A151" s="98"/>
      <c r="B151" s="51" t="str">
        <f t="shared" si="170"/>
        <v>KHF-00-104265-RA-6038-01311-0000-2</v>
      </c>
      <c r="C151" s="31" t="s">
        <v>393</v>
      </c>
      <c r="D151" s="32" t="s">
        <v>392</v>
      </c>
      <c r="E151" s="20">
        <v>2</v>
      </c>
      <c r="F151" s="20"/>
      <c r="G151" s="20"/>
      <c r="H151" s="20" t="str">
        <f t="shared" si="171"/>
        <v/>
      </c>
      <c r="I151" s="3" t="str">
        <f t="shared" ref="I151:I152" si="175">IFERROR(IF(OR(V150="Code B",V150="Code D",V150="-",ISNUMBER(J151)),T150+14,""),"")</f>
        <v/>
      </c>
      <c r="J151" s="15" t="str">
        <f>IFERROR(VLOOKUP(B151,'[1]Incoming from JEL'!$A$6:$G$5002,3,0),"")</f>
        <v/>
      </c>
      <c r="K151" s="15" t="str">
        <f>IFERROR(VLOOKUP(B151,'[1]Incoming from JEL'!$A$6:$G$5002,2,0),"")</f>
        <v/>
      </c>
      <c r="L151" s="15" t="str">
        <f>IFERROR(VLOOKUP(B151,'[1]Incoming from JEL'!$A$6:$G$5002,7,0),"")</f>
        <v/>
      </c>
      <c r="M151" s="15" t="str">
        <f>IFERROR(VLOOKUP(B151,'[2]Outgoing Transmittals to PDO'!$A$6:$G$20000,3,0),"")</f>
        <v/>
      </c>
      <c r="N151" s="15" t="str">
        <f>IFERROR(VLOOKUP(B151,'[2]Outgoing Transmittals to PDO'!$A$6:$G$20000,2,0),"")</f>
        <v/>
      </c>
      <c r="O151" s="15" t="str">
        <f>IFERROR(VLOOKUP(B151,'[2]Outgoing Transmittals to PDO'!$A$6:$G$20000,7,0),"")</f>
        <v/>
      </c>
      <c r="P151" s="15" t="str">
        <f t="shared" si="173"/>
        <v/>
      </c>
      <c r="Q151" s="15" t="str">
        <f>IFERROR(VLOOKUP(B151,'[3]Incoming Transmittals from PDO'!$A$6:$G$20000,3,0),"")</f>
        <v/>
      </c>
      <c r="R151" s="15" t="str">
        <f>IFERROR(VLOOKUP(B151,'[3]Incoming Transmittals from PDO'!$A$6:$G$20000,2,0),"")</f>
        <v/>
      </c>
      <c r="S151" s="15" t="str">
        <f>IFERROR(VLOOKUP(B151,'[3]Incoming Transmittals from PDO'!$A$6:$G$20000,7,0),"")</f>
        <v/>
      </c>
      <c r="T151" s="15" t="str">
        <f>IFERROR(VLOOKUP(B151,'[1]Outgoing to JEL'!$A$6:$G$5000,3,0),"")</f>
        <v/>
      </c>
      <c r="U151" s="15" t="str">
        <f>IFERROR(VLOOKUP(B151,'[1]Outgoing to JEL'!$A$6:$G$5000,2,0),"")</f>
        <v/>
      </c>
      <c r="V151" s="15" t="str">
        <f>IFERROR(VLOOKUP(B151,'[1]Outgoing to JEL'!$A$6:$G$5000,7,0),"")</f>
        <v/>
      </c>
      <c r="W151" s="3" t="str">
        <f t="shared" si="174"/>
        <v/>
      </c>
    </row>
    <row r="152" spans="1:23" s="16" customFormat="1" x14ac:dyDescent="0.2">
      <c r="A152" s="99"/>
      <c r="B152" s="51" t="str">
        <f t="shared" si="170"/>
        <v>KHF-00-104265-RA-6038-01311-0000-3</v>
      </c>
      <c r="C152" s="31" t="s">
        <v>393</v>
      </c>
      <c r="D152" s="32" t="s">
        <v>392</v>
      </c>
      <c r="E152" s="20">
        <v>3</v>
      </c>
      <c r="F152" s="20"/>
      <c r="G152" s="20"/>
      <c r="H152" s="20" t="str">
        <f t="shared" si="171"/>
        <v/>
      </c>
      <c r="I152" s="3" t="str">
        <f t="shared" si="175"/>
        <v/>
      </c>
      <c r="J152" s="15" t="str">
        <f>IFERROR(VLOOKUP(B152,'[1]Incoming from JEL'!$A$6:$G$5002,3,0),"")</f>
        <v/>
      </c>
      <c r="K152" s="15" t="str">
        <f>IFERROR(VLOOKUP(B152,'[1]Incoming from JEL'!$A$6:$G$5002,2,0),"")</f>
        <v/>
      </c>
      <c r="L152" s="15" t="str">
        <f>IFERROR(VLOOKUP(B152,'[1]Incoming from JEL'!$A$6:$G$5002,7,0),"")</f>
        <v/>
      </c>
      <c r="M152" s="15" t="str">
        <f>IFERROR(VLOOKUP(B152,'[2]Outgoing Transmittals to PDO'!$A$6:$G$20000,3,0),"")</f>
        <v/>
      </c>
      <c r="N152" s="15" t="str">
        <f>IFERROR(VLOOKUP(B152,'[2]Outgoing Transmittals to PDO'!$A$6:$G$20000,2,0),"")</f>
        <v/>
      </c>
      <c r="O152" s="15" t="str">
        <f>IFERROR(VLOOKUP(B152,'[2]Outgoing Transmittals to PDO'!$A$6:$G$20000,7,0),"")</f>
        <v/>
      </c>
      <c r="P152" s="15" t="str">
        <f t="shared" si="173"/>
        <v/>
      </c>
      <c r="Q152" s="15" t="str">
        <f>IFERROR(VLOOKUP(B152,'[3]Incoming Transmittals from PDO'!$A$6:$G$20000,3,0),"")</f>
        <v/>
      </c>
      <c r="R152" s="15" t="str">
        <f>IFERROR(VLOOKUP(B152,'[3]Incoming Transmittals from PDO'!$A$6:$G$20000,2,0),"")</f>
        <v/>
      </c>
      <c r="S152" s="15" t="str">
        <f>IFERROR(VLOOKUP(B152,'[3]Incoming Transmittals from PDO'!$A$6:$G$20000,7,0),"")</f>
        <v/>
      </c>
      <c r="T152" s="15" t="str">
        <f>IFERROR(VLOOKUP(B152,'[1]Outgoing to JEL'!$A$6:$G$5000,3,0),"")</f>
        <v/>
      </c>
      <c r="U152" s="15" t="str">
        <f>IFERROR(VLOOKUP(B152,'[1]Outgoing to JEL'!$A$6:$G$5000,2,0),"")</f>
        <v/>
      </c>
      <c r="V152" s="15" t="str">
        <f>IFERROR(VLOOKUP(B152,'[1]Outgoing to JEL'!$A$6:$G$5000,7,0),"")</f>
        <v/>
      </c>
      <c r="W152" s="3" t="str">
        <f t="shared" si="174"/>
        <v/>
      </c>
    </row>
    <row r="153" spans="1:23" s="16" customFormat="1" ht="21" x14ac:dyDescent="0.2">
      <c r="A153" s="97">
        <f>A150+1</f>
        <v>48</v>
      </c>
      <c r="B153" s="42" t="str">
        <f t="shared" ref="B153:B167" si="176">CONCATENATE(C153,"-",E153)</f>
        <v>KHF-00-104265-BA-6065-01302-0000-1</v>
      </c>
      <c r="C153" s="31" t="s">
        <v>347</v>
      </c>
      <c r="D153" s="32" t="s">
        <v>488</v>
      </c>
      <c r="E153" s="20">
        <v>1</v>
      </c>
      <c r="F153" s="20"/>
      <c r="G153" s="20"/>
      <c r="H153" s="20" t="str">
        <f t="shared" ref="H153:H167" si="177">IF(AND(C153=C154,J154="",J153&lt;&gt;""),"L","")</f>
        <v/>
      </c>
      <c r="I153" s="3">
        <f t="shared" ref="I153" si="178">J153</f>
        <v>43599</v>
      </c>
      <c r="J153" s="15">
        <f>IFERROR(VLOOKUP(B153,'[1]Incoming from JEL'!$A$6:$G$5002,3,0),"")</f>
        <v>43599</v>
      </c>
      <c r="K153" s="15" t="str">
        <f>IFERROR(VLOOKUP(B153,'[1]Incoming from JEL'!$A$6:$G$5002,2,0),"")</f>
        <v>AIP-YKP-JEL -T-0015R9</v>
      </c>
      <c r="L153" s="15" t="str">
        <f>IFERROR(VLOOKUP(B153,'[1]Incoming from JEL'!$A$6:$G$5002,7,0),"")</f>
        <v>IFR</v>
      </c>
      <c r="M153" s="15">
        <f>IFERROR(VLOOKUP(B153,'[2]Outgoing Transmittals to PDO'!$A$6:$G$20000,3,0),"")</f>
        <v>43604</v>
      </c>
      <c r="N153" s="15" t="str">
        <f>IFERROR(VLOOKUP(B153,'[2]Outgoing Transmittals to PDO'!$A$6:$G$20000,2,0),"")</f>
        <v>AIP-PDO-P1701009-T-1207</v>
      </c>
      <c r="O153" s="15" t="str">
        <f>IFERROR(VLOOKUP(B153,'[2]Outgoing Transmittals to PDO'!$A$6:$G$20000,7,0),"")</f>
        <v>IFR</v>
      </c>
      <c r="P153" s="15">
        <f t="shared" ref="P153:P167" si="179">IF(ISNUMBER(M153),SUM(M153+14),"")</f>
        <v>43618</v>
      </c>
      <c r="Q153" s="15">
        <f>IFERROR(VLOOKUP(B153,'[3]Incoming Transmittals from PDO'!$A$6:$G$20000,3,0),"")</f>
        <v>43618</v>
      </c>
      <c r="R153" s="15" t="str">
        <f>IFERROR(VLOOKUP(B153,'[3]Incoming Transmittals from PDO'!$A$6:$G$20000,2,0),"")</f>
        <v>KHF_AIP_D_EXT_01247</v>
      </c>
      <c r="S153" s="15" t="str">
        <f>IFERROR(VLOOKUP(B153,'[3]Incoming Transmittals from PDO'!$A$6:$G$20000,7,0),"")</f>
        <v>Code D</v>
      </c>
      <c r="T153" s="15">
        <f>IFERROR(VLOOKUP(B153,'[1]Outgoing to JEL'!$A$6:$G$5000,3,0),"")</f>
        <v>43619</v>
      </c>
      <c r="U153" s="15" t="str">
        <f>IFERROR(VLOOKUP(B153,'[1]Outgoing to JEL'!$A$6:$G$5000,2,0),"")</f>
        <v>AIP-YKP-JEL-P1701009-T-0029</v>
      </c>
      <c r="V153" s="15" t="str">
        <f>IFERROR(VLOOKUP(B153,'[1]Outgoing to JEL'!$A$6:$G$5000,7,0),"")</f>
        <v>Code D</v>
      </c>
      <c r="W153" s="3" t="str">
        <f t="shared" ref="W153:W167" si="180">IF(S153="Code A","Approved by PDO",IF(S153="Code B","Comments from PDO",IF(S153="Code C","Review not Required",IF(S153="Code D","Rejected by PDO",IF(V153="Code A","Approved by AIP",IF(V153="Code B","Comments from AIP",IF(V153="Code C","Review not Required",IF(V153="Code D","Rejected by AIP",IF(AND(M153="-",Q153="-"),"Pending for AIP review",IF(O153="IFI","Issued for Information",IF(M153&lt;&gt;"","Pending for PDO Approval",IF(L153="IFI","Issued for AIP Information",IF(J153&lt;&gt;"","Pending for PDO submission",IF(I153&lt;&gt;"","Pending from JEL",""))))))))))))))</f>
        <v>Rejected by PDO</v>
      </c>
    </row>
    <row r="154" spans="1:23" s="16" customFormat="1" ht="21" x14ac:dyDescent="0.2">
      <c r="A154" s="98"/>
      <c r="B154" s="42" t="str">
        <f t="shared" si="176"/>
        <v>KHF-00-104265-BA-6065-01302-0000-2</v>
      </c>
      <c r="C154" s="31" t="s">
        <v>347</v>
      </c>
      <c r="D154" s="32" t="s">
        <v>488</v>
      </c>
      <c r="E154" s="20">
        <v>2</v>
      </c>
      <c r="F154" s="20"/>
      <c r="G154" s="20"/>
      <c r="H154" s="20" t="str">
        <f t="shared" si="177"/>
        <v>L</v>
      </c>
      <c r="I154" s="3">
        <f t="shared" ref="I154:I155" si="181">IFERROR(IF(OR(V153="Code B",V153="Code D",V153="-",ISNUMBER(J154)),T153+14,""),"")</f>
        <v>43633</v>
      </c>
      <c r="J154" s="15">
        <f>IFERROR(VLOOKUP(B154,'[1]Incoming from JEL'!$A$6:$G$5002,3,0),"")</f>
        <v>43619</v>
      </c>
      <c r="K154" s="15" t="str">
        <f>IFERROR(VLOOKUP(B154,'[1]Incoming from JEL'!$A$6:$G$5002,2,0),"")</f>
        <v>AIP-YKP-JEL -T-0015R11</v>
      </c>
      <c r="L154" s="15" t="str">
        <f>IFERROR(VLOOKUP(B154,'[1]Incoming from JEL'!$A$6:$G$5002,7,0),"")</f>
        <v>IFA</v>
      </c>
      <c r="M154" s="15">
        <f>IFERROR(VLOOKUP(B154,'[2]Outgoing Transmittals to PDO'!$A$6:$G$20000,3,0),"")</f>
        <v>43619</v>
      </c>
      <c r="N154" s="15" t="str">
        <f>IFERROR(VLOOKUP(B154,'[2]Outgoing Transmittals to PDO'!$A$6:$G$20000,2,0),"")</f>
        <v>AIP-PDO-P1701009-T-1239</v>
      </c>
      <c r="O154" s="15" t="str">
        <f>IFERROR(VLOOKUP(B154,'[2]Outgoing Transmittals to PDO'!$A$6:$G$20000,7,0),"")</f>
        <v>IFA</v>
      </c>
      <c r="P154" s="15">
        <f t="shared" si="179"/>
        <v>43633</v>
      </c>
      <c r="Q154" s="15">
        <f>IFERROR(VLOOKUP(B154,'[3]Incoming Transmittals from PDO'!$A$6:$G$20000,3,0),"")</f>
        <v>43640</v>
      </c>
      <c r="R154" s="15" t="str">
        <f>IFERROR(VLOOKUP(B154,'[3]Incoming Transmittals from PDO'!$A$6:$G$20000,2,0),"")</f>
        <v>KHF_AIP_D_EXT_01292</v>
      </c>
      <c r="S154" s="15" t="str">
        <f>IFERROR(VLOOKUP(B154,'[3]Incoming Transmittals from PDO'!$A$6:$G$20000,7,0),"")</f>
        <v>Code A</v>
      </c>
      <c r="T154" s="15">
        <f>IFERROR(VLOOKUP(B154,'[1]Outgoing to JEL'!$A$6:$G$5000,3,0),"")</f>
        <v>43640</v>
      </c>
      <c r="U154" s="15" t="str">
        <f>IFERROR(VLOOKUP(B154,'[1]Outgoing to JEL'!$A$6:$G$5000,2,0),"")</f>
        <v>AIP-YKP-JEL-P1701009-T-0032</v>
      </c>
      <c r="V154" s="15" t="str">
        <f>IFERROR(VLOOKUP(B154,'[1]Outgoing to JEL'!$A$6:$G$5000,7,0),"")</f>
        <v>Code A</v>
      </c>
      <c r="W154" s="3" t="str">
        <f t="shared" si="180"/>
        <v>Approved by PDO</v>
      </c>
    </row>
    <row r="155" spans="1:23" s="16" customFormat="1" ht="21" x14ac:dyDescent="0.2">
      <c r="A155" s="99"/>
      <c r="B155" s="42" t="str">
        <f t="shared" si="176"/>
        <v>KHF-00-104265-BA-6065-01302-0000-3</v>
      </c>
      <c r="C155" s="31" t="s">
        <v>347</v>
      </c>
      <c r="D155" s="32" t="s">
        <v>488</v>
      </c>
      <c r="E155" s="20">
        <v>3</v>
      </c>
      <c r="F155" s="20"/>
      <c r="G155" s="20"/>
      <c r="H155" s="20" t="str">
        <f t="shared" si="177"/>
        <v/>
      </c>
      <c r="I155" s="3" t="str">
        <f t="shared" si="181"/>
        <v/>
      </c>
      <c r="J155" s="15" t="str">
        <f>IFERROR(VLOOKUP(B155,'[1]Incoming from JEL'!$A$6:$G$5002,3,0),"")</f>
        <v/>
      </c>
      <c r="K155" s="15" t="str">
        <f>IFERROR(VLOOKUP(B155,'[1]Incoming from JEL'!$A$6:$G$5002,2,0),"")</f>
        <v/>
      </c>
      <c r="L155" s="15" t="str">
        <f>IFERROR(VLOOKUP(B155,'[1]Incoming from JEL'!$A$6:$G$5002,7,0),"")</f>
        <v/>
      </c>
      <c r="M155" s="15" t="str">
        <f>IFERROR(VLOOKUP(B155,'[2]Outgoing Transmittals to PDO'!$A$6:$G$20000,3,0),"")</f>
        <v/>
      </c>
      <c r="N155" s="15" t="str">
        <f>IFERROR(VLOOKUP(B155,'[2]Outgoing Transmittals to PDO'!$A$6:$G$20000,2,0),"")</f>
        <v/>
      </c>
      <c r="O155" s="15" t="str">
        <f>IFERROR(VLOOKUP(B155,'[2]Outgoing Transmittals to PDO'!$A$6:$G$20000,7,0),"")</f>
        <v/>
      </c>
      <c r="P155" s="15" t="str">
        <f t="shared" si="179"/>
        <v/>
      </c>
      <c r="Q155" s="15" t="str">
        <f>IFERROR(VLOOKUP(B155,'[3]Incoming Transmittals from PDO'!$A$6:$G$20000,3,0),"")</f>
        <v/>
      </c>
      <c r="R155" s="15" t="str">
        <f>IFERROR(VLOOKUP(B155,'[3]Incoming Transmittals from PDO'!$A$6:$G$20000,2,0),"")</f>
        <v/>
      </c>
      <c r="S155" s="15" t="str">
        <f>IFERROR(VLOOKUP(B155,'[3]Incoming Transmittals from PDO'!$A$6:$G$20000,7,0),"")</f>
        <v/>
      </c>
      <c r="T155" s="15" t="str">
        <f>IFERROR(VLOOKUP(B155,'[1]Outgoing to JEL'!$A$6:$G$5000,3,0),"")</f>
        <v/>
      </c>
      <c r="U155" s="15" t="str">
        <f>IFERROR(VLOOKUP(B155,'[1]Outgoing to JEL'!$A$6:$G$5000,2,0),"")</f>
        <v/>
      </c>
      <c r="V155" s="15" t="str">
        <f>IFERROR(VLOOKUP(B155,'[1]Outgoing to JEL'!$A$6:$G$5000,7,0),"")</f>
        <v/>
      </c>
      <c r="W155" s="3" t="str">
        <f t="shared" si="180"/>
        <v/>
      </c>
    </row>
    <row r="156" spans="1:23" s="16" customFormat="1" ht="21" x14ac:dyDescent="0.2">
      <c r="A156" s="97">
        <f t="shared" ref="A156" si="182">A153+1</f>
        <v>49</v>
      </c>
      <c r="B156" s="42" t="str">
        <f t="shared" si="176"/>
        <v>KHF-00-104265-BA-6065-01306-0000-1</v>
      </c>
      <c r="C156" s="31" t="s">
        <v>348</v>
      </c>
      <c r="D156" s="32" t="s">
        <v>353</v>
      </c>
      <c r="E156" s="20">
        <v>1</v>
      </c>
      <c r="F156" s="20"/>
      <c r="G156" s="20"/>
      <c r="H156" s="20" t="str">
        <f t="shared" si="177"/>
        <v>L</v>
      </c>
      <c r="I156" s="3">
        <f t="shared" ref="I156" si="183">J156</f>
        <v>43535</v>
      </c>
      <c r="J156" s="15">
        <f>IFERROR(VLOOKUP(B156,'[1]Incoming from JEL'!$A$6:$G$5002,3,0),"")</f>
        <v>43535</v>
      </c>
      <c r="K156" s="15" t="str">
        <f>IFERROR(VLOOKUP(B156,'[1]Incoming from JEL'!$A$6:$G$5002,2,0),"")</f>
        <v>AIP-YKP-JEL-T-0015R4</v>
      </c>
      <c r="L156" s="15" t="str">
        <f>IFERROR(VLOOKUP(B156,'[1]Incoming from JEL'!$A$6:$G$5002,7,0),"")</f>
        <v>IFR</v>
      </c>
      <c r="M156" s="15" t="str">
        <f>IFERROR(VLOOKUP(B156,'[2]Outgoing Transmittals to PDO'!$A$6:$G$20000,3,0),"")</f>
        <v/>
      </c>
      <c r="N156" s="15" t="str">
        <f>IFERROR(VLOOKUP(B156,'[2]Outgoing Transmittals to PDO'!$A$6:$G$20000,2,0),"")</f>
        <v/>
      </c>
      <c r="O156" s="15" t="str">
        <f>IFERROR(VLOOKUP(B156,'[2]Outgoing Transmittals to PDO'!$A$6:$G$20000,7,0),"")</f>
        <v/>
      </c>
      <c r="P156" s="15" t="str">
        <f t="shared" si="179"/>
        <v/>
      </c>
      <c r="Q156" s="15" t="str">
        <f>IFERROR(VLOOKUP(B156,'[3]Incoming Transmittals from PDO'!$A$6:$G$20000,3,0),"")</f>
        <v/>
      </c>
      <c r="R156" s="15" t="str">
        <f>IFERROR(VLOOKUP(B156,'[3]Incoming Transmittals from PDO'!$A$6:$G$20000,2,0),"")</f>
        <v/>
      </c>
      <c r="S156" s="15" t="str">
        <f>IFERROR(VLOOKUP(B156,'[3]Incoming Transmittals from PDO'!$A$6:$G$20000,7,0),"")</f>
        <v/>
      </c>
      <c r="T156" s="15" t="str">
        <f>IFERROR(VLOOKUP(B156,'[1]Outgoing to JEL'!$A$6:$G$5000,3,0),"")</f>
        <v/>
      </c>
      <c r="U156" s="15" t="str">
        <f>IFERROR(VLOOKUP(B156,'[1]Outgoing to JEL'!$A$6:$G$5000,2,0),"")</f>
        <v/>
      </c>
      <c r="V156" s="15" t="str">
        <f>IFERROR(VLOOKUP(B156,'[1]Outgoing to JEL'!$A$6:$G$5000,7,0),"")</f>
        <v/>
      </c>
      <c r="W156" s="3" t="str">
        <f t="shared" si="180"/>
        <v>Pending for PDO submission</v>
      </c>
    </row>
    <row r="157" spans="1:23" s="16" customFormat="1" ht="21" x14ac:dyDescent="0.2">
      <c r="A157" s="98"/>
      <c r="B157" s="42" t="str">
        <f t="shared" si="176"/>
        <v>KHF-00-104265-BA-6065-01306-0000-2</v>
      </c>
      <c r="C157" s="31" t="s">
        <v>348</v>
      </c>
      <c r="D157" s="32" t="s">
        <v>353</v>
      </c>
      <c r="E157" s="20">
        <v>2</v>
      </c>
      <c r="F157" s="20"/>
      <c r="G157" s="20"/>
      <c r="H157" s="20" t="str">
        <f t="shared" si="177"/>
        <v/>
      </c>
      <c r="I157" s="3" t="str">
        <f t="shared" ref="I157:I158" si="184">IFERROR(IF(OR(V156="Code B",V156="Code D",V156="-",ISNUMBER(J157)),T156+14,""),"")</f>
        <v/>
      </c>
      <c r="J157" s="15" t="str">
        <f>IFERROR(VLOOKUP(B157,'[1]Incoming from JEL'!$A$6:$G$5002,3,0),"")</f>
        <v/>
      </c>
      <c r="K157" s="15" t="str">
        <f>IFERROR(VLOOKUP(B157,'[1]Incoming from JEL'!$A$6:$G$5002,2,0),"")</f>
        <v/>
      </c>
      <c r="L157" s="15" t="str">
        <f>IFERROR(VLOOKUP(B157,'[1]Incoming from JEL'!$A$6:$G$5002,7,0),"")</f>
        <v/>
      </c>
      <c r="M157" s="15" t="str">
        <f>IFERROR(VLOOKUP(B157,'[2]Outgoing Transmittals to PDO'!$A$6:$G$20000,3,0),"")</f>
        <v/>
      </c>
      <c r="N157" s="15" t="str">
        <f>IFERROR(VLOOKUP(B157,'[2]Outgoing Transmittals to PDO'!$A$6:$G$20000,2,0),"")</f>
        <v/>
      </c>
      <c r="O157" s="15" t="str">
        <f>IFERROR(VLOOKUP(B157,'[2]Outgoing Transmittals to PDO'!$A$6:$G$20000,7,0),"")</f>
        <v/>
      </c>
      <c r="P157" s="15" t="str">
        <f t="shared" si="179"/>
        <v/>
      </c>
      <c r="Q157" s="15" t="str">
        <f>IFERROR(VLOOKUP(B157,'[3]Incoming Transmittals from PDO'!$A$6:$G$20000,3,0),"")</f>
        <v/>
      </c>
      <c r="R157" s="15" t="str">
        <f>IFERROR(VLOOKUP(B157,'[3]Incoming Transmittals from PDO'!$A$6:$G$20000,2,0),"")</f>
        <v/>
      </c>
      <c r="S157" s="15" t="str">
        <f>IFERROR(VLOOKUP(B157,'[3]Incoming Transmittals from PDO'!$A$6:$G$20000,7,0),"")</f>
        <v/>
      </c>
      <c r="T157" s="15" t="str">
        <f>IFERROR(VLOOKUP(B157,'[1]Outgoing to JEL'!$A$6:$G$5000,3,0),"")</f>
        <v/>
      </c>
      <c r="U157" s="15" t="str">
        <f>IFERROR(VLOOKUP(B157,'[1]Outgoing to JEL'!$A$6:$G$5000,2,0),"")</f>
        <v/>
      </c>
      <c r="V157" s="15" t="str">
        <f>IFERROR(VLOOKUP(B157,'[1]Outgoing to JEL'!$A$6:$G$5000,7,0),"")</f>
        <v/>
      </c>
      <c r="W157" s="3" t="str">
        <f t="shared" si="180"/>
        <v/>
      </c>
    </row>
    <row r="158" spans="1:23" s="16" customFormat="1" ht="21" x14ac:dyDescent="0.2">
      <c r="A158" s="99"/>
      <c r="B158" s="42" t="str">
        <f t="shared" si="176"/>
        <v>KHF-00-104265-BA-6065-01306-0000-3</v>
      </c>
      <c r="C158" s="31" t="s">
        <v>348</v>
      </c>
      <c r="D158" s="32" t="s">
        <v>353</v>
      </c>
      <c r="E158" s="20">
        <v>3</v>
      </c>
      <c r="F158" s="20"/>
      <c r="G158" s="20"/>
      <c r="H158" s="20" t="str">
        <f t="shared" si="177"/>
        <v/>
      </c>
      <c r="I158" s="3" t="str">
        <f t="shared" si="184"/>
        <v/>
      </c>
      <c r="J158" s="15" t="str">
        <f>IFERROR(VLOOKUP(B158,'[1]Incoming from JEL'!$A$6:$G$5002,3,0),"")</f>
        <v/>
      </c>
      <c r="K158" s="15" t="str">
        <f>IFERROR(VLOOKUP(B158,'[1]Incoming from JEL'!$A$6:$G$5002,2,0),"")</f>
        <v/>
      </c>
      <c r="L158" s="15" t="str">
        <f>IFERROR(VLOOKUP(B158,'[1]Incoming from JEL'!$A$6:$G$5002,7,0),"")</f>
        <v/>
      </c>
      <c r="M158" s="15" t="str">
        <f>IFERROR(VLOOKUP(B158,'[2]Outgoing Transmittals to PDO'!$A$6:$G$20000,3,0),"")</f>
        <v/>
      </c>
      <c r="N158" s="15" t="str">
        <f>IFERROR(VLOOKUP(B158,'[2]Outgoing Transmittals to PDO'!$A$6:$G$20000,2,0),"")</f>
        <v/>
      </c>
      <c r="O158" s="15" t="str">
        <f>IFERROR(VLOOKUP(B158,'[2]Outgoing Transmittals to PDO'!$A$6:$G$20000,7,0),"")</f>
        <v/>
      </c>
      <c r="P158" s="15" t="str">
        <f t="shared" si="179"/>
        <v/>
      </c>
      <c r="Q158" s="15" t="str">
        <f>IFERROR(VLOOKUP(B158,'[3]Incoming Transmittals from PDO'!$A$6:$G$20000,3,0),"")</f>
        <v/>
      </c>
      <c r="R158" s="15" t="str">
        <f>IFERROR(VLOOKUP(B158,'[3]Incoming Transmittals from PDO'!$A$6:$G$20000,2,0),"")</f>
        <v/>
      </c>
      <c r="S158" s="15" t="str">
        <f>IFERROR(VLOOKUP(B158,'[3]Incoming Transmittals from PDO'!$A$6:$G$20000,7,0),"")</f>
        <v/>
      </c>
      <c r="T158" s="15" t="str">
        <f>IFERROR(VLOOKUP(B158,'[1]Outgoing to JEL'!$A$6:$G$5000,3,0),"")</f>
        <v/>
      </c>
      <c r="U158" s="15" t="str">
        <f>IFERROR(VLOOKUP(B158,'[1]Outgoing to JEL'!$A$6:$G$5000,2,0),"")</f>
        <v/>
      </c>
      <c r="V158" s="15" t="str">
        <f>IFERROR(VLOOKUP(B158,'[1]Outgoing to JEL'!$A$6:$G$5000,7,0),"")</f>
        <v/>
      </c>
      <c r="W158" s="3" t="str">
        <f t="shared" si="180"/>
        <v/>
      </c>
    </row>
    <row r="159" spans="1:23" s="16" customFormat="1" x14ac:dyDescent="0.2">
      <c r="A159" s="97">
        <f>A156+1</f>
        <v>50</v>
      </c>
      <c r="B159" s="42" t="str">
        <f t="shared" si="176"/>
        <v>KHF-00-104265-BA-6065-01307-0000-1</v>
      </c>
      <c r="C159" s="31" t="s">
        <v>349</v>
      </c>
      <c r="D159" s="32" t="s">
        <v>354</v>
      </c>
      <c r="E159" s="20">
        <v>1</v>
      </c>
      <c r="F159" s="20"/>
      <c r="G159" s="20"/>
      <c r="H159" s="20" t="str">
        <f t="shared" si="177"/>
        <v/>
      </c>
      <c r="I159" s="3">
        <f t="shared" ref="I159" si="185">J159</f>
        <v>43537</v>
      </c>
      <c r="J159" s="15">
        <f>IFERROR(VLOOKUP(B159,'[1]Incoming from JEL'!$A$6:$G$5002,3,0),"")</f>
        <v>43537</v>
      </c>
      <c r="K159" s="15" t="str">
        <f>IFERROR(VLOOKUP(B159,'[1]Incoming from JEL'!$A$6:$G$5002,2,0),"")</f>
        <v>AIP-YKP-JEL-T-0015R5</v>
      </c>
      <c r="L159" s="15" t="str">
        <f>IFERROR(VLOOKUP(B159,'[1]Incoming from JEL'!$A$6:$G$5002,7,0),"")</f>
        <v>IFR</v>
      </c>
      <c r="M159" s="15">
        <f>IFERROR(VLOOKUP(B159,'[2]Outgoing Transmittals to PDO'!$A$6:$G$20000,3,0),"")</f>
        <v>43555</v>
      </c>
      <c r="N159" s="15" t="str">
        <f>IFERROR(VLOOKUP(B159,'[2]Outgoing Transmittals to PDO'!$A$6:$G$20000,2,0),"")</f>
        <v>AIP-PDO-P1701009-T-1116</v>
      </c>
      <c r="O159" s="15" t="str">
        <f>IFERROR(VLOOKUP(B159,'[2]Outgoing Transmittals to PDO'!$A$6:$G$20000,7,0),"")</f>
        <v>IFR</v>
      </c>
      <c r="P159" s="15">
        <f t="shared" si="179"/>
        <v>43569</v>
      </c>
      <c r="Q159" s="15">
        <f>IFERROR(VLOOKUP(B159,'[3]Incoming Transmittals from PDO'!$A$6:$G$20000,3,0),"")</f>
        <v>43565</v>
      </c>
      <c r="R159" s="15" t="str">
        <f>IFERROR(VLOOKUP(B159,'[3]Incoming Transmittals from PDO'!$A$6:$G$20000,2,0),"")</f>
        <v>KHF_AIP_D_EXT_01157</v>
      </c>
      <c r="S159" s="15" t="str">
        <f>IFERROR(VLOOKUP(B159,'[3]Incoming Transmittals from PDO'!$A$6:$G$20000,7,0),"")</f>
        <v>Code B</v>
      </c>
      <c r="T159" s="15">
        <f>IFERROR(VLOOKUP(B159,'[1]Outgoing to JEL'!$A$6:$G$5000,3,0),"")</f>
        <v>43565</v>
      </c>
      <c r="U159" s="15" t="str">
        <f>IFERROR(VLOOKUP(B159,'[1]Outgoing to JEL'!$A$6:$G$5000,2,0),"")</f>
        <v>AIP-YKP-JEL-P1701009-T-0020</v>
      </c>
      <c r="V159" s="15" t="str">
        <f>IFERROR(VLOOKUP(B159,'[1]Outgoing to JEL'!$A$6:$G$5000,7,0),"")</f>
        <v>Code B</v>
      </c>
      <c r="W159" s="3" t="str">
        <f t="shared" si="180"/>
        <v>Comments from PDO</v>
      </c>
    </row>
    <row r="160" spans="1:23" s="16" customFormat="1" x14ac:dyDescent="0.2">
      <c r="A160" s="98"/>
      <c r="B160" s="42" t="str">
        <f t="shared" si="176"/>
        <v>KHF-00-104265-BA-6065-01307-0000-2</v>
      </c>
      <c r="C160" s="31" t="s">
        <v>349</v>
      </c>
      <c r="D160" s="32" t="s">
        <v>354</v>
      </c>
      <c r="E160" s="20">
        <v>2</v>
      </c>
      <c r="F160" s="20"/>
      <c r="G160" s="20"/>
      <c r="H160" s="20" t="str">
        <f t="shared" si="177"/>
        <v>L</v>
      </c>
      <c r="I160" s="3">
        <f t="shared" ref="I160:I161" si="186">IFERROR(IF(OR(V159="Code B",V159="Code D",V159="-",ISNUMBER(J160)),T159+14,""),"")</f>
        <v>43579</v>
      </c>
      <c r="J160" s="15">
        <f>IFERROR(VLOOKUP(B160,'[1]Incoming from JEL'!$A$6:$G$5002,3,0),"")</f>
        <v>43585</v>
      </c>
      <c r="K160" s="15" t="str">
        <f>IFERROR(VLOOKUP(B160,'[1]Incoming from JEL'!$A$6:$G$5002,2,0),"")</f>
        <v>AIP-YKP-JEL -T-0015R8</v>
      </c>
      <c r="L160" s="15" t="str">
        <f>IFERROR(VLOOKUP(B160,'[1]Incoming from JEL'!$A$6:$G$5002,7,0),"")</f>
        <v>IFR</v>
      </c>
      <c r="M160" s="15">
        <f>IFERROR(VLOOKUP(B160,'[2]Outgoing Transmittals to PDO'!$A$6:$G$20000,3,0),"")</f>
        <v>43591</v>
      </c>
      <c r="N160" s="15" t="str">
        <f>IFERROR(VLOOKUP(B160,'[2]Outgoing Transmittals to PDO'!$A$6:$G$20000,2,0),"")</f>
        <v>AIP-PDO-P1701009-T-1195</v>
      </c>
      <c r="O160" s="15" t="str">
        <f>IFERROR(VLOOKUP(B160,'[2]Outgoing Transmittals to PDO'!$A$6:$G$20000,7,0),"")</f>
        <v>IFA</v>
      </c>
      <c r="P160" s="15">
        <f t="shared" si="179"/>
        <v>43605</v>
      </c>
      <c r="Q160" s="15">
        <f>IFERROR(VLOOKUP(B160,'[3]Incoming Transmittals from PDO'!$A$6:$G$20000,3,0),"")</f>
        <v>43604</v>
      </c>
      <c r="R160" s="15" t="str">
        <f>IFERROR(VLOOKUP(B160,'[3]Incoming Transmittals from PDO'!$A$6:$G$20000,2,0),"")</f>
        <v>KHF_AIP_D_EXT_01236</v>
      </c>
      <c r="S160" s="15" t="str">
        <f>IFERROR(VLOOKUP(B160,'[3]Incoming Transmittals from PDO'!$A$6:$G$20000,7,0),"")</f>
        <v>Code A</v>
      </c>
      <c r="T160" s="15">
        <f>IFERROR(VLOOKUP(B160,'[1]Outgoing to JEL'!$A$6:$G$5000,3,0),"")</f>
        <v>43606</v>
      </c>
      <c r="U160" s="15" t="str">
        <f>IFERROR(VLOOKUP(B160,'[1]Outgoing to JEL'!$A$6:$G$5000,2,0),"")</f>
        <v>AIP-YKP-JEL-P1701009-T-0027</v>
      </c>
      <c r="V160" s="15" t="str">
        <f>IFERROR(VLOOKUP(B160,'[1]Outgoing to JEL'!$A$6:$G$5000,7,0),"")</f>
        <v>Code A</v>
      </c>
      <c r="W160" s="3" t="str">
        <f t="shared" si="180"/>
        <v>Approved by PDO</v>
      </c>
    </row>
    <row r="161" spans="1:23" s="16" customFormat="1" x14ac:dyDescent="0.2">
      <c r="A161" s="99"/>
      <c r="B161" s="42" t="str">
        <f t="shared" si="176"/>
        <v>KHF-00-104265-BA-6065-01307-0000-3</v>
      </c>
      <c r="C161" s="31" t="s">
        <v>349</v>
      </c>
      <c r="D161" s="32" t="s">
        <v>354</v>
      </c>
      <c r="E161" s="20">
        <v>3</v>
      </c>
      <c r="F161" s="20"/>
      <c r="G161" s="20"/>
      <c r="H161" s="20" t="str">
        <f t="shared" si="177"/>
        <v/>
      </c>
      <c r="I161" s="3" t="str">
        <f t="shared" si="186"/>
        <v/>
      </c>
      <c r="J161" s="15" t="str">
        <f>IFERROR(VLOOKUP(B161,'[1]Incoming from JEL'!$A$6:$G$5002,3,0),"")</f>
        <v/>
      </c>
      <c r="K161" s="15" t="str">
        <f>IFERROR(VLOOKUP(B161,'[1]Incoming from JEL'!$A$6:$G$5002,2,0),"")</f>
        <v/>
      </c>
      <c r="L161" s="15" t="str">
        <f>IFERROR(VLOOKUP(B161,'[1]Incoming from JEL'!$A$6:$G$5002,7,0),"")</f>
        <v/>
      </c>
      <c r="M161" s="15" t="str">
        <f>IFERROR(VLOOKUP(B161,'[2]Outgoing Transmittals to PDO'!$A$6:$G$20000,3,0),"")</f>
        <v/>
      </c>
      <c r="N161" s="15" t="str">
        <f>IFERROR(VLOOKUP(B161,'[2]Outgoing Transmittals to PDO'!$A$6:$G$20000,2,0),"")</f>
        <v/>
      </c>
      <c r="O161" s="15" t="str">
        <f>IFERROR(VLOOKUP(B161,'[2]Outgoing Transmittals to PDO'!$A$6:$G$20000,7,0),"")</f>
        <v/>
      </c>
      <c r="P161" s="15" t="str">
        <f t="shared" si="179"/>
        <v/>
      </c>
      <c r="Q161" s="15" t="str">
        <f>IFERROR(VLOOKUP(B161,'[3]Incoming Transmittals from PDO'!$A$6:$G$20000,3,0),"")</f>
        <v/>
      </c>
      <c r="R161" s="15" t="str">
        <f>IFERROR(VLOOKUP(B161,'[3]Incoming Transmittals from PDO'!$A$6:$G$20000,2,0),"")</f>
        <v/>
      </c>
      <c r="S161" s="15" t="str">
        <f>IFERROR(VLOOKUP(B161,'[3]Incoming Transmittals from PDO'!$A$6:$G$20000,7,0),"")</f>
        <v/>
      </c>
      <c r="T161" s="15" t="str">
        <f>IFERROR(VLOOKUP(B161,'[1]Outgoing to JEL'!$A$6:$G$5000,3,0),"")</f>
        <v/>
      </c>
      <c r="U161" s="15" t="str">
        <f>IFERROR(VLOOKUP(B161,'[1]Outgoing to JEL'!$A$6:$G$5000,2,0),"")</f>
        <v/>
      </c>
      <c r="V161" s="15" t="str">
        <f>IFERROR(VLOOKUP(B161,'[1]Outgoing to JEL'!$A$6:$G$5000,7,0),"")</f>
        <v/>
      </c>
      <c r="W161" s="3" t="str">
        <f t="shared" si="180"/>
        <v/>
      </c>
    </row>
    <row r="162" spans="1:23" s="16" customFormat="1" x14ac:dyDescent="0.2">
      <c r="A162" s="97">
        <f>A159+1</f>
        <v>51</v>
      </c>
      <c r="B162" s="42" t="str">
        <f t="shared" si="176"/>
        <v>KHF-00-104265-BA-6065-01308-0000-1</v>
      </c>
      <c r="C162" s="31" t="s">
        <v>350</v>
      </c>
      <c r="D162" s="32" t="s">
        <v>355</v>
      </c>
      <c r="E162" s="20">
        <v>1</v>
      </c>
      <c r="F162" s="20"/>
      <c r="G162" s="20"/>
      <c r="H162" s="20" t="str">
        <f t="shared" si="177"/>
        <v/>
      </c>
      <c r="I162" s="3">
        <f t="shared" ref="I162" si="187">J162</f>
        <v>43537</v>
      </c>
      <c r="J162" s="15">
        <f>IFERROR(VLOOKUP(B162,'[1]Incoming from JEL'!$A$6:$G$5002,3,0),"")</f>
        <v>43537</v>
      </c>
      <c r="K162" s="15" t="str">
        <f>IFERROR(VLOOKUP(B162,'[1]Incoming from JEL'!$A$6:$G$5002,2,0),"")</f>
        <v>AIP-YKP-JEL-T-0015R5</v>
      </c>
      <c r="L162" s="15" t="str">
        <f>IFERROR(VLOOKUP(B162,'[1]Incoming from JEL'!$A$6:$G$5002,7,0),"")</f>
        <v>IFR</v>
      </c>
      <c r="M162" s="15">
        <f>IFERROR(VLOOKUP(B162,'[2]Outgoing Transmittals to PDO'!$A$6:$G$20000,3,0),"")</f>
        <v>43555</v>
      </c>
      <c r="N162" s="15" t="str">
        <f>IFERROR(VLOOKUP(B162,'[2]Outgoing Transmittals to PDO'!$A$6:$G$20000,2,0),"")</f>
        <v>AIP-PDO-P1701009-T-1116</v>
      </c>
      <c r="O162" s="15" t="str">
        <f>IFERROR(VLOOKUP(B162,'[2]Outgoing Transmittals to PDO'!$A$6:$G$20000,7,0),"")</f>
        <v>IFR</v>
      </c>
      <c r="P162" s="15">
        <f t="shared" si="179"/>
        <v>43569</v>
      </c>
      <c r="Q162" s="15">
        <f>IFERROR(VLOOKUP(B162,'[3]Incoming Transmittals from PDO'!$A$6:$G$20000,3,0),"")</f>
        <v>43565</v>
      </c>
      <c r="R162" s="15" t="str">
        <f>IFERROR(VLOOKUP(B162,'[3]Incoming Transmittals from PDO'!$A$6:$G$20000,2,0),"")</f>
        <v>KHF_AIP_D_EXT_01157</v>
      </c>
      <c r="S162" s="15" t="str">
        <f>IFERROR(VLOOKUP(B162,'[3]Incoming Transmittals from PDO'!$A$6:$G$20000,7,0),"")</f>
        <v>Code B</v>
      </c>
      <c r="T162" s="15">
        <f>IFERROR(VLOOKUP(B162,'[1]Outgoing to JEL'!$A$6:$G$5000,3,0),"")</f>
        <v>43565</v>
      </c>
      <c r="U162" s="15" t="str">
        <f>IFERROR(VLOOKUP(B162,'[1]Outgoing to JEL'!$A$6:$G$5000,2,0),"")</f>
        <v>AIP-YKP-JEL-P1701009-T-0020</v>
      </c>
      <c r="V162" s="15" t="str">
        <f>IFERROR(VLOOKUP(B162,'[1]Outgoing to JEL'!$A$6:$G$5000,7,0),"")</f>
        <v>Code B</v>
      </c>
      <c r="W162" s="3" t="str">
        <f t="shared" si="180"/>
        <v>Comments from PDO</v>
      </c>
    </row>
    <row r="163" spans="1:23" s="16" customFormat="1" x14ac:dyDescent="0.2">
      <c r="A163" s="98"/>
      <c r="B163" s="42" t="str">
        <f t="shared" si="176"/>
        <v>KHF-00-104265-BA-6065-01308-0000-2</v>
      </c>
      <c r="C163" s="31" t="s">
        <v>350</v>
      </c>
      <c r="D163" s="32" t="s">
        <v>355</v>
      </c>
      <c r="E163" s="20">
        <v>2</v>
      </c>
      <c r="F163" s="20"/>
      <c r="G163" s="20"/>
      <c r="H163" s="20" t="str">
        <f t="shared" si="177"/>
        <v>L</v>
      </c>
      <c r="I163" s="3">
        <f t="shared" ref="I163:I164" si="188">IFERROR(IF(OR(V162="Code B",V162="Code D",V162="-",ISNUMBER(J163)),T162+14,""),"")</f>
        <v>43579</v>
      </c>
      <c r="J163" s="15">
        <f>IFERROR(VLOOKUP(B163,'[1]Incoming from JEL'!$A$6:$G$5002,3,0),"")</f>
        <v>43585</v>
      </c>
      <c r="K163" s="15" t="str">
        <f>IFERROR(VLOOKUP(B163,'[1]Incoming from JEL'!$A$6:$G$5002,2,0),"")</f>
        <v>AIP-YKP-JEL -T-0015R8</v>
      </c>
      <c r="L163" s="15" t="str">
        <f>IFERROR(VLOOKUP(B163,'[1]Incoming from JEL'!$A$6:$G$5002,7,0),"")</f>
        <v>IFR</v>
      </c>
      <c r="M163" s="15">
        <f>IFERROR(VLOOKUP(B163,'[2]Outgoing Transmittals to PDO'!$A$6:$G$20000,3,0),"")</f>
        <v>43591</v>
      </c>
      <c r="N163" s="15" t="str">
        <f>IFERROR(VLOOKUP(B163,'[2]Outgoing Transmittals to PDO'!$A$6:$G$20000,2,0),"")</f>
        <v>AIP-PDO-P1701009-T-1195</v>
      </c>
      <c r="O163" s="15" t="str">
        <f>IFERROR(VLOOKUP(B163,'[2]Outgoing Transmittals to PDO'!$A$6:$G$20000,7,0),"")</f>
        <v>IFA</v>
      </c>
      <c r="P163" s="15">
        <f t="shared" si="179"/>
        <v>43605</v>
      </c>
      <c r="Q163" s="15">
        <f>IFERROR(VLOOKUP(B163,'[3]Incoming Transmittals from PDO'!$A$6:$G$20000,3,0),"")</f>
        <v>43604</v>
      </c>
      <c r="R163" s="15" t="str">
        <f>IFERROR(VLOOKUP(B163,'[3]Incoming Transmittals from PDO'!$A$6:$G$20000,2,0),"")</f>
        <v>KHF_AIP_D_EXT_01236</v>
      </c>
      <c r="S163" s="15" t="str">
        <f>IFERROR(VLOOKUP(B163,'[3]Incoming Transmittals from PDO'!$A$6:$G$20000,7,0),"")</f>
        <v>Code A</v>
      </c>
      <c r="T163" s="15">
        <f>IFERROR(VLOOKUP(B163,'[1]Outgoing to JEL'!$A$6:$G$5000,3,0),"")</f>
        <v>43606</v>
      </c>
      <c r="U163" s="15" t="str">
        <f>IFERROR(VLOOKUP(B163,'[1]Outgoing to JEL'!$A$6:$G$5000,2,0),"")</f>
        <v>AIP-YKP-JEL-P1701009-T-0027</v>
      </c>
      <c r="V163" s="15" t="str">
        <f>IFERROR(VLOOKUP(B163,'[1]Outgoing to JEL'!$A$6:$G$5000,7,0),"")</f>
        <v>Code A</v>
      </c>
      <c r="W163" s="3" t="str">
        <f t="shared" si="180"/>
        <v>Approved by PDO</v>
      </c>
    </row>
    <row r="164" spans="1:23" s="16" customFormat="1" x14ac:dyDescent="0.2">
      <c r="A164" s="99"/>
      <c r="B164" s="42" t="str">
        <f t="shared" si="176"/>
        <v>KHF-00-104265-BA-6065-01308-0000-3</v>
      </c>
      <c r="C164" s="31" t="s">
        <v>350</v>
      </c>
      <c r="D164" s="32" t="s">
        <v>355</v>
      </c>
      <c r="E164" s="20">
        <v>3</v>
      </c>
      <c r="F164" s="20"/>
      <c r="G164" s="20"/>
      <c r="H164" s="20" t="str">
        <f t="shared" si="177"/>
        <v/>
      </c>
      <c r="I164" s="3" t="str">
        <f t="shared" si="188"/>
        <v/>
      </c>
      <c r="J164" s="15" t="str">
        <f>IFERROR(VLOOKUP(B164,'[1]Incoming from JEL'!$A$6:$G$5002,3,0),"")</f>
        <v/>
      </c>
      <c r="K164" s="15" t="str">
        <f>IFERROR(VLOOKUP(B164,'[1]Incoming from JEL'!$A$6:$G$5002,2,0),"")</f>
        <v/>
      </c>
      <c r="L164" s="15" t="str">
        <f>IFERROR(VLOOKUP(B164,'[1]Incoming from JEL'!$A$6:$G$5002,7,0),"")</f>
        <v/>
      </c>
      <c r="M164" s="15" t="str">
        <f>IFERROR(VLOOKUP(B164,'[2]Outgoing Transmittals to PDO'!$A$6:$G$20000,3,0),"")</f>
        <v/>
      </c>
      <c r="N164" s="15" t="str">
        <f>IFERROR(VLOOKUP(B164,'[2]Outgoing Transmittals to PDO'!$A$6:$G$20000,2,0),"")</f>
        <v/>
      </c>
      <c r="O164" s="15" t="str">
        <f>IFERROR(VLOOKUP(B164,'[2]Outgoing Transmittals to PDO'!$A$6:$G$20000,7,0),"")</f>
        <v/>
      </c>
      <c r="P164" s="15" t="str">
        <f t="shared" si="179"/>
        <v/>
      </c>
      <c r="Q164" s="15" t="str">
        <f>IFERROR(VLOOKUP(B164,'[3]Incoming Transmittals from PDO'!$A$6:$G$20000,3,0),"")</f>
        <v/>
      </c>
      <c r="R164" s="15" t="str">
        <f>IFERROR(VLOOKUP(B164,'[3]Incoming Transmittals from PDO'!$A$6:$G$20000,2,0),"")</f>
        <v/>
      </c>
      <c r="S164" s="15" t="str">
        <f>IFERROR(VLOOKUP(B164,'[3]Incoming Transmittals from PDO'!$A$6:$G$20000,7,0),"")</f>
        <v/>
      </c>
      <c r="T164" s="15" t="str">
        <f>IFERROR(VLOOKUP(B164,'[1]Outgoing to JEL'!$A$6:$G$5000,3,0),"")</f>
        <v/>
      </c>
      <c r="U164" s="15" t="str">
        <f>IFERROR(VLOOKUP(B164,'[1]Outgoing to JEL'!$A$6:$G$5000,2,0),"")</f>
        <v/>
      </c>
      <c r="V164" s="15" t="str">
        <f>IFERROR(VLOOKUP(B164,'[1]Outgoing to JEL'!$A$6:$G$5000,7,0),"")</f>
        <v/>
      </c>
      <c r="W164" s="3" t="str">
        <f t="shared" si="180"/>
        <v/>
      </c>
    </row>
    <row r="165" spans="1:23" s="16" customFormat="1" x14ac:dyDescent="0.2">
      <c r="A165" s="97">
        <f>A162+1</f>
        <v>52</v>
      </c>
      <c r="B165" s="42" t="str">
        <f t="shared" si="176"/>
        <v>KHF-00-104265-BA-6065-01312-0000-1</v>
      </c>
      <c r="C165" s="31" t="s">
        <v>351</v>
      </c>
      <c r="D165" s="32" t="s">
        <v>461</v>
      </c>
      <c r="E165" s="20">
        <v>1</v>
      </c>
      <c r="F165" s="20"/>
      <c r="G165" s="20"/>
      <c r="H165" s="20" t="str">
        <f t="shared" si="177"/>
        <v>L</v>
      </c>
      <c r="I165" s="3">
        <f t="shared" ref="I165" si="189">J165</f>
        <v>43535</v>
      </c>
      <c r="J165" s="15">
        <f>IFERROR(VLOOKUP(B165,'[1]Incoming from JEL'!$A$6:$G$5002,3,0),"")</f>
        <v>43535</v>
      </c>
      <c r="K165" s="15" t="str">
        <f>IFERROR(VLOOKUP(B165,'[1]Incoming from JEL'!$A$6:$G$5002,2,0),"")</f>
        <v>AIP-YKP-JEL-T-0015R4</v>
      </c>
      <c r="L165" s="15" t="str">
        <f>IFERROR(VLOOKUP(B165,'[1]Incoming from JEL'!$A$6:$G$5002,7,0),"")</f>
        <v>IFR</v>
      </c>
      <c r="M165" s="15">
        <f>IFERROR(VLOOKUP(B165,'[2]Outgoing Transmittals to PDO'!$A$6:$G$20000,3,0),"")</f>
        <v>43674</v>
      </c>
      <c r="N165" s="15" t="str">
        <f>IFERROR(VLOOKUP(B165,'[2]Outgoing Transmittals to PDO'!$A$6:$G$20000,2,0),"")</f>
        <v>AIP-PDO-P1701009-T-1323</v>
      </c>
      <c r="O165" s="15" t="str">
        <f>IFERROR(VLOOKUP(B165,'[2]Outgoing Transmittals to PDO'!$A$6:$G$20000,7,0),"")</f>
        <v>IFR</v>
      </c>
      <c r="P165" s="15">
        <f t="shared" si="179"/>
        <v>43688</v>
      </c>
      <c r="Q165" s="15">
        <f>IFERROR(VLOOKUP(B165,'[3]Incoming Transmittals from PDO'!$A$6:$G$20000,3,0),"")</f>
        <v>43683</v>
      </c>
      <c r="R165" s="15" t="str">
        <f>IFERROR(VLOOKUP(B165,'[3]Incoming Transmittals from PDO'!$A$6:$G$20000,2,0),"")</f>
        <v>KHF_AIP_D_EXT_01371</v>
      </c>
      <c r="S165" s="15" t="str">
        <f>IFERROR(VLOOKUP(B165,'[3]Incoming Transmittals from PDO'!$A$6:$G$20000,7,0),"")</f>
        <v>Code D</v>
      </c>
      <c r="T165" s="15">
        <f>IFERROR(VLOOKUP(B165,'[1]Outgoing to JEL'!$A$6:$G$5000,3,0),"")</f>
        <v>43684</v>
      </c>
      <c r="U165" s="15" t="str">
        <f>IFERROR(VLOOKUP(B165,'[1]Outgoing to JEL'!$A$6:$G$5000,2,0),"")</f>
        <v>AIP-YKP-JEL-P1701009-T-0041</v>
      </c>
      <c r="V165" s="15" t="str">
        <f>IFERROR(VLOOKUP(B165,'[1]Outgoing to JEL'!$A$6:$G$5000,7,0),"")</f>
        <v>Code D</v>
      </c>
      <c r="W165" s="3" t="str">
        <f t="shared" si="180"/>
        <v>Rejected by PDO</v>
      </c>
    </row>
    <row r="166" spans="1:23" s="16" customFormat="1" x14ac:dyDescent="0.2">
      <c r="A166" s="98"/>
      <c r="B166" s="42" t="str">
        <f t="shared" si="176"/>
        <v>KHF-00-104265-BA-6065-01312-0000-2</v>
      </c>
      <c r="C166" s="31" t="s">
        <v>351</v>
      </c>
      <c r="D166" s="32" t="s">
        <v>461</v>
      </c>
      <c r="E166" s="20">
        <v>2</v>
      </c>
      <c r="F166" s="20"/>
      <c r="G166" s="20"/>
      <c r="H166" s="20" t="str">
        <f t="shared" si="177"/>
        <v/>
      </c>
      <c r="I166" s="3">
        <f t="shared" ref="I166:I167" si="190">IFERROR(IF(OR(V165="Code B",V165="Code D",V165="-",ISNUMBER(J166)),T165+14,""),"")</f>
        <v>43698</v>
      </c>
      <c r="J166" s="15" t="str">
        <f>IFERROR(VLOOKUP(B166,'[1]Incoming from JEL'!$A$6:$G$5002,3,0),"")</f>
        <v/>
      </c>
      <c r="K166" s="15" t="str">
        <f>IFERROR(VLOOKUP(B166,'[1]Incoming from JEL'!$A$6:$G$5002,2,0),"")</f>
        <v/>
      </c>
      <c r="L166" s="15" t="str">
        <f>IFERROR(VLOOKUP(B166,'[1]Incoming from JEL'!$A$6:$G$5002,7,0),"")</f>
        <v/>
      </c>
      <c r="M166" s="15">
        <f>IFERROR(VLOOKUP(B166,'[2]Outgoing Transmittals to PDO'!$A$6:$G$20000,3,0),"")</f>
        <v>43732</v>
      </c>
      <c r="N166" s="15" t="str">
        <f>IFERROR(VLOOKUP(B166,'[2]Outgoing Transmittals to PDO'!$A$6:$G$20000,2,0),"")</f>
        <v>AIP-PDO-P1701009-T-1415</v>
      </c>
      <c r="O166" s="15" t="str">
        <f>IFERROR(VLOOKUP(B166,'[2]Outgoing Transmittals to PDO'!$A$6:$G$20000,7,0),"")</f>
        <v>IFA</v>
      </c>
      <c r="P166" s="15">
        <f t="shared" si="179"/>
        <v>43746</v>
      </c>
      <c r="Q166" s="15">
        <f>IFERROR(VLOOKUP(B166,'[3]Incoming Transmittals from PDO'!$A$6:$G$20000,3,0),"")</f>
        <v>43747</v>
      </c>
      <c r="R166" s="15" t="str">
        <f>IFERROR(VLOOKUP(B166,'[3]Incoming Transmittals from PDO'!$A$6:$G$20000,2,0),"")</f>
        <v>KHF_AIP_D_EXT_01468</v>
      </c>
      <c r="S166" s="15" t="str">
        <f>IFERROR(VLOOKUP(B166,'[3]Incoming Transmittals from PDO'!$A$6:$G$20000,7,0),"")</f>
        <v>Code C</v>
      </c>
      <c r="T166" s="15">
        <f>IFERROR(VLOOKUP(B166,'[1]Outgoing to JEL'!$A$6:$G$5000,3,0),"")</f>
        <v>43748</v>
      </c>
      <c r="U166" s="15" t="str">
        <f>IFERROR(VLOOKUP(B166,'[1]Outgoing to JEL'!$A$6:$G$5000,2,0),"")</f>
        <v>AIP-YKP-JEL-P1701009-T-0047</v>
      </c>
      <c r="V166" s="15" t="str">
        <f>IFERROR(VLOOKUP(B166,'[1]Outgoing to JEL'!$A$6:$G$5000,7,0),"")</f>
        <v>Code C</v>
      </c>
      <c r="W166" s="3" t="str">
        <f t="shared" si="180"/>
        <v>Review not Required</v>
      </c>
    </row>
    <row r="167" spans="1:23" s="16" customFormat="1" x14ac:dyDescent="0.2">
      <c r="A167" s="99"/>
      <c r="B167" s="42" t="str">
        <f t="shared" si="176"/>
        <v>KHF-00-104265-BA-6065-01312-0000-3</v>
      </c>
      <c r="C167" s="31" t="s">
        <v>351</v>
      </c>
      <c r="D167" s="32" t="s">
        <v>461</v>
      </c>
      <c r="E167" s="20">
        <v>3</v>
      </c>
      <c r="F167" s="20"/>
      <c r="G167" s="20"/>
      <c r="H167" s="20" t="str">
        <f t="shared" si="177"/>
        <v/>
      </c>
      <c r="I167" s="3" t="str">
        <f t="shared" si="190"/>
        <v/>
      </c>
      <c r="J167" s="15" t="str">
        <f>IFERROR(VLOOKUP(B167,'[1]Incoming from JEL'!$A$6:$G$5002,3,0),"")</f>
        <v/>
      </c>
      <c r="K167" s="15" t="str">
        <f>IFERROR(VLOOKUP(B167,'[1]Incoming from JEL'!$A$6:$G$5002,2,0),"")</f>
        <v/>
      </c>
      <c r="L167" s="15" t="str">
        <f>IFERROR(VLOOKUP(B167,'[1]Incoming from JEL'!$A$6:$G$5002,7,0),"")</f>
        <v/>
      </c>
      <c r="M167" s="15" t="str">
        <f>IFERROR(VLOOKUP(B167,'[2]Outgoing Transmittals to PDO'!$A$6:$G$20000,3,0),"")</f>
        <v/>
      </c>
      <c r="N167" s="15" t="str">
        <f>IFERROR(VLOOKUP(B167,'[2]Outgoing Transmittals to PDO'!$A$6:$G$20000,2,0),"")</f>
        <v/>
      </c>
      <c r="O167" s="15" t="str">
        <f>IFERROR(VLOOKUP(B167,'[2]Outgoing Transmittals to PDO'!$A$6:$G$20000,7,0),"")</f>
        <v/>
      </c>
      <c r="P167" s="15" t="str">
        <f t="shared" si="179"/>
        <v/>
      </c>
      <c r="Q167" s="15" t="str">
        <f>IFERROR(VLOOKUP(B167,'[3]Incoming Transmittals from PDO'!$A$6:$G$20000,3,0),"")</f>
        <v/>
      </c>
      <c r="R167" s="15" t="str">
        <f>IFERROR(VLOOKUP(B167,'[3]Incoming Transmittals from PDO'!$A$6:$G$20000,2,0),"")</f>
        <v/>
      </c>
      <c r="S167" s="15" t="str">
        <f>IFERROR(VLOOKUP(B167,'[3]Incoming Transmittals from PDO'!$A$6:$G$20000,7,0),"")</f>
        <v/>
      </c>
      <c r="T167" s="15" t="str">
        <f>IFERROR(VLOOKUP(B167,'[1]Outgoing to JEL'!$A$6:$G$5000,3,0),"")</f>
        <v/>
      </c>
      <c r="U167" s="15" t="str">
        <f>IFERROR(VLOOKUP(B167,'[1]Outgoing to JEL'!$A$6:$G$5000,2,0),"")</f>
        <v/>
      </c>
      <c r="V167" s="15" t="str">
        <f>IFERROR(VLOOKUP(B167,'[1]Outgoing to JEL'!$A$6:$G$5000,7,0),"")</f>
        <v/>
      </c>
      <c r="W167" s="3" t="str">
        <f t="shared" si="180"/>
        <v/>
      </c>
    </row>
    <row r="168" spans="1:23" s="16" customFormat="1" x14ac:dyDescent="0.2">
      <c r="A168" s="97">
        <f>A165+1</f>
        <v>53</v>
      </c>
      <c r="B168" s="42" t="str">
        <f t="shared" ref="B168:B175" si="191">CONCATENATE(C168,"-",E168)</f>
        <v>KHF-00-104265-BA-6065-01313-0000-1</v>
      </c>
      <c r="C168" s="31" t="s">
        <v>352</v>
      </c>
      <c r="D168" s="32" t="s">
        <v>356</v>
      </c>
      <c r="E168" s="20">
        <v>1</v>
      </c>
      <c r="F168" s="20"/>
      <c r="G168" s="20"/>
      <c r="H168" s="20" t="str">
        <f t="shared" ref="H168:H172" si="192">IF(AND(C168=C169,J169="",J168&lt;&gt;""),"L","")</f>
        <v>L</v>
      </c>
      <c r="I168" s="3">
        <f t="shared" ref="I168" si="193">J168</f>
        <v>43554</v>
      </c>
      <c r="J168" s="15">
        <f>IFERROR(VLOOKUP(B168,'[1]Incoming from JEL'!$A$6:$G$5002,3,0),"")</f>
        <v>43554</v>
      </c>
      <c r="K168" s="15" t="str">
        <f>IFERROR(VLOOKUP(B168,'[1]Incoming from JEL'!$A$6:$G$5002,2,0),"")</f>
        <v>AIP-YKP-JEL-T-0015R6</v>
      </c>
      <c r="L168" s="15" t="str">
        <f>IFERROR(VLOOKUP(B168,'[1]Incoming from JEL'!$A$6:$G$5002,7,0),"")</f>
        <v>IFR</v>
      </c>
      <c r="M168" s="15">
        <f>IFERROR(VLOOKUP(B168,'[2]Outgoing Transmittals to PDO'!$A$6:$G$20000,3,0),"")</f>
        <v>43565</v>
      </c>
      <c r="N168" s="15" t="str">
        <f>IFERROR(VLOOKUP(B168,'[2]Outgoing Transmittals to PDO'!$A$6:$G$20000,2,0),"")</f>
        <v>AIP-PDO-P1701009-T-1149</v>
      </c>
      <c r="O168" s="15" t="str">
        <f>IFERROR(VLOOKUP(B168,'[2]Outgoing Transmittals to PDO'!$A$6:$G$20000,7,0),"")</f>
        <v>IFR</v>
      </c>
      <c r="P168" s="15">
        <f t="shared" ref="P168:P175" si="194">IF(ISNUMBER(M168),SUM(M168+14),"")</f>
        <v>43579</v>
      </c>
      <c r="Q168" s="15">
        <f>IFERROR(VLOOKUP(B168,'[3]Incoming Transmittals from PDO'!$A$6:$G$20000,3,0),"")</f>
        <v>43578</v>
      </c>
      <c r="R168" s="15" t="str">
        <f>IFERROR(VLOOKUP(B168,'[3]Incoming Transmittals from PDO'!$A$6:$G$20000,2,0),"")</f>
        <v>KHF_AIP_D_EXT_01202</v>
      </c>
      <c r="S168" s="15" t="str">
        <f>IFERROR(VLOOKUP(B168,'[3]Incoming Transmittals from PDO'!$A$6:$G$20000,7,0),"")</f>
        <v>Code B</v>
      </c>
      <c r="T168" s="15">
        <f>IFERROR(VLOOKUP(B168,'[1]Outgoing to JEL'!$A$6:$G$5000,3,0),"")</f>
        <v>43578</v>
      </c>
      <c r="U168" s="15" t="str">
        <f>IFERROR(VLOOKUP(B168,'[1]Outgoing to JEL'!$A$6:$G$5000,2,0),"")</f>
        <v>AIP-YKP-JEL-P1701009-T-0022</v>
      </c>
      <c r="V168" s="15" t="str">
        <f>IFERROR(VLOOKUP(B168,'[1]Outgoing to JEL'!$A$6:$G$5000,7,0),"")</f>
        <v>Code B</v>
      </c>
      <c r="W168" s="3" t="str">
        <f t="shared" ref="W168:W175" si="195">IF(S168="Code A","Approved by PDO",IF(S168="Code B","Comments from PDO",IF(S168="Code C","Review not Required",IF(S168="Code D","Rejected by PDO",IF(V168="Code A","Approved by AIP",IF(V168="Code B","Comments from AIP",IF(V168="Code C","Review not Required",IF(V168="Code D","Rejected by AIP",IF(AND(M168="-",Q168="-"),"Pending for AIP review",IF(O168="IFI","Issued for Information",IF(M168&lt;&gt;"","Pending for PDO Approval",IF(L168="IFI","Issued for AIP Information",IF(J168&lt;&gt;"","Pending for PDO submission",IF(I168&lt;&gt;"","Pending from JEL",""))))))))))))))</f>
        <v>Comments from PDO</v>
      </c>
    </row>
    <row r="169" spans="1:23" s="16" customFormat="1" x14ac:dyDescent="0.2">
      <c r="A169" s="98"/>
      <c r="B169" s="42" t="str">
        <f t="shared" si="191"/>
        <v>KHF-00-104265-BA-6065-01313-0000-2</v>
      </c>
      <c r="C169" s="31" t="s">
        <v>352</v>
      </c>
      <c r="D169" s="32" t="s">
        <v>356</v>
      </c>
      <c r="E169" s="20">
        <v>2</v>
      </c>
      <c r="F169" s="20"/>
      <c r="G169" s="20"/>
      <c r="H169" s="20" t="str">
        <f t="shared" si="192"/>
        <v/>
      </c>
      <c r="I169" s="3">
        <f t="shared" ref="I169:I172" si="196">IFERROR(IF(OR(V168="Code B",V168="Code D",V168="-",ISNUMBER(J169)),T168+14,""),"")</f>
        <v>43592</v>
      </c>
      <c r="J169" s="15" t="str">
        <f>IFERROR(VLOOKUP(B169,'[1]Incoming from JEL'!$A$6:$G$5002,3,0),"")</f>
        <v/>
      </c>
      <c r="K169" s="15" t="str">
        <f>IFERROR(VLOOKUP(B169,'[1]Incoming from JEL'!$A$6:$G$5002,2,0),"")</f>
        <v/>
      </c>
      <c r="L169" s="15" t="str">
        <f>IFERROR(VLOOKUP(B169,'[1]Incoming from JEL'!$A$6:$G$5002,7,0),"")</f>
        <v/>
      </c>
      <c r="M169" s="15" t="str">
        <f>IFERROR(VLOOKUP(B169,'[2]Outgoing Transmittals to PDO'!$A$6:$G$20000,3,0),"")</f>
        <v/>
      </c>
      <c r="N169" s="15" t="str">
        <f>IFERROR(VLOOKUP(B169,'[2]Outgoing Transmittals to PDO'!$A$6:$G$20000,2,0),"")</f>
        <v/>
      </c>
      <c r="O169" s="15" t="str">
        <f>IFERROR(VLOOKUP(B169,'[2]Outgoing Transmittals to PDO'!$A$6:$G$20000,7,0),"")</f>
        <v/>
      </c>
      <c r="P169" s="15" t="str">
        <f t="shared" si="194"/>
        <v/>
      </c>
      <c r="Q169" s="15" t="str">
        <f>IFERROR(VLOOKUP(B169,'[3]Incoming Transmittals from PDO'!$A$6:$G$20000,3,0),"")</f>
        <v/>
      </c>
      <c r="R169" s="15" t="str">
        <f>IFERROR(VLOOKUP(B169,'[3]Incoming Transmittals from PDO'!$A$6:$G$20000,2,0),"")</f>
        <v/>
      </c>
      <c r="S169" s="15" t="str">
        <f>IFERROR(VLOOKUP(B169,'[3]Incoming Transmittals from PDO'!$A$6:$G$20000,7,0),"")</f>
        <v/>
      </c>
      <c r="T169" s="15" t="str">
        <f>IFERROR(VLOOKUP(B169,'[1]Outgoing to JEL'!$A$6:$G$5000,3,0),"")</f>
        <v/>
      </c>
      <c r="U169" s="15" t="str">
        <f>IFERROR(VLOOKUP(B169,'[1]Outgoing to JEL'!$A$6:$G$5000,2,0),"")</f>
        <v/>
      </c>
      <c r="V169" s="15" t="str">
        <f>IFERROR(VLOOKUP(B169,'[1]Outgoing to JEL'!$A$6:$G$5000,7,0),"")</f>
        <v/>
      </c>
      <c r="W169" s="3" t="str">
        <f t="shared" si="195"/>
        <v>Pending from JEL</v>
      </c>
    </row>
    <row r="170" spans="1:23" s="16" customFormat="1" x14ac:dyDescent="0.2">
      <c r="A170" s="98"/>
      <c r="B170" s="89" t="str">
        <f t="shared" ref="B170:B171" si="197">CONCATENATE(C170,"-",E170)</f>
        <v>KHF-00-104265-BA-6065-01313-0000-3</v>
      </c>
      <c r="C170" s="31" t="s">
        <v>352</v>
      </c>
      <c r="D170" s="32" t="s">
        <v>356</v>
      </c>
      <c r="E170" s="20">
        <v>3</v>
      </c>
      <c r="F170" s="20"/>
      <c r="G170" s="20"/>
      <c r="H170" s="20" t="str">
        <f t="shared" si="192"/>
        <v/>
      </c>
      <c r="I170" s="3" t="str">
        <f t="shared" si="196"/>
        <v/>
      </c>
      <c r="J170" s="15">
        <f>IFERROR(VLOOKUP(B170,'[1]Incoming from JEL'!$A$6:$G$5002,3,0),"")</f>
        <v>43583</v>
      </c>
      <c r="K170" s="15" t="str">
        <f>IFERROR(VLOOKUP(B170,'[1]Incoming from JEL'!$A$6:$G$5002,2,0),"")</f>
        <v>AIP-YKP-JEL -T-0015R7</v>
      </c>
      <c r="L170" s="15" t="str">
        <f>IFERROR(VLOOKUP(B170,'[1]Incoming from JEL'!$A$6:$G$5002,7,0),"")</f>
        <v>IFA</v>
      </c>
      <c r="M170" s="15">
        <f>IFERROR(VLOOKUP(B170,'[2]Outgoing Transmittals to PDO'!$A$6:$G$20000,3,0),"")</f>
        <v>43591</v>
      </c>
      <c r="N170" s="15" t="str">
        <f>IFERROR(VLOOKUP(B170,'[2]Outgoing Transmittals to PDO'!$A$6:$G$20000,2,0),"")</f>
        <v>AIP-PDO-P1701009-T-1195</v>
      </c>
      <c r="O170" s="15" t="str">
        <f>IFERROR(VLOOKUP(B170,'[2]Outgoing Transmittals to PDO'!$A$6:$G$20000,7,0),"")</f>
        <v>IFA</v>
      </c>
      <c r="P170" s="15">
        <f t="shared" ref="P170:P171" si="198">IF(ISNUMBER(M170),SUM(M170+14),"")</f>
        <v>43605</v>
      </c>
      <c r="Q170" s="15">
        <f>IFERROR(VLOOKUP(B170,'[3]Incoming Transmittals from PDO'!$A$6:$G$20000,3,0),"")</f>
        <v>43604</v>
      </c>
      <c r="R170" s="15" t="str">
        <f>IFERROR(VLOOKUP(B170,'[3]Incoming Transmittals from PDO'!$A$6:$G$20000,2,0),"")</f>
        <v>KHF_AIP_D_EXT_01238</v>
      </c>
      <c r="S170" s="15" t="str">
        <f>IFERROR(VLOOKUP(B170,'[3]Incoming Transmittals from PDO'!$A$6:$G$20000,7,0),"")</f>
        <v>Code B</v>
      </c>
      <c r="T170" s="15">
        <f>IFERROR(VLOOKUP(B170,'[1]Outgoing to JEL'!$A$6:$G$5000,3,0),"")</f>
        <v>43606</v>
      </c>
      <c r="U170" s="15" t="str">
        <f>IFERROR(VLOOKUP(B170,'[1]Outgoing to JEL'!$A$6:$G$5000,2,0),"")</f>
        <v>AIP-YKP-JEL-P1701009-T-0027</v>
      </c>
      <c r="V170" s="15" t="str">
        <f>IFERROR(VLOOKUP(B170,'[1]Outgoing to JEL'!$A$6:$G$5000,7,0),"")</f>
        <v>Code B</v>
      </c>
      <c r="W170" s="3" t="str">
        <f t="shared" ref="W170:W171" si="199">IF(S170="Code A","Approved by PDO",IF(S170="Code B","Comments from PDO",IF(S170="Code C","Review not Required",IF(S170="Code D","Rejected by PDO",IF(V170="Code A","Approved by AIP",IF(V170="Code B","Comments from AIP",IF(V170="Code C","Review not Required",IF(V170="Code D","Rejected by AIP",IF(AND(M170="-",Q170="-"),"Pending for AIP review",IF(O170="IFI","Issued for Information",IF(M170&lt;&gt;"","Pending for PDO Approval",IF(L170="IFI","Issued for AIP Information",IF(J170&lt;&gt;"","Pending for PDO submission",IF(I170&lt;&gt;"","Pending from JEL",""))))))))))))))</f>
        <v>Comments from PDO</v>
      </c>
    </row>
    <row r="171" spans="1:23" s="16" customFormat="1" x14ac:dyDescent="0.2">
      <c r="A171" s="98"/>
      <c r="B171" s="89" t="str">
        <f t="shared" si="197"/>
        <v>KHF-00-104265-BA-6065-01313-0000-4</v>
      </c>
      <c r="C171" s="31" t="s">
        <v>352</v>
      </c>
      <c r="D171" s="32" t="s">
        <v>356</v>
      </c>
      <c r="E171" s="20">
        <v>4</v>
      </c>
      <c r="F171" s="20"/>
      <c r="G171" s="20"/>
      <c r="H171" s="20" t="str">
        <f t="shared" si="192"/>
        <v>L</v>
      </c>
      <c r="I171" s="3">
        <f t="shared" si="196"/>
        <v>43620</v>
      </c>
      <c r="J171" s="15">
        <f>IFERROR(VLOOKUP(B171,'[1]Incoming from JEL'!$A$6:$G$5002,3,0),"")</f>
        <v>43737</v>
      </c>
      <c r="K171" s="15" t="str">
        <f>IFERROR(VLOOKUP(B171,'[1]Incoming from JEL'!$A$6:$G$5002,2,0),"")</f>
        <v>AIP-YKP-JEL -T-0080</v>
      </c>
      <c r="L171" s="15" t="str">
        <f>IFERROR(VLOOKUP(B171,'[1]Incoming from JEL'!$A$6:$G$5002,7,0),"")</f>
        <v>IFA</v>
      </c>
      <c r="M171" s="15">
        <f>IFERROR(VLOOKUP(B171,'[2]Outgoing Transmittals to PDO'!$A$6:$G$20000,3,0),"")</f>
        <v>43740</v>
      </c>
      <c r="N171" s="15" t="str">
        <f>IFERROR(VLOOKUP(B171,'[2]Outgoing Transmittals to PDO'!$A$6:$G$20000,2,0),"")</f>
        <v>AIP-PDO-P1701009-T-1428</v>
      </c>
      <c r="O171" s="15" t="str">
        <f>IFERROR(VLOOKUP(B171,'[2]Outgoing Transmittals to PDO'!$A$6:$G$20000,7,0),"")</f>
        <v>IFA</v>
      </c>
      <c r="P171" s="15">
        <f t="shared" si="198"/>
        <v>43754</v>
      </c>
      <c r="Q171" s="15">
        <f>IFERROR(VLOOKUP(B171,'[3]Incoming Transmittals from PDO'!$A$6:$G$20000,3,0),"")</f>
        <v>43754</v>
      </c>
      <c r="R171" s="15" t="str">
        <f>IFERROR(VLOOKUP(B171,'[3]Incoming Transmittals from PDO'!$A$6:$G$20000,2,0),"")</f>
        <v>KHF_AIP_D_EXT_01474</v>
      </c>
      <c r="S171" s="15" t="str">
        <f>IFERROR(VLOOKUP(B171,'[3]Incoming Transmittals from PDO'!$A$6:$G$20000,7,0),"")</f>
        <v>Code C</v>
      </c>
      <c r="T171" s="15">
        <f>IFERROR(VLOOKUP(B171,'[1]Outgoing to JEL'!$A$6:$G$5000,3,0),"")</f>
        <v>43758</v>
      </c>
      <c r="U171" s="15" t="str">
        <f>IFERROR(VLOOKUP(B171,'[1]Outgoing to JEL'!$A$6:$G$5000,2,0),"")</f>
        <v>AIP-YKP-JEL-P1701009-T-0050</v>
      </c>
      <c r="V171" s="15" t="str">
        <f>IFERROR(VLOOKUP(B171,'[1]Outgoing to JEL'!$A$6:$G$5000,7,0),"")</f>
        <v>Code C</v>
      </c>
      <c r="W171" s="3" t="str">
        <f t="shared" si="199"/>
        <v>Review not Required</v>
      </c>
    </row>
    <row r="172" spans="1:23" s="16" customFormat="1" x14ac:dyDescent="0.2">
      <c r="A172" s="99"/>
      <c r="B172" s="42" t="str">
        <f t="shared" si="191"/>
        <v>KHF-00-104265-BA-6065-01313-0000-5</v>
      </c>
      <c r="C172" s="31" t="s">
        <v>352</v>
      </c>
      <c r="D172" s="32" t="s">
        <v>356</v>
      </c>
      <c r="E172" s="20">
        <v>5</v>
      </c>
      <c r="F172" s="20"/>
      <c r="G172" s="20"/>
      <c r="H172" s="20" t="str">
        <f t="shared" si="192"/>
        <v/>
      </c>
      <c r="I172" s="3" t="str">
        <f t="shared" si="196"/>
        <v/>
      </c>
      <c r="J172" s="15" t="str">
        <f>IFERROR(VLOOKUP(B172,'[1]Incoming from JEL'!$A$6:$G$5002,3,0),"")</f>
        <v/>
      </c>
      <c r="K172" s="15" t="str">
        <f>IFERROR(VLOOKUP(B172,'[1]Incoming from JEL'!$A$6:$G$5002,2,0),"")</f>
        <v/>
      </c>
      <c r="L172" s="15" t="str">
        <f>IFERROR(VLOOKUP(B172,'[1]Incoming from JEL'!$A$6:$G$5002,7,0),"")</f>
        <v/>
      </c>
      <c r="M172" s="15" t="str">
        <f>IFERROR(VLOOKUP(B172,'[2]Outgoing Transmittals to PDO'!$A$6:$G$20000,3,0),"")</f>
        <v/>
      </c>
      <c r="N172" s="15" t="str">
        <f>IFERROR(VLOOKUP(B172,'[2]Outgoing Transmittals to PDO'!$A$6:$G$20000,2,0),"")</f>
        <v/>
      </c>
      <c r="O172" s="15" t="str">
        <f>IFERROR(VLOOKUP(B172,'[2]Outgoing Transmittals to PDO'!$A$6:$G$20000,7,0),"")</f>
        <v/>
      </c>
      <c r="P172" s="15" t="str">
        <f t="shared" si="194"/>
        <v/>
      </c>
      <c r="Q172" s="15" t="str">
        <f>IFERROR(VLOOKUP(B172,'[3]Incoming Transmittals from PDO'!$A$6:$G$20000,3,0),"")</f>
        <v/>
      </c>
      <c r="R172" s="15" t="str">
        <f>IFERROR(VLOOKUP(B172,'[3]Incoming Transmittals from PDO'!$A$6:$G$20000,2,0),"")</f>
        <v/>
      </c>
      <c r="S172" s="15" t="str">
        <f>IFERROR(VLOOKUP(B172,'[3]Incoming Transmittals from PDO'!$A$6:$G$20000,7,0),"")</f>
        <v/>
      </c>
      <c r="T172" s="15" t="str">
        <f>IFERROR(VLOOKUP(B172,'[1]Outgoing to JEL'!$A$6:$G$5000,3,0),"")</f>
        <v/>
      </c>
      <c r="U172" s="15" t="str">
        <f>IFERROR(VLOOKUP(B172,'[1]Outgoing to JEL'!$A$6:$G$5000,2,0),"")</f>
        <v/>
      </c>
      <c r="V172" s="15" t="str">
        <f>IFERROR(VLOOKUP(B172,'[1]Outgoing to JEL'!$A$6:$G$5000,7,0),"")</f>
        <v/>
      </c>
      <c r="W172" s="3" t="str">
        <f t="shared" si="195"/>
        <v/>
      </c>
    </row>
    <row r="173" spans="1:23" s="16" customFormat="1" ht="21" x14ac:dyDescent="0.2">
      <c r="A173" s="97">
        <f t="shared" ref="A173" si="200">A168+1</f>
        <v>54</v>
      </c>
      <c r="B173" s="43" t="str">
        <f t="shared" si="191"/>
        <v>KHF-00-104265-BA-5736-01304-0000-1</v>
      </c>
      <c r="C173" s="31" t="s">
        <v>357</v>
      </c>
      <c r="D173" s="32" t="s">
        <v>358</v>
      </c>
      <c r="E173" s="20">
        <v>1</v>
      </c>
      <c r="F173" s="20"/>
      <c r="G173" s="20"/>
      <c r="H173" s="20" t="str">
        <f t="shared" ref="H173:H175" si="201">IF(AND(C173=C174,J174="",J173&lt;&gt;""),"L","")</f>
        <v>L</v>
      </c>
      <c r="I173" s="3">
        <f t="shared" ref="I173" si="202">J173</f>
        <v>43542</v>
      </c>
      <c r="J173" s="15">
        <f>IFERROR(VLOOKUP(B173,'[1]Incoming from JEL'!$A$6:$G$5002,3,0),"")</f>
        <v>43542</v>
      </c>
      <c r="K173" s="15" t="str">
        <f>IFERROR(VLOOKUP(B173,'[1]Incoming from JEL'!$A$6:$G$5002,2,0),"")</f>
        <v>AIP-YKP-JEL-T-0025</v>
      </c>
      <c r="L173" s="15" t="str">
        <f>IFERROR(VLOOKUP(B173,'[1]Incoming from JEL'!$A$6:$G$5002,7,0),"")</f>
        <v>IFR</v>
      </c>
      <c r="M173" s="15">
        <f>IFERROR(VLOOKUP(B173,'[2]Outgoing Transmittals to PDO'!$A$6:$G$20000,3,0),"")</f>
        <v>43541</v>
      </c>
      <c r="N173" s="15" t="str">
        <f>IFERROR(VLOOKUP(B173,'[2]Outgoing Transmittals to PDO'!$A$6:$G$20000,2,0),"")</f>
        <v>AIP-PDO-P1701009-T-1073</v>
      </c>
      <c r="O173" s="15" t="str">
        <f>IFERROR(VLOOKUP(B173,'[2]Outgoing Transmittals to PDO'!$A$6:$G$20000,7,0),"")</f>
        <v>IFR</v>
      </c>
      <c r="P173" s="15">
        <f t="shared" si="194"/>
        <v>43555</v>
      </c>
      <c r="Q173" s="15">
        <f>IFERROR(VLOOKUP(B173,'[3]Incoming Transmittals from PDO'!$A$6:$G$20000,3,0),"")</f>
        <v>43572</v>
      </c>
      <c r="R173" s="15" t="str">
        <f>IFERROR(VLOOKUP(B173,'[3]Incoming Transmittals from PDO'!$A$6:$G$20000,2,0),"")</f>
        <v>KHF_AIP_D_EXT_01172</v>
      </c>
      <c r="S173" s="15" t="str">
        <f>IFERROR(VLOOKUP(B173,'[3]Incoming Transmittals from PDO'!$A$6:$G$20000,7,0),"")</f>
        <v>Code A</v>
      </c>
      <c r="T173" s="15">
        <f>IFERROR(VLOOKUP(B173,'[1]Outgoing to JEL'!$A$6:$G$5000,3,0),"")</f>
        <v>43573</v>
      </c>
      <c r="U173" s="15" t="str">
        <f>IFERROR(VLOOKUP(B173,'[1]Outgoing to JEL'!$A$6:$G$5000,2,0),"")</f>
        <v>AIP-YKP-JEL-P1701009-T-0021</v>
      </c>
      <c r="V173" s="15" t="str">
        <f>IFERROR(VLOOKUP(B173,'[1]Outgoing to JEL'!$A$6:$G$5000,7,0),"")</f>
        <v>Code A</v>
      </c>
      <c r="W173" s="3" t="str">
        <f t="shared" si="195"/>
        <v>Approved by PDO</v>
      </c>
    </row>
    <row r="174" spans="1:23" s="16" customFormat="1" ht="21" x14ac:dyDescent="0.2">
      <c r="A174" s="98"/>
      <c r="B174" s="43" t="str">
        <f t="shared" si="191"/>
        <v>KHF-00-104265-BA-5736-01304-0000-2</v>
      </c>
      <c r="C174" s="31" t="s">
        <v>357</v>
      </c>
      <c r="D174" s="32" t="s">
        <v>358</v>
      </c>
      <c r="E174" s="20">
        <v>2</v>
      </c>
      <c r="F174" s="20"/>
      <c r="G174" s="20"/>
      <c r="H174" s="20" t="str">
        <f t="shared" si="201"/>
        <v/>
      </c>
      <c r="I174" s="3" t="str">
        <f t="shared" ref="I174:I175" si="203">IFERROR(IF(OR(V173="Code B",V173="Code D",V173="-",ISNUMBER(J174)),T173+14,""),"")</f>
        <v/>
      </c>
      <c r="J174" s="15" t="str">
        <f>IFERROR(VLOOKUP(B174,'[1]Incoming from JEL'!$A$6:$G$5002,3,0),"")</f>
        <v/>
      </c>
      <c r="K174" s="15" t="str">
        <f>IFERROR(VLOOKUP(B174,'[1]Incoming from JEL'!$A$6:$G$5002,2,0),"")</f>
        <v/>
      </c>
      <c r="L174" s="15" t="str">
        <f>IFERROR(VLOOKUP(B174,'[1]Incoming from JEL'!$A$6:$G$5002,7,0),"")</f>
        <v/>
      </c>
      <c r="M174" s="15" t="str">
        <f>IFERROR(VLOOKUP(B174,'[2]Outgoing Transmittals to PDO'!$A$6:$G$20000,3,0),"")</f>
        <v/>
      </c>
      <c r="N174" s="15" t="str">
        <f>IFERROR(VLOOKUP(B174,'[2]Outgoing Transmittals to PDO'!$A$6:$G$20000,2,0),"")</f>
        <v/>
      </c>
      <c r="O174" s="15" t="str">
        <f>IFERROR(VLOOKUP(B174,'[2]Outgoing Transmittals to PDO'!$A$6:$G$20000,7,0),"")</f>
        <v/>
      </c>
      <c r="P174" s="15" t="str">
        <f t="shared" si="194"/>
        <v/>
      </c>
      <c r="Q174" s="15" t="str">
        <f>IFERROR(VLOOKUP(B174,'[3]Incoming Transmittals from PDO'!$A$6:$G$20000,3,0),"")</f>
        <v/>
      </c>
      <c r="R174" s="15" t="str">
        <f>IFERROR(VLOOKUP(B174,'[3]Incoming Transmittals from PDO'!$A$6:$G$20000,2,0),"")</f>
        <v/>
      </c>
      <c r="S174" s="15" t="str">
        <f>IFERROR(VLOOKUP(B174,'[3]Incoming Transmittals from PDO'!$A$6:$G$20000,7,0),"")</f>
        <v/>
      </c>
      <c r="T174" s="15" t="str">
        <f>IFERROR(VLOOKUP(B174,'[1]Outgoing to JEL'!$A$6:$G$5000,3,0),"")</f>
        <v/>
      </c>
      <c r="U174" s="15" t="str">
        <f>IFERROR(VLOOKUP(B174,'[1]Outgoing to JEL'!$A$6:$G$5000,2,0),"")</f>
        <v/>
      </c>
      <c r="V174" s="15" t="str">
        <f>IFERROR(VLOOKUP(B174,'[1]Outgoing to JEL'!$A$6:$G$5000,7,0),"")</f>
        <v/>
      </c>
      <c r="W174" s="3" t="str">
        <f t="shared" si="195"/>
        <v/>
      </c>
    </row>
    <row r="175" spans="1:23" s="16" customFormat="1" ht="21" x14ac:dyDescent="0.2">
      <c r="A175" s="99"/>
      <c r="B175" s="43" t="str">
        <f t="shared" si="191"/>
        <v>KHF-00-104265-BA-5736-01304-0000-3</v>
      </c>
      <c r="C175" s="31" t="s">
        <v>357</v>
      </c>
      <c r="D175" s="32" t="s">
        <v>358</v>
      </c>
      <c r="E175" s="20">
        <v>3</v>
      </c>
      <c r="F175" s="20"/>
      <c r="G175" s="20"/>
      <c r="H175" s="20" t="str">
        <f t="shared" si="201"/>
        <v/>
      </c>
      <c r="I175" s="3" t="str">
        <f t="shared" si="203"/>
        <v/>
      </c>
      <c r="J175" s="15" t="str">
        <f>IFERROR(VLOOKUP(B175,'[1]Incoming from JEL'!$A$6:$G$5002,3,0),"")</f>
        <v/>
      </c>
      <c r="K175" s="15" t="str">
        <f>IFERROR(VLOOKUP(B175,'[1]Incoming from JEL'!$A$6:$G$5002,2,0),"")</f>
        <v/>
      </c>
      <c r="L175" s="15" t="str">
        <f>IFERROR(VLOOKUP(B175,'[1]Incoming from JEL'!$A$6:$G$5002,7,0),"")</f>
        <v/>
      </c>
      <c r="M175" s="15" t="str">
        <f>IFERROR(VLOOKUP(B175,'[2]Outgoing Transmittals to PDO'!$A$6:$G$20000,3,0),"")</f>
        <v/>
      </c>
      <c r="N175" s="15" t="str">
        <f>IFERROR(VLOOKUP(B175,'[2]Outgoing Transmittals to PDO'!$A$6:$G$20000,2,0),"")</f>
        <v/>
      </c>
      <c r="O175" s="15" t="str">
        <f>IFERROR(VLOOKUP(B175,'[2]Outgoing Transmittals to PDO'!$A$6:$G$20000,7,0),"")</f>
        <v/>
      </c>
      <c r="P175" s="15" t="str">
        <f t="shared" si="194"/>
        <v/>
      </c>
      <c r="Q175" s="15" t="str">
        <f>IFERROR(VLOOKUP(B175,'[3]Incoming Transmittals from PDO'!$A$6:$G$20000,3,0),"")</f>
        <v/>
      </c>
      <c r="R175" s="15" t="str">
        <f>IFERROR(VLOOKUP(B175,'[3]Incoming Transmittals from PDO'!$A$6:$G$20000,2,0),"")</f>
        <v/>
      </c>
      <c r="S175" s="15" t="str">
        <f>IFERROR(VLOOKUP(B175,'[3]Incoming Transmittals from PDO'!$A$6:$G$20000,7,0),"")</f>
        <v/>
      </c>
      <c r="T175" s="15" t="str">
        <f>IFERROR(VLOOKUP(B175,'[1]Outgoing to JEL'!$A$6:$G$5000,3,0),"")</f>
        <v/>
      </c>
      <c r="U175" s="15" t="str">
        <f>IFERROR(VLOOKUP(B175,'[1]Outgoing to JEL'!$A$6:$G$5000,2,0),"")</f>
        <v/>
      </c>
      <c r="V175" s="15" t="str">
        <f>IFERROR(VLOOKUP(B175,'[1]Outgoing to JEL'!$A$6:$G$5000,7,0),"")</f>
        <v/>
      </c>
      <c r="W175" s="3" t="str">
        <f t="shared" si="195"/>
        <v/>
      </c>
    </row>
    <row r="176" spans="1:23" s="16" customFormat="1" ht="21" x14ac:dyDescent="0.2">
      <c r="A176" s="97">
        <f t="shared" ref="A176" si="204">A173+1</f>
        <v>55</v>
      </c>
      <c r="B176" s="49" t="str">
        <f t="shared" ref="B176:B178" si="205">CONCATENATE(C176,"-",E176)</f>
        <v>KHF-00-104265-BA-5736-01305-0000-1</v>
      </c>
      <c r="C176" s="31" t="s">
        <v>369</v>
      </c>
      <c r="D176" s="32" t="s">
        <v>370</v>
      </c>
      <c r="E176" s="20">
        <v>1</v>
      </c>
      <c r="F176" s="20"/>
      <c r="G176" s="20"/>
      <c r="H176" s="20" t="str">
        <f t="shared" ref="H176:H188" si="206">IF(AND(C176=C177,J177="",J176&lt;&gt;""),"L","")</f>
        <v>L</v>
      </c>
      <c r="I176" s="3">
        <f t="shared" ref="I176" si="207">J176</f>
        <v>43557</v>
      </c>
      <c r="J176" s="15">
        <f>IFERROR(VLOOKUP(B176,'[1]Incoming from JEL'!$A$6:$G$5002,3,0),"")</f>
        <v>43557</v>
      </c>
      <c r="K176" s="15" t="str">
        <f>IFERROR(VLOOKUP(B176,'[1]Incoming from JEL'!$A$6:$G$5002,2,0),"")</f>
        <v>AIP-YKP-JEL-T-0027R2</v>
      </c>
      <c r="L176" s="15" t="str">
        <f>IFERROR(VLOOKUP(B176,'[1]Incoming from JEL'!$A$6:$G$5002,7,0),"")</f>
        <v>IFA</v>
      </c>
      <c r="M176" s="15">
        <f>IFERROR(VLOOKUP(B176,'[2]Outgoing Transmittals to PDO'!$A$6:$G$20000,3,0),"")</f>
        <v>43562</v>
      </c>
      <c r="N176" s="15" t="str">
        <f>IFERROR(VLOOKUP(B176,'[2]Outgoing Transmittals to PDO'!$A$6:$G$20000,2,0),"")</f>
        <v>AIP-PDO-P1701009-T-1128</v>
      </c>
      <c r="O176" s="15" t="str">
        <f>IFERROR(VLOOKUP(B176,'[2]Outgoing Transmittals to PDO'!$A$6:$G$20000,7,0),"")</f>
        <v>IFR</v>
      </c>
      <c r="P176" s="15">
        <f t="shared" ref="P176:P178" si="208">IF(ISNUMBER(M176),SUM(M176+14),"")</f>
        <v>43576</v>
      </c>
      <c r="Q176" s="15" t="str">
        <f>IFERROR(VLOOKUP(B176,'[3]Incoming Transmittals from PDO'!$A$6:$G$20000,3,0),"")</f>
        <v/>
      </c>
      <c r="R176" s="15" t="str">
        <f>IFERROR(VLOOKUP(B176,'[3]Incoming Transmittals from PDO'!$A$6:$G$20000,2,0),"")</f>
        <v/>
      </c>
      <c r="S176" s="15" t="str">
        <f>IFERROR(VLOOKUP(B176,'[3]Incoming Transmittals from PDO'!$A$6:$G$20000,7,0),"")</f>
        <v/>
      </c>
      <c r="T176" s="15" t="str">
        <f>IFERROR(VLOOKUP(B176,'[1]Outgoing to JEL'!$A$6:$G$5000,3,0),"")</f>
        <v/>
      </c>
      <c r="U176" s="15" t="str">
        <f>IFERROR(VLOOKUP(B176,'[1]Outgoing to JEL'!$A$6:$G$5000,2,0),"")</f>
        <v/>
      </c>
      <c r="V176" s="15" t="str">
        <f>IFERROR(VLOOKUP(B176,'[1]Outgoing to JEL'!$A$6:$G$5000,7,0),"")</f>
        <v/>
      </c>
      <c r="W176" s="3" t="str">
        <f t="shared" ref="W176:W178" si="209">IF(S176="Code A","Approved by PDO",IF(S176="Code B","Comments from PDO",IF(S176="Code C","Review not Required",IF(S176="Code D","Rejected by PDO",IF(V176="Code A","Approved by AIP",IF(V176="Code B","Comments from AIP",IF(V176="Code C","Review not Required",IF(V176="Code D","Rejected by AIP",IF(AND(M176="-",Q176="-"),"Pending for AIP review",IF(O176="IFI","Issued for Information",IF(M176&lt;&gt;"","Pending for PDO Approval",IF(L176="IFI","Issued for AIP Information",IF(J176&lt;&gt;"","Pending for PDO submission",IF(I176&lt;&gt;"","Pending from JEL",""))))))))))))))</f>
        <v>Pending for PDO Approval</v>
      </c>
    </row>
    <row r="177" spans="1:23" s="16" customFormat="1" ht="21" x14ac:dyDescent="0.2">
      <c r="A177" s="98"/>
      <c r="B177" s="49" t="str">
        <f t="shared" si="205"/>
        <v>KHF-00-104265-BA-5736-01305-0000-2</v>
      </c>
      <c r="C177" s="31" t="s">
        <v>369</v>
      </c>
      <c r="D177" s="32" t="s">
        <v>370</v>
      </c>
      <c r="E177" s="20">
        <v>2</v>
      </c>
      <c r="F177" s="20"/>
      <c r="G177" s="20"/>
      <c r="H177" s="20" t="str">
        <f t="shared" si="206"/>
        <v/>
      </c>
      <c r="I177" s="3" t="str">
        <f t="shared" ref="I177:I178" si="210">IFERROR(IF(OR(V176="Code B",V176="Code D",V176="-",ISNUMBER(J177)),T176+14,""),"")</f>
        <v/>
      </c>
      <c r="J177" s="15" t="str">
        <f>IFERROR(VLOOKUP(B177,'[1]Incoming from JEL'!$A$6:$G$5002,3,0),"")</f>
        <v/>
      </c>
      <c r="K177" s="15" t="str">
        <f>IFERROR(VLOOKUP(B177,'[1]Incoming from JEL'!$A$6:$G$5002,2,0),"")</f>
        <v/>
      </c>
      <c r="L177" s="15" t="str">
        <f>IFERROR(VLOOKUP(B177,'[1]Incoming from JEL'!$A$6:$G$5002,7,0),"")</f>
        <v/>
      </c>
      <c r="M177" s="15" t="str">
        <f>IFERROR(VLOOKUP(B177,'[2]Outgoing Transmittals to PDO'!$A$6:$G$20000,3,0),"")</f>
        <v/>
      </c>
      <c r="N177" s="15" t="str">
        <f>IFERROR(VLOOKUP(B177,'[2]Outgoing Transmittals to PDO'!$A$6:$G$20000,2,0),"")</f>
        <v/>
      </c>
      <c r="O177" s="15" t="str">
        <f>IFERROR(VLOOKUP(B177,'[2]Outgoing Transmittals to PDO'!$A$6:$G$20000,7,0),"")</f>
        <v/>
      </c>
      <c r="P177" s="15" t="str">
        <f t="shared" si="208"/>
        <v/>
      </c>
      <c r="Q177" s="15" t="str">
        <f>IFERROR(VLOOKUP(B177,'[3]Incoming Transmittals from PDO'!$A$6:$G$20000,3,0),"")</f>
        <v/>
      </c>
      <c r="R177" s="15" t="str">
        <f>IFERROR(VLOOKUP(B177,'[3]Incoming Transmittals from PDO'!$A$6:$G$20000,2,0),"")</f>
        <v/>
      </c>
      <c r="S177" s="15" t="str">
        <f>IFERROR(VLOOKUP(B177,'[3]Incoming Transmittals from PDO'!$A$6:$G$20000,7,0),"")</f>
        <v/>
      </c>
      <c r="T177" s="15" t="str">
        <f>IFERROR(VLOOKUP(B177,'[1]Outgoing to JEL'!$A$6:$G$5000,3,0),"")</f>
        <v/>
      </c>
      <c r="U177" s="15" t="str">
        <f>IFERROR(VLOOKUP(B177,'[1]Outgoing to JEL'!$A$6:$G$5000,2,0),"")</f>
        <v/>
      </c>
      <c r="V177" s="15" t="str">
        <f>IFERROR(VLOOKUP(B177,'[1]Outgoing to JEL'!$A$6:$G$5000,7,0),"")</f>
        <v/>
      </c>
      <c r="W177" s="3" t="str">
        <f t="shared" si="209"/>
        <v/>
      </c>
    </row>
    <row r="178" spans="1:23" s="16" customFormat="1" ht="21" x14ac:dyDescent="0.2">
      <c r="A178" s="99"/>
      <c r="B178" s="49" t="str">
        <f t="shared" si="205"/>
        <v>KHF-00-104265-BA-5736-01305-0000-3</v>
      </c>
      <c r="C178" s="31" t="s">
        <v>369</v>
      </c>
      <c r="D178" s="32" t="s">
        <v>370</v>
      </c>
      <c r="E178" s="20">
        <v>3</v>
      </c>
      <c r="F178" s="20"/>
      <c r="G178" s="20"/>
      <c r="H178" s="20" t="str">
        <f t="shared" si="206"/>
        <v/>
      </c>
      <c r="I178" s="3" t="str">
        <f t="shared" si="210"/>
        <v/>
      </c>
      <c r="J178" s="15" t="str">
        <f>IFERROR(VLOOKUP(B178,'[1]Incoming from JEL'!$A$6:$G$5002,3,0),"")</f>
        <v/>
      </c>
      <c r="K178" s="15" t="str">
        <f>IFERROR(VLOOKUP(B178,'[1]Incoming from JEL'!$A$6:$G$5002,2,0),"")</f>
        <v/>
      </c>
      <c r="L178" s="15" t="str">
        <f>IFERROR(VLOOKUP(B178,'[1]Incoming from JEL'!$A$6:$G$5002,7,0),"")</f>
        <v/>
      </c>
      <c r="M178" s="15" t="str">
        <f>IFERROR(VLOOKUP(B178,'[2]Outgoing Transmittals to PDO'!$A$6:$G$20000,3,0),"")</f>
        <v/>
      </c>
      <c r="N178" s="15" t="str">
        <f>IFERROR(VLOOKUP(B178,'[2]Outgoing Transmittals to PDO'!$A$6:$G$20000,2,0),"")</f>
        <v/>
      </c>
      <c r="O178" s="15" t="str">
        <f>IFERROR(VLOOKUP(B178,'[2]Outgoing Transmittals to PDO'!$A$6:$G$20000,7,0),"")</f>
        <v/>
      </c>
      <c r="P178" s="15" t="str">
        <f t="shared" si="208"/>
        <v/>
      </c>
      <c r="Q178" s="15" t="str">
        <f>IFERROR(VLOOKUP(B178,'[3]Incoming Transmittals from PDO'!$A$6:$G$20000,3,0),"")</f>
        <v/>
      </c>
      <c r="R178" s="15" t="str">
        <f>IFERROR(VLOOKUP(B178,'[3]Incoming Transmittals from PDO'!$A$6:$G$20000,2,0),"")</f>
        <v/>
      </c>
      <c r="S178" s="15" t="str">
        <f>IFERROR(VLOOKUP(B178,'[3]Incoming Transmittals from PDO'!$A$6:$G$20000,7,0),"")</f>
        <v/>
      </c>
      <c r="T178" s="15" t="str">
        <f>IFERROR(VLOOKUP(B178,'[1]Outgoing to JEL'!$A$6:$G$5000,3,0),"")</f>
        <v/>
      </c>
      <c r="U178" s="15" t="str">
        <f>IFERROR(VLOOKUP(B178,'[1]Outgoing to JEL'!$A$6:$G$5000,2,0),"")</f>
        <v/>
      </c>
      <c r="V178" s="15" t="str">
        <f>IFERROR(VLOOKUP(B178,'[1]Outgoing to JEL'!$A$6:$G$5000,7,0),"")</f>
        <v/>
      </c>
      <c r="W178" s="3" t="str">
        <f t="shared" si="209"/>
        <v/>
      </c>
    </row>
    <row r="179" spans="1:23" s="16" customFormat="1" x14ac:dyDescent="0.2">
      <c r="A179" s="97">
        <f t="shared" ref="A179" si="211">A176+1</f>
        <v>56</v>
      </c>
      <c r="B179" s="52" t="str">
        <f t="shared" ref="B179:B181" si="212">CONCATENATE(C179,"-",E179)</f>
        <v>KHF-00-104265-BA-5736-01306-0000-1</v>
      </c>
      <c r="C179" s="31" t="s">
        <v>375</v>
      </c>
      <c r="D179" s="32" t="s">
        <v>376</v>
      </c>
      <c r="E179" s="20">
        <v>1</v>
      </c>
      <c r="F179" s="20"/>
      <c r="G179" s="20"/>
      <c r="H179" s="20" t="str">
        <f t="shared" ref="H179:H181" si="213">IF(AND(C179=C180,J180="",J179&lt;&gt;""),"L","")</f>
        <v>L</v>
      </c>
      <c r="I179" s="3">
        <f t="shared" ref="I179" si="214">J179</f>
        <v>43556</v>
      </c>
      <c r="J179" s="15">
        <f>IFERROR(VLOOKUP(B179,'[1]Incoming from JEL'!$A$6:$G$5002,3,0),"")</f>
        <v>43556</v>
      </c>
      <c r="K179" s="15" t="str">
        <f>IFERROR(VLOOKUP(B179,'[1]Incoming from JEL'!$A$6:$G$5002,2,0),"")</f>
        <v>AIP-YKP-JEL-T-0031</v>
      </c>
      <c r="L179" s="15" t="str">
        <f>IFERROR(VLOOKUP(B179,'[1]Incoming from JEL'!$A$6:$G$5002,7,0),"")</f>
        <v>IFR</v>
      </c>
      <c r="M179" s="15" t="str">
        <f>IFERROR(VLOOKUP(B179,'[2]Outgoing Transmittals to PDO'!$A$6:$G$20000,3,0),"")</f>
        <v/>
      </c>
      <c r="N179" s="15" t="str">
        <f>IFERROR(VLOOKUP(B179,'[2]Outgoing Transmittals to PDO'!$A$6:$G$20000,2,0),"")</f>
        <v/>
      </c>
      <c r="O179" s="15" t="str">
        <f>IFERROR(VLOOKUP(B179,'[2]Outgoing Transmittals to PDO'!$A$6:$G$20000,7,0),"")</f>
        <v/>
      </c>
      <c r="P179" s="15" t="str">
        <f t="shared" ref="P179:P181" si="215">IF(ISNUMBER(M179),SUM(M179+14),"")</f>
        <v/>
      </c>
      <c r="Q179" s="15" t="str">
        <f>IFERROR(VLOOKUP(B179,'[3]Incoming Transmittals from PDO'!$A$6:$G$20000,3,0),"")</f>
        <v/>
      </c>
      <c r="R179" s="15" t="str">
        <f>IFERROR(VLOOKUP(B179,'[3]Incoming Transmittals from PDO'!$A$6:$G$20000,2,0),"")</f>
        <v/>
      </c>
      <c r="S179" s="15" t="str">
        <f>IFERROR(VLOOKUP(B179,'[3]Incoming Transmittals from PDO'!$A$6:$G$20000,7,0),"")</f>
        <v/>
      </c>
      <c r="T179" s="15" t="str">
        <f>IFERROR(VLOOKUP(B179,'[1]Outgoing to JEL'!$A$6:$G$5000,3,0),"")</f>
        <v/>
      </c>
      <c r="U179" s="15" t="str">
        <f>IFERROR(VLOOKUP(B179,'[1]Outgoing to JEL'!$A$6:$G$5000,2,0),"")</f>
        <v/>
      </c>
      <c r="V179" s="15" t="str">
        <f>IFERROR(VLOOKUP(B179,'[1]Outgoing to JEL'!$A$6:$G$5000,7,0),"")</f>
        <v/>
      </c>
      <c r="W179" s="3" t="str">
        <f t="shared" ref="W179:W181" si="216">IF(S179="Code A","Approved by PDO",IF(S179="Code B","Comments from PDO",IF(S179="Code C","Review not Required",IF(S179="Code D","Rejected by PDO",IF(V179="Code A","Approved by AIP",IF(V179="Code B","Comments from AIP",IF(V179="Code C","Review not Required",IF(V179="Code D","Rejected by AIP",IF(AND(M179="-",Q179="-"),"Pending for AIP review",IF(O179="IFI","Issued for Information",IF(M179&lt;&gt;"","Pending for PDO Approval",IF(L179="IFI","Issued for AIP Information",IF(J179&lt;&gt;"","Pending for PDO submission",IF(I179&lt;&gt;"","Pending from JEL",""))))))))))))))</f>
        <v>Pending for PDO submission</v>
      </c>
    </row>
    <row r="180" spans="1:23" s="16" customFormat="1" x14ac:dyDescent="0.2">
      <c r="A180" s="98"/>
      <c r="B180" s="52" t="str">
        <f t="shared" si="212"/>
        <v>KHF-00-104265-BA-5736-01306-0000-2</v>
      </c>
      <c r="C180" s="31" t="s">
        <v>375</v>
      </c>
      <c r="D180" s="32" t="s">
        <v>376</v>
      </c>
      <c r="E180" s="20">
        <v>2</v>
      </c>
      <c r="F180" s="20"/>
      <c r="G180" s="20"/>
      <c r="H180" s="20" t="str">
        <f t="shared" si="213"/>
        <v/>
      </c>
      <c r="I180" s="3" t="str">
        <f t="shared" ref="I180:I181" si="217">IFERROR(IF(OR(V179="Code B",V179="Code D",V179="-",ISNUMBER(J180)),T179+14,""),"")</f>
        <v/>
      </c>
      <c r="J180" s="15" t="str">
        <f>IFERROR(VLOOKUP(B180,'[1]Incoming from JEL'!$A$6:$G$5002,3,0),"")</f>
        <v/>
      </c>
      <c r="K180" s="15" t="str">
        <f>IFERROR(VLOOKUP(B180,'[1]Incoming from JEL'!$A$6:$G$5002,2,0),"")</f>
        <v/>
      </c>
      <c r="L180" s="15" t="str">
        <f>IFERROR(VLOOKUP(B180,'[1]Incoming from JEL'!$A$6:$G$5002,7,0),"")</f>
        <v/>
      </c>
      <c r="M180" s="15" t="str">
        <f>IFERROR(VLOOKUP(B180,'[2]Outgoing Transmittals to PDO'!$A$6:$G$20000,3,0),"")</f>
        <v/>
      </c>
      <c r="N180" s="15" t="str">
        <f>IFERROR(VLOOKUP(B180,'[2]Outgoing Transmittals to PDO'!$A$6:$G$20000,2,0),"")</f>
        <v/>
      </c>
      <c r="O180" s="15" t="str">
        <f>IFERROR(VLOOKUP(B180,'[2]Outgoing Transmittals to PDO'!$A$6:$G$20000,7,0),"")</f>
        <v/>
      </c>
      <c r="P180" s="15" t="str">
        <f t="shared" si="215"/>
        <v/>
      </c>
      <c r="Q180" s="15" t="str">
        <f>IFERROR(VLOOKUP(B180,'[3]Incoming Transmittals from PDO'!$A$6:$G$20000,3,0),"")</f>
        <v/>
      </c>
      <c r="R180" s="15" t="str">
        <f>IFERROR(VLOOKUP(B180,'[3]Incoming Transmittals from PDO'!$A$6:$G$20000,2,0),"")</f>
        <v/>
      </c>
      <c r="S180" s="15" t="str">
        <f>IFERROR(VLOOKUP(B180,'[3]Incoming Transmittals from PDO'!$A$6:$G$20000,7,0),"")</f>
        <v/>
      </c>
      <c r="T180" s="15" t="str">
        <f>IFERROR(VLOOKUP(B180,'[1]Outgoing to JEL'!$A$6:$G$5000,3,0),"")</f>
        <v/>
      </c>
      <c r="U180" s="15" t="str">
        <f>IFERROR(VLOOKUP(B180,'[1]Outgoing to JEL'!$A$6:$G$5000,2,0),"")</f>
        <v/>
      </c>
      <c r="V180" s="15" t="str">
        <f>IFERROR(VLOOKUP(B180,'[1]Outgoing to JEL'!$A$6:$G$5000,7,0),"")</f>
        <v/>
      </c>
      <c r="W180" s="3" t="str">
        <f t="shared" si="216"/>
        <v/>
      </c>
    </row>
    <row r="181" spans="1:23" s="16" customFormat="1" x14ac:dyDescent="0.2">
      <c r="A181" s="99"/>
      <c r="B181" s="52" t="str">
        <f t="shared" si="212"/>
        <v>KHF-00-104265-BA-5736-01306-0000-3</v>
      </c>
      <c r="C181" s="31" t="s">
        <v>375</v>
      </c>
      <c r="D181" s="32" t="s">
        <v>376</v>
      </c>
      <c r="E181" s="20">
        <v>3</v>
      </c>
      <c r="F181" s="20"/>
      <c r="G181" s="20"/>
      <c r="H181" s="20" t="str">
        <f t="shared" si="213"/>
        <v/>
      </c>
      <c r="I181" s="3" t="str">
        <f t="shared" si="217"/>
        <v/>
      </c>
      <c r="J181" s="15" t="str">
        <f>IFERROR(VLOOKUP(B181,'[1]Incoming from JEL'!$A$6:$G$5002,3,0),"")</f>
        <v/>
      </c>
      <c r="K181" s="15" t="str">
        <f>IFERROR(VLOOKUP(B181,'[1]Incoming from JEL'!$A$6:$G$5002,2,0),"")</f>
        <v/>
      </c>
      <c r="L181" s="15" t="str">
        <f>IFERROR(VLOOKUP(B181,'[1]Incoming from JEL'!$A$6:$G$5002,7,0),"")</f>
        <v/>
      </c>
      <c r="M181" s="15" t="str">
        <f>IFERROR(VLOOKUP(B181,'[2]Outgoing Transmittals to PDO'!$A$6:$G$20000,3,0),"")</f>
        <v/>
      </c>
      <c r="N181" s="15" t="str">
        <f>IFERROR(VLOOKUP(B181,'[2]Outgoing Transmittals to PDO'!$A$6:$G$20000,2,0),"")</f>
        <v/>
      </c>
      <c r="O181" s="15" t="str">
        <f>IFERROR(VLOOKUP(B181,'[2]Outgoing Transmittals to PDO'!$A$6:$G$20000,7,0),"")</f>
        <v/>
      </c>
      <c r="P181" s="15" t="str">
        <f t="shared" si="215"/>
        <v/>
      </c>
      <c r="Q181" s="15" t="str">
        <f>IFERROR(VLOOKUP(B181,'[3]Incoming Transmittals from PDO'!$A$6:$G$20000,3,0),"")</f>
        <v/>
      </c>
      <c r="R181" s="15" t="str">
        <f>IFERROR(VLOOKUP(B181,'[3]Incoming Transmittals from PDO'!$A$6:$G$20000,2,0),"")</f>
        <v/>
      </c>
      <c r="S181" s="15" t="str">
        <f>IFERROR(VLOOKUP(B181,'[3]Incoming Transmittals from PDO'!$A$6:$G$20000,7,0),"")</f>
        <v/>
      </c>
      <c r="T181" s="15" t="str">
        <f>IFERROR(VLOOKUP(B181,'[1]Outgoing to JEL'!$A$6:$G$5000,3,0),"")</f>
        <v/>
      </c>
      <c r="U181" s="15" t="str">
        <f>IFERROR(VLOOKUP(B181,'[1]Outgoing to JEL'!$A$6:$G$5000,2,0),"")</f>
        <v/>
      </c>
      <c r="V181" s="15" t="str">
        <f>IFERROR(VLOOKUP(B181,'[1]Outgoing to JEL'!$A$6:$G$5000,7,0),"")</f>
        <v/>
      </c>
      <c r="W181" s="3" t="str">
        <f t="shared" si="216"/>
        <v/>
      </c>
    </row>
    <row r="182" spans="1:23" s="16" customFormat="1" x14ac:dyDescent="0.2">
      <c r="A182" s="97">
        <f t="shared" ref="A182" si="218">A179+1</f>
        <v>57</v>
      </c>
      <c r="B182" s="58" t="str">
        <f t="shared" ref="B182:B184" si="219">CONCATENATE(C182,"-",E182)</f>
        <v>KHF-00-104265-BA-5736-01307-0000-1</v>
      </c>
      <c r="C182" s="31" t="s">
        <v>396</v>
      </c>
      <c r="D182" s="32" t="s">
        <v>397</v>
      </c>
      <c r="E182" s="20">
        <v>1</v>
      </c>
      <c r="F182" s="20"/>
      <c r="G182" s="20"/>
      <c r="H182" s="20" t="str">
        <f t="shared" ref="H182:H184" si="220">IF(AND(C182=C183,J183="",J182&lt;&gt;""),"L","")</f>
        <v>L</v>
      </c>
      <c r="I182" s="3">
        <f t="shared" ref="I182" si="221">J182</f>
        <v>43581</v>
      </c>
      <c r="J182" s="15">
        <f>IFERROR(VLOOKUP(B182,'[1]Incoming from JEL'!$A$6:$G$5002,3,0),"")</f>
        <v>43581</v>
      </c>
      <c r="K182" s="15" t="str">
        <f>IFERROR(VLOOKUP(B182,'[1]Incoming from JEL'!$A$6:$G$5002,2,0),"")</f>
        <v>AIP-YKP-JEL-T-0041</v>
      </c>
      <c r="L182" s="15" t="str">
        <f>IFERROR(VLOOKUP(B182,'[1]Incoming from JEL'!$A$6:$G$5002,7,0),"")</f>
        <v>IFA</v>
      </c>
      <c r="M182" s="15" t="str">
        <f>IFERROR(VLOOKUP(B182,'[2]Outgoing Transmittals to PDO'!$A$6:$G$20000,3,0),"")</f>
        <v/>
      </c>
      <c r="N182" s="15" t="str">
        <f>IFERROR(VLOOKUP(B182,'[2]Outgoing Transmittals to PDO'!$A$6:$G$20000,2,0),"")</f>
        <v/>
      </c>
      <c r="O182" s="15" t="str">
        <f>IFERROR(VLOOKUP(B182,'[2]Outgoing Transmittals to PDO'!$A$6:$G$20000,7,0),"")</f>
        <v/>
      </c>
      <c r="P182" s="15" t="str">
        <f t="shared" ref="P182:P184" si="222">IF(ISNUMBER(M182),SUM(M182+14),"")</f>
        <v/>
      </c>
      <c r="Q182" s="15" t="str">
        <f>IFERROR(VLOOKUP(B182,'[3]Incoming Transmittals from PDO'!$A$6:$G$20000,3,0),"")</f>
        <v/>
      </c>
      <c r="R182" s="15" t="str">
        <f>IFERROR(VLOOKUP(B182,'[3]Incoming Transmittals from PDO'!$A$6:$G$20000,2,0),"")</f>
        <v/>
      </c>
      <c r="S182" s="15" t="str">
        <f>IFERROR(VLOOKUP(B182,'[3]Incoming Transmittals from PDO'!$A$6:$G$20000,7,0),"")</f>
        <v/>
      </c>
      <c r="T182" s="15" t="str">
        <f>IFERROR(VLOOKUP(B182,'[1]Outgoing to JEL'!$A$6:$G$5000,3,0),"")</f>
        <v/>
      </c>
      <c r="U182" s="15" t="str">
        <f>IFERROR(VLOOKUP(B182,'[1]Outgoing to JEL'!$A$6:$G$5000,2,0),"")</f>
        <v/>
      </c>
      <c r="V182" s="15" t="str">
        <f>IFERROR(VLOOKUP(B182,'[1]Outgoing to JEL'!$A$6:$G$5000,7,0),"")</f>
        <v/>
      </c>
      <c r="W182" s="3" t="str">
        <f t="shared" ref="W182:W184" si="223">IF(S182="Code A","Approved by PDO",IF(S182="Code B","Comments from PDO",IF(S182="Code C","Review not Required",IF(S182="Code D","Rejected by PDO",IF(V182="Code A","Approved by AIP",IF(V182="Code B","Comments from AIP",IF(V182="Code C","Review not Required",IF(V182="Code D","Rejected by AIP",IF(AND(M182="-",Q182="-"),"Pending for AIP review",IF(O182="IFI","Issued for Information",IF(M182&lt;&gt;"","Pending for PDO Approval",IF(L182="IFI","Issued for AIP Information",IF(J182&lt;&gt;"","Pending for PDO submission",IF(I182&lt;&gt;"","Pending from JEL",""))))))))))))))</f>
        <v>Pending for PDO submission</v>
      </c>
    </row>
    <row r="183" spans="1:23" s="16" customFormat="1" x14ac:dyDescent="0.2">
      <c r="A183" s="98"/>
      <c r="B183" s="58" t="str">
        <f t="shared" si="219"/>
        <v>KHF-00-104265-BA-5736-01307-0000-2</v>
      </c>
      <c r="C183" s="31" t="s">
        <v>396</v>
      </c>
      <c r="D183" s="32" t="s">
        <v>397</v>
      </c>
      <c r="E183" s="20">
        <v>2</v>
      </c>
      <c r="F183" s="20"/>
      <c r="G183" s="20"/>
      <c r="H183" s="20" t="str">
        <f t="shared" si="220"/>
        <v/>
      </c>
      <c r="I183" s="3" t="str">
        <f t="shared" ref="I183:I184" si="224">IFERROR(IF(OR(V182="Code B",V182="Code D",V182="-",ISNUMBER(J183)),T182+14,""),"")</f>
        <v/>
      </c>
      <c r="J183" s="15" t="str">
        <f>IFERROR(VLOOKUP(B183,'[1]Incoming from JEL'!$A$6:$G$5002,3,0),"")</f>
        <v/>
      </c>
      <c r="K183" s="15" t="str">
        <f>IFERROR(VLOOKUP(B183,'[1]Incoming from JEL'!$A$6:$G$5002,2,0),"")</f>
        <v/>
      </c>
      <c r="L183" s="15" t="str">
        <f>IFERROR(VLOOKUP(B183,'[1]Incoming from JEL'!$A$6:$G$5002,7,0),"")</f>
        <v/>
      </c>
      <c r="M183" s="15" t="str">
        <f>IFERROR(VLOOKUP(B183,'[2]Outgoing Transmittals to PDO'!$A$6:$G$20000,3,0),"")</f>
        <v/>
      </c>
      <c r="N183" s="15" t="str">
        <f>IFERROR(VLOOKUP(B183,'[2]Outgoing Transmittals to PDO'!$A$6:$G$20000,2,0),"")</f>
        <v/>
      </c>
      <c r="O183" s="15" t="str">
        <f>IFERROR(VLOOKUP(B183,'[2]Outgoing Transmittals to PDO'!$A$6:$G$20000,7,0),"")</f>
        <v/>
      </c>
      <c r="P183" s="15" t="str">
        <f t="shared" si="222"/>
        <v/>
      </c>
      <c r="Q183" s="15" t="str">
        <f>IFERROR(VLOOKUP(B183,'[3]Incoming Transmittals from PDO'!$A$6:$G$20000,3,0),"")</f>
        <v/>
      </c>
      <c r="R183" s="15" t="str">
        <f>IFERROR(VLOOKUP(B183,'[3]Incoming Transmittals from PDO'!$A$6:$G$20000,2,0),"")</f>
        <v/>
      </c>
      <c r="S183" s="15" t="str">
        <f>IFERROR(VLOOKUP(B183,'[3]Incoming Transmittals from PDO'!$A$6:$G$20000,7,0),"")</f>
        <v/>
      </c>
      <c r="T183" s="15" t="str">
        <f>IFERROR(VLOOKUP(B183,'[1]Outgoing to JEL'!$A$6:$G$5000,3,0),"")</f>
        <v/>
      </c>
      <c r="U183" s="15" t="str">
        <f>IFERROR(VLOOKUP(B183,'[1]Outgoing to JEL'!$A$6:$G$5000,2,0),"")</f>
        <v/>
      </c>
      <c r="V183" s="15" t="str">
        <f>IFERROR(VLOOKUP(B183,'[1]Outgoing to JEL'!$A$6:$G$5000,7,0),"")</f>
        <v/>
      </c>
      <c r="W183" s="3" t="str">
        <f t="shared" si="223"/>
        <v/>
      </c>
    </row>
    <row r="184" spans="1:23" s="16" customFormat="1" x14ac:dyDescent="0.2">
      <c r="A184" s="99"/>
      <c r="B184" s="58" t="str">
        <f t="shared" si="219"/>
        <v>KHF-00-104265-BA-5736-01307-0000-3</v>
      </c>
      <c r="C184" s="31" t="s">
        <v>396</v>
      </c>
      <c r="D184" s="32" t="s">
        <v>397</v>
      </c>
      <c r="E184" s="20">
        <v>3</v>
      </c>
      <c r="F184" s="20"/>
      <c r="G184" s="20"/>
      <c r="H184" s="20" t="str">
        <f t="shared" si="220"/>
        <v/>
      </c>
      <c r="I184" s="3" t="str">
        <f t="shared" si="224"/>
        <v/>
      </c>
      <c r="J184" s="15" t="str">
        <f>IFERROR(VLOOKUP(B184,'[1]Incoming from JEL'!$A$6:$G$5002,3,0),"")</f>
        <v/>
      </c>
      <c r="K184" s="15" t="str">
        <f>IFERROR(VLOOKUP(B184,'[1]Incoming from JEL'!$A$6:$G$5002,2,0),"")</f>
        <v/>
      </c>
      <c r="L184" s="15" t="str">
        <f>IFERROR(VLOOKUP(B184,'[1]Incoming from JEL'!$A$6:$G$5002,7,0),"")</f>
        <v/>
      </c>
      <c r="M184" s="15" t="str">
        <f>IFERROR(VLOOKUP(B184,'[2]Outgoing Transmittals to PDO'!$A$6:$G$20000,3,0),"")</f>
        <v/>
      </c>
      <c r="N184" s="15" t="str">
        <f>IFERROR(VLOOKUP(B184,'[2]Outgoing Transmittals to PDO'!$A$6:$G$20000,2,0),"")</f>
        <v/>
      </c>
      <c r="O184" s="15" t="str">
        <f>IFERROR(VLOOKUP(B184,'[2]Outgoing Transmittals to PDO'!$A$6:$G$20000,7,0),"")</f>
        <v/>
      </c>
      <c r="P184" s="15" t="str">
        <f t="shared" si="222"/>
        <v/>
      </c>
      <c r="Q184" s="15" t="str">
        <f>IFERROR(VLOOKUP(B184,'[3]Incoming Transmittals from PDO'!$A$6:$G$20000,3,0),"")</f>
        <v/>
      </c>
      <c r="R184" s="15" t="str">
        <f>IFERROR(VLOOKUP(B184,'[3]Incoming Transmittals from PDO'!$A$6:$G$20000,2,0),"")</f>
        <v/>
      </c>
      <c r="S184" s="15" t="str">
        <f>IFERROR(VLOOKUP(B184,'[3]Incoming Transmittals from PDO'!$A$6:$G$20000,7,0),"")</f>
        <v/>
      </c>
      <c r="T184" s="15" t="str">
        <f>IFERROR(VLOOKUP(B184,'[1]Outgoing to JEL'!$A$6:$G$5000,3,0),"")</f>
        <v/>
      </c>
      <c r="U184" s="15" t="str">
        <f>IFERROR(VLOOKUP(B184,'[1]Outgoing to JEL'!$A$6:$G$5000,2,0),"")</f>
        <v/>
      </c>
      <c r="V184" s="15" t="str">
        <f>IFERROR(VLOOKUP(B184,'[1]Outgoing to JEL'!$A$6:$G$5000,7,0),"")</f>
        <v/>
      </c>
      <c r="W184" s="3" t="str">
        <f t="shared" si="223"/>
        <v/>
      </c>
    </row>
    <row r="185" spans="1:23" s="16" customFormat="1" x14ac:dyDescent="0.2">
      <c r="A185" s="97">
        <f t="shared" ref="A185" si="225">A182+1</f>
        <v>58</v>
      </c>
      <c r="B185" s="58" t="str">
        <f t="shared" ref="B185:B187" si="226">CONCATENATE(C185,"-",E185)</f>
        <v>KHF-00-104265-BA-5736-01308-0000-1</v>
      </c>
      <c r="C185" s="31" t="s">
        <v>398</v>
      </c>
      <c r="D185" s="32" t="s">
        <v>399</v>
      </c>
      <c r="E185" s="20">
        <v>1</v>
      </c>
      <c r="F185" s="20"/>
      <c r="G185" s="20"/>
      <c r="H185" s="20" t="str">
        <f t="shared" ref="H185:H187" si="227">IF(AND(C185=C186,J186="",J185&lt;&gt;""),"L","")</f>
        <v>L</v>
      </c>
      <c r="I185" s="3">
        <f t="shared" ref="I185" si="228">J185</f>
        <v>43581</v>
      </c>
      <c r="J185" s="15">
        <f>IFERROR(VLOOKUP(B185,'[1]Incoming from JEL'!$A$6:$G$5002,3,0),"")</f>
        <v>43581</v>
      </c>
      <c r="K185" s="15" t="str">
        <f>IFERROR(VLOOKUP(B185,'[1]Incoming from JEL'!$A$6:$G$5002,2,0),"")</f>
        <v>AIP-YKP-JEL-T-0042</v>
      </c>
      <c r="L185" s="15" t="str">
        <f>IFERROR(VLOOKUP(B185,'[1]Incoming from JEL'!$A$6:$G$5002,7,0),"")</f>
        <v>IFA</v>
      </c>
      <c r="M185" s="15" t="str">
        <f>IFERROR(VLOOKUP(B185,'[2]Outgoing Transmittals to PDO'!$A$6:$G$20000,3,0),"")</f>
        <v/>
      </c>
      <c r="N185" s="15" t="str">
        <f>IFERROR(VLOOKUP(B185,'[2]Outgoing Transmittals to PDO'!$A$6:$G$20000,2,0),"")</f>
        <v/>
      </c>
      <c r="O185" s="15" t="str">
        <f>IFERROR(VLOOKUP(B185,'[2]Outgoing Transmittals to PDO'!$A$6:$G$20000,7,0),"")</f>
        <v/>
      </c>
      <c r="P185" s="15" t="str">
        <f t="shared" ref="P185:P187" si="229">IF(ISNUMBER(M185),SUM(M185+14),"")</f>
        <v/>
      </c>
      <c r="Q185" s="15" t="str">
        <f>IFERROR(VLOOKUP(B185,'[3]Incoming Transmittals from PDO'!$A$6:$G$20000,3,0),"")</f>
        <v/>
      </c>
      <c r="R185" s="15" t="str">
        <f>IFERROR(VLOOKUP(B185,'[3]Incoming Transmittals from PDO'!$A$6:$G$20000,2,0),"")</f>
        <v/>
      </c>
      <c r="S185" s="15" t="str">
        <f>IFERROR(VLOOKUP(B185,'[3]Incoming Transmittals from PDO'!$A$6:$G$20000,7,0),"")</f>
        <v/>
      </c>
      <c r="T185" s="15" t="str">
        <f>IFERROR(VLOOKUP(B185,'[1]Outgoing to JEL'!$A$6:$G$5000,3,0),"")</f>
        <v/>
      </c>
      <c r="U185" s="15" t="str">
        <f>IFERROR(VLOOKUP(B185,'[1]Outgoing to JEL'!$A$6:$G$5000,2,0),"")</f>
        <v/>
      </c>
      <c r="V185" s="15" t="str">
        <f>IFERROR(VLOOKUP(B185,'[1]Outgoing to JEL'!$A$6:$G$5000,7,0),"")</f>
        <v/>
      </c>
      <c r="W185" s="3" t="str">
        <f t="shared" ref="W185:W187" si="230">IF(S185="Code A","Approved by PDO",IF(S185="Code B","Comments from PDO",IF(S185="Code C","Review not Required",IF(S185="Code D","Rejected by PDO",IF(V185="Code A","Approved by AIP",IF(V185="Code B","Comments from AIP",IF(V185="Code C","Review not Required",IF(V185="Code D","Rejected by AIP",IF(AND(M185="-",Q185="-"),"Pending for AIP review",IF(O185="IFI","Issued for Information",IF(M185&lt;&gt;"","Pending for PDO Approval",IF(L185="IFI","Issued for AIP Information",IF(J185&lt;&gt;"","Pending for PDO submission",IF(I185&lt;&gt;"","Pending from JEL",""))))))))))))))</f>
        <v>Pending for PDO submission</v>
      </c>
    </row>
    <row r="186" spans="1:23" s="16" customFormat="1" x14ac:dyDescent="0.2">
      <c r="A186" s="98"/>
      <c r="B186" s="58" t="str">
        <f t="shared" si="226"/>
        <v>KHF-00-104265-BA-5736-01308-0000-2</v>
      </c>
      <c r="C186" s="31" t="s">
        <v>398</v>
      </c>
      <c r="D186" s="32" t="s">
        <v>399</v>
      </c>
      <c r="E186" s="20">
        <v>2</v>
      </c>
      <c r="F186" s="20"/>
      <c r="G186" s="20"/>
      <c r="H186" s="20" t="str">
        <f t="shared" si="227"/>
        <v/>
      </c>
      <c r="I186" s="3" t="str">
        <f t="shared" ref="I186:I187" si="231">IFERROR(IF(OR(V185="Code B",V185="Code D",V185="-",ISNUMBER(J186)),T185+14,""),"")</f>
        <v/>
      </c>
      <c r="J186" s="15" t="str">
        <f>IFERROR(VLOOKUP(B186,'[1]Incoming from JEL'!$A$6:$G$5002,3,0),"")</f>
        <v/>
      </c>
      <c r="K186" s="15" t="str">
        <f>IFERROR(VLOOKUP(B186,'[1]Incoming from JEL'!$A$6:$G$5002,2,0),"")</f>
        <v/>
      </c>
      <c r="L186" s="15" t="str">
        <f>IFERROR(VLOOKUP(B186,'[1]Incoming from JEL'!$A$6:$G$5002,7,0),"")</f>
        <v/>
      </c>
      <c r="M186" s="15" t="str">
        <f>IFERROR(VLOOKUP(B186,'[2]Outgoing Transmittals to PDO'!$A$6:$G$20000,3,0),"")</f>
        <v/>
      </c>
      <c r="N186" s="15" t="str">
        <f>IFERROR(VLOOKUP(B186,'[2]Outgoing Transmittals to PDO'!$A$6:$G$20000,2,0),"")</f>
        <v/>
      </c>
      <c r="O186" s="15" t="str">
        <f>IFERROR(VLOOKUP(B186,'[2]Outgoing Transmittals to PDO'!$A$6:$G$20000,7,0),"")</f>
        <v/>
      </c>
      <c r="P186" s="15" t="str">
        <f t="shared" si="229"/>
        <v/>
      </c>
      <c r="Q186" s="15" t="str">
        <f>IFERROR(VLOOKUP(B186,'[3]Incoming Transmittals from PDO'!$A$6:$G$20000,3,0),"")</f>
        <v/>
      </c>
      <c r="R186" s="15" t="str">
        <f>IFERROR(VLOOKUP(B186,'[3]Incoming Transmittals from PDO'!$A$6:$G$20000,2,0),"")</f>
        <v/>
      </c>
      <c r="S186" s="15" t="str">
        <f>IFERROR(VLOOKUP(B186,'[3]Incoming Transmittals from PDO'!$A$6:$G$20000,7,0),"")</f>
        <v/>
      </c>
      <c r="T186" s="15" t="str">
        <f>IFERROR(VLOOKUP(B186,'[1]Outgoing to JEL'!$A$6:$G$5000,3,0),"")</f>
        <v/>
      </c>
      <c r="U186" s="15" t="str">
        <f>IFERROR(VLOOKUP(B186,'[1]Outgoing to JEL'!$A$6:$G$5000,2,0),"")</f>
        <v/>
      </c>
      <c r="V186" s="15" t="str">
        <f>IFERROR(VLOOKUP(B186,'[1]Outgoing to JEL'!$A$6:$G$5000,7,0),"")</f>
        <v/>
      </c>
      <c r="W186" s="3" t="str">
        <f t="shared" si="230"/>
        <v/>
      </c>
    </row>
    <row r="187" spans="1:23" s="16" customFormat="1" x14ac:dyDescent="0.2">
      <c r="A187" s="99"/>
      <c r="B187" s="58" t="str">
        <f t="shared" si="226"/>
        <v>KHF-00-104265-BA-5736-01308-0000-3</v>
      </c>
      <c r="C187" s="31" t="s">
        <v>398</v>
      </c>
      <c r="D187" s="32" t="s">
        <v>399</v>
      </c>
      <c r="E187" s="20">
        <v>3</v>
      </c>
      <c r="F187" s="20"/>
      <c r="G187" s="20"/>
      <c r="H187" s="20" t="str">
        <f t="shared" si="227"/>
        <v/>
      </c>
      <c r="I187" s="3" t="str">
        <f t="shared" si="231"/>
        <v/>
      </c>
      <c r="J187" s="15" t="str">
        <f>IFERROR(VLOOKUP(B187,'[1]Incoming from JEL'!$A$6:$G$5002,3,0),"")</f>
        <v/>
      </c>
      <c r="K187" s="15" t="str">
        <f>IFERROR(VLOOKUP(B187,'[1]Incoming from JEL'!$A$6:$G$5002,2,0),"")</f>
        <v/>
      </c>
      <c r="L187" s="15" t="str">
        <f>IFERROR(VLOOKUP(B187,'[1]Incoming from JEL'!$A$6:$G$5002,7,0),"")</f>
        <v/>
      </c>
      <c r="M187" s="15" t="str">
        <f>IFERROR(VLOOKUP(B187,'[2]Outgoing Transmittals to PDO'!$A$6:$G$20000,3,0),"")</f>
        <v/>
      </c>
      <c r="N187" s="15" t="str">
        <f>IFERROR(VLOOKUP(B187,'[2]Outgoing Transmittals to PDO'!$A$6:$G$20000,2,0),"")</f>
        <v/>
      </c>
      <c r="O187" s="15" t="str">
        <f>IFERROR(VLOOKUP(B187,'[2]Outgoing Transmittals to PDO'!$A$6:$G$20000,7,0),"")</f>
        <v/>
      </c>
      <c r="P187" s="15" t="str">
        <f t="shared" si="229"/>
        <v/>
      </c>
      <c r="Q187" s="15" t="str">
        <f>IFERROR(VLOOKUP(B187,'[3]Incoming Transmittals from PDO'!$A$6:$G$20000,3,0),"")</f>
        <v/>
      </c>
      <c r="R187" s="15" t="str">
        <f>IFERROR(VLOOKUP(B187,'[3]Incoming Transmittals from PDO'!$A$6:$G$20000,2,0),"")</f>
        <v/>
      </c>
      <c r="S187" s="15" t="str">
        <f>IFERROR(VLOOKUP(B187,'[3]Incoming Transmittals from PDO'!$A$6:$G$20000,7,0),"")</f>
        <v/>
      </c>
      <c r="T187" s="15" t="str">
        <f>IFERROR(VLOOKUP(B187,'[1]Outgoing to JEL'!$A$6:$G$5000,3,0),"")</f>
        <v/>
      </c>
      <c r="U187" s="15" t="str">
        <f>IFERROR(VLOOKUP(B187,'[1]Outgoing to JEL'!$A$6:$G$5000,2,0),"")</f>
        <v/>
      </c>
      <c r="V187" s="15" t="str">
        <f>IFERROR(VLOOKUP(B187,'[1]Outgoing to JEL'!$A$6:$G$5000,7,0),"")</f>
        <v/>
      </c>
      <c r="W187" s="3" t="str">
        <f t="shared" si="230"/>
        <v/>
      </c>
    </row>
    <row r="188" spans="1:23" s="16" customFormat="1" x14ac:dyDescent="0.2">
      <c r="A188" s="97">
        <f t="shared" ref="A188" si="232">A185+1</f>
        <v>59</v>
      </c>
      <c r="B188" s="50" t="str">
        <f t="shared" ref="B188:B190" si="233">CONCATENATE(C188,"-",E188)</f>
        <v>KHF-00-104265-QA-6050-01301-0000-1</v>
      </c>
      <c r="C188" s="31" t="s">
        <v>371</v>
      </c>
      <c r="D188" s="32" t="s">
        <v>372</v>
      </c>
      <c r="E188" s="20">
        <v>1</v>
      </c>
      <c r="F188" s="20"/>
      <c r="G188" s="20"/>
      <c r="H188" s="20" t="str">
        <f t="shared" si="206"/>
        <v/>
      </c>
      <c r="I188" s="3">
        <f t="shared" ref="I188" si="234">J188</f>
        <v>43552</v>
      </c>
      <c r="J188" s="15">
        <f>IFERROR(VLOOKUP(B188,'[1]Incoming from JEL'!$A$6:$G$5002,3,0),"")</f>
        <v>43552</v>
      </c>
      <c r="K188" s="15" t="str">
        <f>IFERROR(VLOOKUP(B188,'[1]Incoming from JEL'!$A$6:$G$5002,2,0),"")</f>
        <v>AIP-YKP-JEL-T-0029</v>
      </c>
      <c r="L188" s="15" t="str">
        <f>IFERROR(VLOOKUP(B188,'[1]Incoming from JEL'!$A$6:$G$5002,7,0),"")</f>
        <v>IFR</v>
      </c>
      <c r="M188" s="15">
        <f>IFERROR(VLOOKUP(B188,'[2]Outgoing Transmittals to PDO'!$A$6:$G$20000,3,0),"")</f>
        <v>43566</v>
      </c>
      <c r="N188" s="15" t="str">
        <f>IFERROR(VLOOKUP(B188,'[2]Outgoing Transmittals to PDO'!$A$6:$G$20000,2,0),"")</f>
        <v>AIP-PDO-P1701009-T-1153</v>
      </c>
      <c r="O188" s="15" t="str">
        <f>IFERROR(VLOOKUP(B188,'[2]Outgoing Transmittals to PDO'!$A$6:$G$20000,7,0),"")</f>
        <v>IFR</v>
      </c>
      <c r="P188" s="15">
        <f t="shared" ref="P188:P190" si="235">IF(ISNUMBER(M188),SUM(M188+14),"")</f>
        <v>43580</v>
      </c>
      <c r="Q188" s="15">
        <f>IFERROR(VLOOKUP(B188,'[3]Incoming Transmittals from PDO'!$A$6:$G$20000,3,0),"")</f>
        <v>43579</v>
      </c>
      <c r="R188" s="15" t="str">
        <f>IFERROR(VLOOKUP(B188,'[3]Incoming Transmittals from PDO'!$A$6:$G$20000,2,0),"")</f>
        <v>KHF_AIP_D_EXT_01205</v>
      </c>
      <c r="S188" s="15" t="str">
        <f>IFERROR(VLOOKUP(B188,'[3]Incoming Transmittals from PDO'!$A$6:$G$20000,7,0),"")</f>
        <v>Code B</v>
      </c>
      <c r="T188" s="15">
        <f>IFERROR(VLOOKUP(B188,'[1]Outgoing to JEL'!$A$6:$G$5000,3,0),"")</f>
        <v>43584</v>
      </c>
      <c r="U188" s="15" t="str">
        <f>IFERROR(VLOOKUP(B188,'[1]Outgoing to JEL'!$A$6:$G$5000,2,0),"")</f>
        <v>AIP-YKP-JEL-P1701009-T-0023</v>
      </c>
      <c r="V188" s="15" t="str">
        <f>IFERROR(VLOOKUP(B188,'[1]Outgoing to JEL'!$A$6:$G$5000,7,0),"")</f>
        <v>Code B</v>
      </c>
      <c r="W188" s="3" t="str">
        <f t="shared" ref="W188:W190" si="236">IF(S188="Code A","Approved by PDO",IF(S188="Code B","Comments from PDO",IF(S188="Code C","Review not Required",IF(S188="Code D","Rejected by PDO",IF(V188="Code A","Approved by AIP",IF(V188="Code B","Comments from AIP",IF(V188="Code C","Review not Required",IF(V188="Code D","Rejected by AIP",IF(AND(M188="-",Q188="-"),"Pending for AIP review",IF(O188="IFI","Issued for Information",IF(M188&lt;&gt;"","Pending for PDO Approval",IF(L188="IFI","Issued for AIP Information",IF(J188&lt;&gt;"","Pending for PDO submission",IF(I188&lt;&gt;"","Pending from JEL",""))))))))))))))</f>
        <v>Comments from PDO</v>
      </c>
    </row>
    <row r="189" spans="1:23" s="16" customFormat="1" x14ac:dyDescent="0.2">
      <c r="A189" s="98"/>
      <c r="B189" s="50" t="str">
        <f t="shared" si="233"/>
        <v>KHF-00-104265-QA-6050-01301-0000-2</v>
      </c>
      <c r="C189" s="31" t="s">
        <v>371</v>
      </c>
      <c r="D189" s="32" t="s">
        <v>372</v>
      </c>
      <c r="E189" s="20">
        <v>2</v>
      </c>
      <c r="F189" s="20"/>
      <c r="G189" s="20"/>
      <c r="H189" s="20" t="str">
        <f t="shared" ref="H189:H190" si="237">IF(AND(C189=C190,J190="",J189&lt;&gt;""),"L","")</f>
        <v>L</v>
      </c>
      <c r="I189" s="3">
        <f t="shared" ref="I189:I190" si="238">IFERROR(IF(OR(V188="Code B",V188="Code D",V188="-",ISNUMBER(J189)),T188+14,""),"")</f>
        <v>43598</v>
      </c>
      <c r="J189" s="15">
        <f>IFERROR(VLOOKUP(B189,'[1]Incoming from JEL'!$A$6:$G$5002,3,0),"")</f>
        <v>43583</v>
      </c>
      <c r="K189" s="15" t="str">
        <f>IFERROR(VLOOKUP(B189,'[1]Incoming from JEL'!$A$6:$G$5002,2,0),"")</f>
        <v>AIP-YKP-JEL-T-0029R1</v>
      </c>
      <c r="L189" s="15" t="str">
        <f>IFERROR(VLOOKUP(B189,'[1]Incoming from JEL'!$A$6:$G$5002,7,0),"")</f>
        <v>IFA</v>
      </c>
      <c r="M189" s="15">
        <f>IFERROR(VLOOKUP(B189,'[2]Outgoing Transmittals to PDO'!$A$6:$G$20000,3,0),"")</f>
        <v>43593</v>
      </c>
      <c r="N189" s="15" t="str">
        <f>IFERROR(VLOOKUP(B189,'[2]Outgoing Transmittals to PDO'!$A$6:$G$20000,2,0),"")</f>
        <v>AIP-PDO-P1701009-T-1197</v>
      </c>
      <c r="O189" s="15" t="str">
        <f>IFERROR(VLOOKUP(B189,'[2]Outgoing Transmittals to PDO'!$A$6:$G$20000,7,0),"")</f>
        <v>IFA</v>
      </c>
      <c r="P189" s="15">
        <f t="shared" si="235"/>
        <v>43607</v>
      </c>
      <c r="Q189" s="15">
        <f>IFERROR(VLOOKUP(B189,'[3]Incoming Transmittals from PDO'!$A$6:$G$20000,3,0),"")</f>
        <v>43604</v>
      </c>
      <c r="R189" s="15" t="str">
        <f>IFERROR(VLOOKUP(B189,'[3]Incoming Transmittals from PDO'!$A$6:$G$20000,2,0),"")</f>
        <v>KHF_AIP_D_EXT_01240</v>
      </c>
      <c r="S189" s="15" t="str">
        <f>IFERROR(VLOOKUP(B189,'[3]Incoming Transmittals from PDO'!$A$6:$G$20000,7,0),"")</f>
        <v>Code A</v>
      </c>
      <c r="T189" s="15">
        <f>IFERROR(VLOOKUP(B189,'[1]Outgoing to JEL'!$A$6:$G$5000,3,0),"")</f>
        <v>43606</v>
      </c>
      <c r="U189" s="15" t="str">
        <f>IFERROR(VLOOKUP(B189,'[1]Outgoing to JEL'!$A$6:$G$5000,2,0),"")</f>
        <v>AIP-YKP-JEL-P1701009-T-0027</v>
      </c>
      <c r="V189" s="15" t="str">
        <f>IFERROR(VLOOKUP(B189,'[1]Outgoing to JEL'!$A$6:$G$5000,7,0),"")</f>
        <v>Code A</v>
      </c>
      <c r="W189" s="3" t="str">
        <f t="shared" si="236"/>
        <v>Approved by PDO</v>
      </c>
    </row>
    <row r="190" spans="1:23" s="16" customFormat="1" x14ac:dyDescent="0.2">
      <c r="A190" s="99"/>
      <c r="B190" s="50" t="str">
        <f t="shared" si="233"/>
        <v>KHF-00-104265-QA-6050-01301-0000-3</v>
      </c>
      <c r="C190" s="31" t="s">
        <v>371</v>
      </c>
      <c r="D190" s="32" t="s">
        <v>372</v>
      </c>
      <c r="E190" s="20">
        <v>3</v>
      </c>
      <c r="F190" s="20"/>
      <c r="G190" s="20"/>
      <c r="H190" s="20" t="str">
        <f t="shared" si="237"/>
        <v/>
      </c>
      <c r="I190" s="3" t="str">
        <f t="shared" si="238"/>
        <v/>
      </c>
      <c r="J190" s="15" t="str">
        <f>IFERROR(VLOOKUP(B190,'[1]Incoming from JEL'!$A$6:$G$5002,3,0),"")</f>
        <v/>
      </c>
      <c r="K190" s="15" t="str">
        <f>IFERROR(VLOOKUP(B190,'[1]Incoming from JEL'!$A$6:$G$5002,2,0),"")</f>
        <v/>
      </c>
      <c r="L190" s="15" t="str">
        <f>IFERROR(VLOOKUP(B190,'[1]Incoming from JEL'!$A$6:$G$5002,7,0),"")</f>
        <v/>
      </c>
      <c r="M190" s="15" t="str">
        <f>IFERROR(VLOOKUP(B190,'[2]Outgoing Transmittals to PDO'!$A$6:$G$20000,3,0),"")</f>
        <v/>
      </c>
      <c r="N190" s="15" t="str">
        <f>IFERROR(VLOOKUP(B190,'[2]Outgoing Transmittals to PDO'!$A$6:$G$20000,2,0),"")</f>
        <v/>
      </c>
      <c r="O190" s="15" t="str">
        <f>IFERROR(VLOOKUP(B190,'[2]Outgoing Transmittals to PDO'!$A$6:$G$20000,7,0),"")</f>
        <v/>
      </c>
      <c r="P190" s="15" t="str">
        <f t="shared" si="235"/>
        <v/>
      </c>
      <c r="Q190" s="15" t="str">
        <f>IFERROR(VLOOKUP(B190,'[3]Incoming Transmittals from PDO'!$A$6:$G$20000,3,0),"")</f>
        <v/>
      </c>
      <c r="R190" s="15" t="str">
        <f>IFERROR(VLOOKUP(B190,'[3]Incoming Transmittals from PDO'!$A$6:$G$20000,2,0),"")</f>
        <v/>
      </c>
      <c r="S190" s="15" t="str">
        <f>IFERROR(VLOOKUP(B190,'[3]Incoming Transmittals from PDO'!$A$6:$G$20000,7,0),"")</f>
        <v/>
      </c>
      <c r="T190" s="15" t="str">
        <f>IFERROR(VLOOKUP(B190,'[1]Outgoing to JEL'!$A$6:$G$5000,3,0),"")</f>
        <v/>
      </c>
      <c r="U190" s="15" t="str">
        <f>IFERROR(VLOOKUP(B190,'[1]Outgoing to JEL'!$A$6:$G$5000,2,0),"")</f>
        <v/>
      </c>
      <c r="V190" s="15" t="str">
        <f>IFERROR(VLOOKUP(B190,'[1]Outgoing to JEL'!$A$6:$G$5000,7,0),"")</f>
        <v/>
      </c>
      <c r="W190" s="3" t="str">
        <f t="shared" si="236"/>
        <v/>
      </c>
    </row>
    <row r="191" spans="1:23" s="16" customFormat="1" ht="21" x14ac:dyDescent="0.2">
      <c r="A191" s="97">
        <f t="shared" ref="A191" si="239">A188+1</f>
        <v>60</v>
      </c>
      <c r="B191" s="56" t="str">
        <f t="shared" ref="B191:B193" si="240">CONCATENATE(C191,"-",E191)</f>
        <v>KHF-00-104265-QA-5733-01311-0000-1</v>
      </c>
      <c r="C191" s="31" t="s">
        <v>386</v>
      </c>
      <c r="D191" s="32" t="s">
        <v>387</v>
      </c>
      <c r="E191" s="20">
        <v>1</v>
      </c>
      <c r="F191" s="20"/>
      <c r="G191" s="20"/>
      <c r="H191" s="20" t="str">
        <f t="shared" ref="H191:H196" si="241">IF(AND(C191=C192,J192="",J191&lt;&gt;""),"L","")</f>
        <v>L</v>
      </c>
      <c r="I191" s="3">
        <f t="shared" ref="I191" si="242">J191</f>
        <v>43571</v>
      </c>
      <c r="J191" s="15">
        <f>IFERROR(VLOOKUP(B191,'[1]Incoming from JEL'!$A$6:$G$5002,3,0),"")</f>
        <v>43571</v>
      </c>
      <c r="K191" s="15" t="str">
        <f>IFERROR(VLOOKUP(B191,'[1]Incoming from JEL'!$A$6:$G$5002,2,0),"")</f>
        <v>AIP-YKP-JEL-T-0036</v>
      </c>
      <c r="L191" s="15" t="str">
        <f>IFERROR(VLOOKUP(B191,'[1]Incoming from JEL'!$A$6:$G$5002,7,0),"")</f>
        <v>IFR</v>
      </c>
      <c r="M191" s="15">
        <f>IFERROR(VLOOKUP(B191,'[2]Outgoing Transmittals to PDO'!$A$6:$G$20000,3,0),"")</f>
        <v>43576</v>
      </c>
      <c r="N191" s="15" t="str">
        <f>IFERROR(VLOOKUP(B191,'[2]Outgoing Transmittals to PDO'!$A$6:$G$20000,2,0),"")</f>
        <v>AIP-PDO-P1701009-T-1174</v>
      </c>
      <c r="O191" s="15" t="str">
        <f>IFERROR(VLOOKUP(B191,'[2]Outgoing Transmittals to PDO'!$A$6:$G$20000,7,0),"")</f>
        <v>IFR</v>
      </c>
      <c r="P191" s="15">
        <f t="shared" ref="P191:P193" si="243">IF(ISNUMBER(M191),SUM(M191+14),"")</f>
        <v>43590</v>
      </c>
      <c r="Q191" s="15">
        <f>IFERROR(VLOOKUP(B191,'[3]Incoming Transmittals from PDO'!$A$6:$G$20000,3,0),"")</f>
        <v>43583</v>
      </c>
      <c r="R191" s="15" t="str">
        <f>IFERROR(VLOOKUP(B191,'[3]Incoming Transmittals from PDO'!$A$6:$G$20000,2,0),"")</f>
        <v>KHF_AIP_D_EXT_01206</v>
      </c>
      <c r="S191" s="15" t="str">
        <f>IFERROR(VLOOKUP(B191,'[3]Incoming Transmittals from PDO'!$A$6:$G$20000,7,0),"")</f>
        <v>Code A</v>
      </c>
      <c r="T191" s="15">
        <f>IFERROR(VLOOKUP(B191,'[1]Outgoing to JEL'!$A$6:$G$5000,3,0),"")</f>
        <v>43584</v>
      </c>
      <c r="U191" s="15" t="str">
        <f>IFERROR(VLOOKUP(B191,'[1]Outgoing to JEL'!$A$6:$G$5000,2,0),"")</f>
        <v>AIP-YKP-JEL-P1701009-T-0023</v>
      </c>
      <c r="V191" s="15" t="str">
        <f>IFERROR(VLOOKUP(B191,'[1]Outgoing to JEL'!$A$6:$G$5000,7,0),"")</f>
        <v>Code A</v>
      </c>
      <c r="W191" s="3" t="str">
        <f t="shared" ref="W191:W193" si="244">IF(S191="Code A","Approved by PDO",IF(S191="Code B","Comments from PDO",IF(S191="Code C","Review not Required",IF(S191="Code D","Rejected by PDO",IF(V191="Code A","Approved by AIP",IF(V191="Code B","Comments from AIP",IF(V191="Code C","Review not Required",IF(V191="Code D","Rejected by AIP",IF(AND(M191="-",Q191="-"),"Pending for AIP review",IF(O191="IFI","Issued for Information",IF(M191&lt;&gt;"","Pending for PDO Approval",IF(L191="IFI","Issued for AIP Information",IF(J191&lt;&gt;"","Pending for PDO submission",IF(I191&lt;&gt;"","Pending from JEL",""))))))))))))))</f>
        <v>Approved by PDO</v>
      </c>
    </row>
    <row r="192" spans="1:23" s="16" customFormat="1" ht="21" x14ac:dyDescent="0.2">
      <c r="A192" s="98"/>
      <c r="B192" s="56" t="str">
        <f t="shared" si="240"/>
        <v>KHF-00-104265-QA-5733-01311-0000-2</v>
      </c>
      <c r="C192" s="31" t="s">
        <v>386</v>
      </c>
      <c r="D192" s="32" t="s">
        <v>387</v>
      </c>
      <c r="E192" s="20">
        <v>2</v>
      </c>
      <c r="F192" s="20"/>
      <c r="G192" s="20"/>
      <c r="H192" s="20" t="str">
        <f t="shared" si="241"/>
        <v/>
      </c>
      <c r="I192" s="3" t="str">
        <f t="shared" ref="I192:I193" si="245">IFERROR(IF(OR(V191="Code B",V191="Code D",V191="-",ISNUMBER(J192)),T191+14,""),"")</f>
        <v/>
      </c>
      <c r="J192" s="15" t="str">
        <f>IFERROR(VLOOKUP(B192,'[1]Incoming from JEL'!$A$6:$G$5002,3,0),"")</f>
        <v/>
      </c>
      <c r="K192" s="15" t="str">
        <f>IFERROR(VLOOKUP(B192,'[1]Incoming from JEL'!$A$6:$G$5002,2,0),"")</f>
        <v/>
      </c>
      <c r="L192" s="15" t="str">
        <f>IFERROR(VLOOKUP(B192,'[1]Incoming from JEL'!$A$6:$G$5002,7,0),"")</f>
        <v/>
      </c>
      <c r="M192" s="15" t="str">
        <f>IFERROR(VLOOKUP(B192,'[2]Outgoing Transmittals to PDO'!$A$6:$G$20000,3,0),"")</f>
        <v/>
      </c>
      <c r="N192" s="15" t="str">
        <f>IFERROR(VLOOKUP(B192,'[2]Outgoing Transmittals to PDO'!$A$6:$G$20000,2,0),"")</f>
        <v/>
      </c>
      <c r="O192" s="15" t="str">
        <f>IFERROR(VLOOKUP(B192,'[2]Outgoing Transmittals to PDO'!$A$6:$G$20000,7,0),"")</f>
        <v/>
      </c>
      <c r="P192" s="15" t="str">
        <f t="shared" si="243"/>
        <v/>
      </c>
      <c r="Q192" s="15" t="str">
        <f>IFERROR(VLOOKUP(B192,'[3]Incoming Transmittals from PDO'!$A$6:$G$20000,3,0),"")</f>
        <v/>
      </c>
      <c r="R192" s="15" t="str">
        <f>IFERROR(VLOOKUP(B192,'[3]Incoming Transmittals from PDO'!$A$6:$G$20000,2,0),"")</f>
        <v/>
      </c>
      <c r="S192" s="15" t="str">
        <f>IFERROR(VLOOKUP(B192,'[3]Incoming Transmittals from PDO'!$A$6:$G$20000,7,0),"")</f>
        <v/>
      </c>
      <c r="T192" s="15" t="str">
        <f>IFERROR(VLOOKUP(B192,'[1]Outgoing to JEL'!$A$6:$G$5000,3,0),"")</f>
        <v/>
      </c>
      <c r="U192" s="15" t="str">
        <f>IFERROR(VLOOKUP(B192,'[1]Outgoing to JEL'!$A$6:$G$5000,2,0),"")</f>
        <v/>
      </c>
      <c r="V192" s="15" t="str">
        <f>IFERROR(VLOOKUP(B192,'[1]Outgoing to JEL'!$A$6:$G$5000,7,0),"")</f>
        <v/>
      </c>
      <c r="W192" s="3" t="str">
        <f t="shared" si="244"/>
        <v/>
      </c>
    </row>
    <row r="193" spans="1:23" s="16" customFormat="1" ht="21" x14ac:dyDescent="0.2">
      <c r="A193" s="99"/>
      <c r="B193" s="56" t="str">
        <f t="shared" si="240"/>
        <v>KHF-00-104265-QA-5733-01311-0000-3</v>
      </c>
      <c r="C193" s="31" t="s">
        <v>386</v>
      </c>
      <c r="D193" s="32" t="s">
        <v>387</v>
      </c>
      <c r="E193" s="20">
        <v>3</v>
      </c>
      <c r="F193" s="20"/>
      <c r="G193" s="20"/>
      <c r="H193" s="20" t="str">
        <f t="shared" si="241"/>
        <v/>
      </c>
      <c r="I193" s="3" t="str">
        <f t="shared" si="245"/>
        <v/>
      </c>
      <c r="J193" s="15" t="str">
        <f>IFERROR(VLOOKUP(B193,'[1]Incoming from JEL'!$A$6:$G$5002,3,0),"")</f>
        <v/>
      </c>
      <c r="K193" s="15" t="str">
        <f>IFERROR(VLOOKUP(B193,'[1]Incoming from JEL'!$A$6:$G$5002,2,0),"")</f>
        <v/>
      </c>
      <c r="L193" s="15" t="str">
        <f>IFERROR(VLOOKUP(B193,'[1]Incoming from JEL'!$A$6:$G$5002,7,0),"")</f>
        <v/>
      </c>
      <c r="M193" s="15" t="str">
        <f>IFERROR(VLOOKUP(B193,'[2]Outgoing Transmittals to PDO'!$A$6:$G$20000,3,0),"")</f>
        <v/>
      </c>
      <c r="N193" s="15" t="str">
        <f>IFERROR(VLOOKUP(B193,'[2]Outgoing Transmittals to PDO'!$A$6:$G$20000,2,0),"")</f>
        <v/>
      </c>
      <c r="O193" s="15" t="str">
        <f>IFERROR(VLOOKUP(B193,'[2]Outgoing Transmittals to PDO'!$A$6:$G$20000,7,0),"")</f>
        <v/>
      </c>
      <c r="P193" s="15" t="str">
        <f t="shared" si="243"/>
        <v/>
      </c>
      <c r="Q193" s="15" t="str">
        <f>IFERROR(VLOOKUP(B193,'[3]Incoming Transmittals from PDO'!$A$6:$G$20000,3,0),"")</f>
        <v/>
      </c>
      <c r="R193" s="15" t="str">
        <f>IFERROR(VLOOKUP(B193,'[3]Incoming Transmittals from PDO'!$A$6:$G$20000,2,0),"")</f>
        <v/>
      </c>
      <c r="S193" s="15" t="str">
        <f>IFERROR(VLOOKUP(B193,'[3]Incoming Transmittals from PDO'!$A$6:$G$20000,7,0),"")</f>
        <v/>
      </c>
      <c r="T193" s="15" t="str">
        <f>IFERROR(VLOOKUP(B193,'[1]Outgoing to JEL'!$A$6:$G$5000,3,0),"")</f>
        <v/>
      </c>
      <c r="U193" s="15" t="str">
        <f>IFERROR(VLOOKUP(B193,'[1]Outgoing to JEL'!$A$6:$G$5000,2,0),"")</f>
        <v/>
      </c>
      <c r="V193" s="15" t="str">
        <f>IFERROR(VLOOKUP(B193,'[1]Outgoing to JEL'!$A$6:$G$5000,7,0),"")</f>
        <v/>
      </c>
      <c r="W193" s="3" t="str">
        <f t="shared" si="244"/>
        <v/>
      </c>
    </row>
    <row r="194" spans="1:23" s="16" customFormat="1" x14ac:dyDescent="0.2">
      <c r="A194" s="97">
        <f t="shared" ref="A194" si="246">A191+1</f>
        <v>61</v>
      </c>
      <c r="B194" s="90" t="str">
        <f t="shared" ref="B194:B196" si="247">CONCATENATE(C194,"-",E194)</f>
        <v>KHF-00-104265-QA-5733-01312-0000-1</v>
      </c>
      <c r="C194" s="31" t="s">
        <v>481</v>
      </c>
      <c r="D194" s="32" t="s">
        <v>483</v>
      </c>
      <c r="E194" s="20">
        <v>1</v>
      </c>
      <c r="F194" s="20"/>
      <c r="G194" s="20"/>
      <c r="H194" s="20" t="str">
        <f t="shared" si="241"/>
        <v>L</v>
      </c>
      <c r="I194" s="3">
        <f t="shared" ref="I194" si="248">J194</f>
        <v>43778</v>
      </c>
      <c r="J194" s="15">
        <f>IFERROR(VLOOKUP(B194,'[1]Incoming from JEL'!$A$6:$G$5002,3,0),"")</f>
        <v>43778</v>
      </c>
      <c r="K194" s="15" t="str">
        <f>IFERROR(VLOOKUP(B194,'[1]Incoming from JEL'!$A$6:$G$5002,2,0),"")</f>
        <v>AIP-YKP-JEL -T-0084</v>
      </c>
      <c r="L194" s="15" t="str">
        <f>IFERROR(VLOOKUP(B194,'[1]Incoming from JEL'!$A$6:$G$5002,7,0),"")</f>
        <v>IFR</v>
      </c>
      <c r="M194" s="15">
        <f>IFERROR(VLOOKUP(B194,'[2]Outgoing Transmittals to PDO'!$A$6:$G$20000,3,0),"")</f>
        <v>43793</v>
      </c>
      <c r="N194" s="15" t="str">
        <f>IFERROR(VLOOKUP(B194,'[2]Outgoing Transmittals to PDO'!$A$6:$G$20000,2,0),"")</f>
        <v>AIP-PDO-P1701009-T-1507</v>
      </c>
      <c r="O194" s="15" t="str">
        <f>IFERROR(VLOOKUP(B194,'[2]Outgoing Transmittals to PDO'!$A$6:$G$20000,7,0),"")</f>
        <v>IFR</v>
      </c>
      <c r="P194" s="15">
        <f t="shared" ref="P194:P196" si="249">IF(ISNUMBER(M194),SUM(M194+14),"")</f>
        <v>43807</v>
      </c>
      <c r="Q194" s="15" t="str">
        <f>IFERROR(VLOOKUP(B194,'[3]Incoming Transmittals from PDO'!$A$6:$G$20000,3,0),"")</f>
        <v/>
      </c>
      <c r="R194" s="15" t="str">
        <f>IFERROR(VLOOKUP(B194,'[3]Incoming Transmittals from PDO'!$A$6:$G$20000,2,0),"")</f>
        <v/>
      </c>
      <c r="S194" s="15" t="str">
        <f>IFERROR(VLOOKUP(B194,'[3]Incoming Transmittals from PDO'!$A$6:$G$20000,7,0),"")</f>
        <v/>
      </c>
      <c r="T194" s="15" t="str">
        <f>IFERROR(VLOOKUP(B194,'[1]Outgoing to JEL'!$A$6:$G$5000,3,0),"")</f>
        <v/>
      </c>
      <c r="U194" s="15" t="str">
        <f>IFERROR(VLOOKUP(B194,'[1]Outgoing to JEL'!$A$6:$G$5000,2,0),"")</f>
        <v/>
      </c>
      <c r="V194" s="15" t="str">
        <f>IFERROR(VLOOKUP(B194,'[1]Outgoing to JEL'!$A$6:$G$5000,7,0),"")</f>
        <v/>
      </c>
      <c r="W194" s="3" t="str">
        <f t="shared" ref="W194:W196" si="250">IF(S194="Code A","Approved by PDO",IF(S194="Code B","Comments from PDO",IF(S194="Code C","Review not Required",IF(S194="Code D","Rejected by PDO",IF(V194="Code A","Approved by AIP",IF(V194="Code B","Comments from AIP",IF(V194="Code C","Review not Required",IF(V194="Code D","Rejected by AIP",IF(AND(M194="-",Q194="-"),"Pending for AIP review",IF(O194="IFI","Issued for Information",IF(M194&lt;&gt;"","Pending for PDO Approval",IF(L194="IFI","Issued for AIP Information",IF(J194&lt;&gt;"","Pending for PDO submission",IF(I194&lt;&gt;"","Pending from JEL",""))))))))))))))</f>
        <v>Pending for PDO Approval</v>
      </c>
    </row>
    <row r="195" spans="1:23" s="16" customFormat="1" x14ac:dyDescent="0.2">
      <c r="A195" s="98"/>
      <c r="B195" s="90" t="str">
        <f t="shared" si="247"/>
        <v>KHF-00-104265-QA-5733-01312-0000-2</v>
      </c>
      <c r="C195" s="31" t="s">
        <v>481</v>
      </c>
      <c r="D195" s="32" t="s">
        <v>483</v>
      </c>
      <c r="E195" s="20">
        <v>2</v>
      </c>
      <c r="F195" s="20"/>
      <c r="G195" s="20"/>
      <c r="H195" s="20" t="str">
        <f t="shared" si="241"/>
        <v/>
      </c>
      <c r="I195" s="3" t="str">
        <f t="shared" ref="I195:I196" si="251">IFERROR(IF(OR(V194="Code B",V194="Code D",V194="-",ISNUMBER(J195)),T194+14,""),"")</f>
        <v/>
      </c>
      <c r="J195" s="15" t="str">
        <f>IFERROR(VLOOKUP(B195,'[1]Incoming from JEL'!$A$6:$G$5002,3,0),"")</f>
        <v/>
      </c>
      <c r="K195" s="15" t="str">
        <f>IFERROR(VLOOKUP(B195,'[1]Incoming from JEL'!$A$6:$G$5002,2,0),"")</f>
        <v/>
      </c>
      <c r="L195" s="15" t="str">
        <f>IFERROR(VLOOKUP(B195,'[1]Incoming from JEL'!$A$6:$G$5002,7,0),"")</f>
        <v/>
      </c>
      <c r="M195" s="15" t="str">
        <f>IFERROR(VLOOKUP(B195,'[2]Outgoing Transmittals to PDO'!$A$6:$G$20000,3,0),"")</f>
        <v/>
      </c>
      <c r="N195" s="15" t="str">
        <f>IFERROR(VLOOKUP(B195,'[2]Outgoing Transmittals to PDO'!$A$6:$G$20000,2,0),"")</f>
        <v/>
      </c>
      <c r="O195" s="15" t="str">
        <f>IFERROR(VLOOKUP(B195,'[2]Outgoing Transmittals to PDO'!$A$6:$G$20000,7,0),"")</f>
        <v/>
      </c>
      <c r="P195" s="15" t="str">
        <f t="shared" si="249"/>
        <v/>
      </c>
      <c r="Q195" s="15" t="str">
        <f>IFERROR(VLOOKUP(B195,'[3]Incoming Transmittals from PDO'!$A$6:$G$20000,3,0),"")</f>
        <v/>
      </c>
      <c r="R195" s="15" t="str">
        <f>IFERROR(VLOOKUP(B195,'[3]Incoming Transmittals from PDO'!$A$6:$G$20000,2,0),"")</f>
        <v/>
      </c>
      <c r="S195" s="15" t="str">
        <f>IFERROR(VLOOKUP(B195,'[3]Incoming Transmittals from PDO'!$A$6:$G$20000,7,0),"")</f>
        <v/>
      </c>
      <c r="T195" s="15" t="str">
        <f>IFERROR(VLOOKUP(B195,'[1]Outgoing to JEL'!$A$6:$G$5000,3,0),"")</f>
        <v/>
      </c>
      <c r="U195" s="15" t="str">
        <f>IFERROR(VLOOKUP(B195,'[1]Outgoing to JEL'!$A$6:$G$5000,2,0),"")</f>
        <v/>
      </c>
      <c r="V195" s="15" t="str">
        <f>IFERROR(VLOOKUP(B195,'[1]Outgoing to JEL'!$A$6:$G$5000,7,0),"")</f>
        <v/>
      </c>
      <c r="W195" s="3" t="str">
        <f t="shared" si="250"/>
        <v/>
      </c>
    </row>
    <row r="196" spans="1:23" s="16" customFormat="1" x14ac:dyDescent="0.2">
      <c r="A196" s="99"/>
      <c r="B196" s="90" t="str">
        <f t="shared" si="247"/>
        <v>KHF-00-104265-QA-5733-01312-0000-3</v>
      </c>
      <c r="C196" s="31" t="s">
        <v>481</v>
      </c>
      <c r="D196" s="32" t="s">
        <v>483</v>
      </c>
      <c r="E196" s="20">
        <v>3</v>
      </c>
      <c r="F196" s="20"/>
      <c r="G196" s="20"/>
      <c r="H196" s="20" t="str">
        <f t="shared" si="241"/>
        <v/>
      </c>
      <c r="I196" s="3" t="str">
        <f t="shared" si="251"/>
        <v/>
      </c>
      <c r="J196" s="15" t="str">
        <f>IFERROR(VLOOKUP(B196,'[1]Incoming from JEL'!$A$6:$G$5002,3,0),"")</f>
        <v/>
      </c>
      <c r="K196" s="15" t="str">
        <f>IFERROR(VLOOKUP(B196,'[1]Incoming from JEL'!$A$6:$G$5002,2,0),"")</f>
        <v/>
      </c>
      <c r="L196" s="15" t="str">
        <f>IFERROR(VLOOKUP(B196,'[1]Incoming from JEL'!$A$6:$G$5002,7,0),"")</f>
        <v/>
      </c>
      <c r="M196" s="15" t="str">
        <f>IFERROR(VLOOKUP(B196,'[2]Outgoing Transmittals to PDO'!$A$6:$G$20000,3,0),"")</f>
        <v/>
      </c>
      <c r="N196" s="15" t="str">
        <f>IFERROR(VLOOKUP(B196,'[2]Outgoing Transmittals to PDO'!$A$6:$G$20000,2,0),"")</f>
        <v/>
      </c>
      <c r="O196" s="15" t="str">
        <f>IFERROR(VLOOKUP(B196,'[2]Outgoing Transmittals to PDO'!$A$6:$G$20000,7,0),"")</f>
        <v/>
      </c>
      <c r="P196" s="15" t="str">
        <f t="shared" si="249"/>
        <v/>
      </c>
      <c r="Q196" s="15" t="str">
        <f>IFERROR(VLOOKUP(B196,'[3]Incoming Transmittals from PDO'!$A$6:$G$20000,3,0),"")</f>
        <v/>
      </c>
      <c r="R196" s="15" t="str">
        <f>IFERROR(VLOOKUP(B196,'[3]Incoming Transmittals from PDO'!$A$6:$G$20000,2,0),"")</f>
        <v/>
      </c>
      <c r="S196" s="15" t="str">
        <f>IFERROR(VLOOKUP(B196,'[3]Incoming Transmittals from PDO'!$A$6:$G$20000,7,0),"")</f>
        <v/>
      </c>
      <c r="T196" s="15" t="str">
        <f>IFERROR(VLOOKUP(B196,'[1]Outgoing to JEL'!$A$6:$G$5000,3,0),"")</f>
        <v/>
      </c>
      <c r="U196" s="15" t="str">
        <f>IFERROR(VLOOKUP(B196,'[1]Outgoing to JEL'!$A$6:$G$5000,2,0),"")</f>
        <v/>
      </c>
      <c r="V196" s="15" t="str">
        <f>IFERROR(VLOOKUP(B196,'[1]Outgoing to JEL'!$A$6:$G$5000,7,0),"")</f>
        <v/>
      </c>
      <c r="W196" s="3" t="str">
        <f t="shared" si="250"/>
        <v/>
      </c>
    </row>
    <row r="197" spans="1:23" s="16" customFormat="1" x14ac:dyDescent="0.2">
      <c r="A197" s="97">
        <f t="shared" ref="A197" si="252">A194+1</f>
        <v>62</v>
      </c>
      <c r="B197" s="57" t="str">
        <f t="shared" ref="B197:B199" si="253">CONCATENATE(C197,"-",E197)</f>
        <v>KHF-00-104265-AA-3341-01301-0000-1</v>
      </c>
      <c r="C197" s="31" t="s">
        <v>388</v>
      </c>
      <c r="D197" s="32" t="s">
        <v>390</v>
      </c>
      <c r="E197" s="20">
        <v>1</v>
      </c>
      <c r="F197" s="20"/>
      <c r="G197" s="20"/>
      <c r="H197" s="20" t="str">
        <f t="shared" ref="H197:H199" si="254">IF(AND(C197=C198,J198="",J197&lt;&gt;""),"L","")</f>
        <v>L</v>
      </c>
      <c r="I197" s="3">
        <f t="shared" ref="I197" si="255">J197</f>
        <v>43573</v>
      </c>
      <c r="J197" s="15">
        <f>IFERROR(VLOOKUP(B197,'[1]Incoming from JEL'!$A$6:$G$5002,3,0),"")</f>
        <v>43573</v>
      </c>
      <c r="K197" s="15" t="str">
        <f>IFERROR(VLOOKUP(B197,'[1]Incoming from JEL'!$A$6:$G$5002,2,0),"")</f>
        <v>AIP-YKP-JEL-T-0037</v>
      </c>
      <c r="L197" s="15" t="str">
        <f>IFERROR(VLOOKUP(B197,'[1]Incoming from JEL'!$A$6:$G$5002,7,0),"")</f>
        <v>IFA</v>
      </c>
      <c r="M197" s="15">
        <f>IFERROR(VLOOKUP(B197,'[2]Outgoing Transmittals to PDO'!$A$6:$G$20000,3,0),"")</f>
        <v>43573</v>
      </c>
      <c r="N197" s="15" t="str">
        <f>IFERROR(VLOOKUP(B197,'[2]Outgoing Transmittals to PDO'!$A$6:$G$20000,2,0),"")</f>
        <v>AIP-PDO-P1701009-T-1171</v>
      </c>
      <c r="O197" s="15" t="str">
        <f>IFERROR(VLOOKUP(B197,'[2]Outgoing Transmittals to PDO'!$A$6:$G$20000,7,0),"")</f>
        <v>IFA</v>
      </c>
      <c r="P197" s="15">
        <f t="shared" ref="P197:P199" si="256">IF(ISNUMBER(M197),SUM(M197+14),"")</f>
        <v>43587</v>
      </c>
      <c r="Q197" s="15">
        <f>IFERROR(VLOOKUP(B197,'[3]Incoming Transmittals from PDO'!$A$6:$G$20000,3,0),"")</f>
        <v>43578</v>
      </c>
      <c r="R197" s="15" t="str">
        <f>IFERROR(VLOOKUP(B197,'[3]Incoming Transmittals from PDO'!$A$6:$G$20000,2,0),"")</f>
        <v>KHF_AIP_D_EXT_01194</v>
      </c>
      <c r="S197" s="15" t="str">
        <f>IFERROR(VLOOKUP(B197,'[3]Incoming Transmittals from PDO'!$A$6:$G$20000,7,0),"")</f>
        <v>Code A</v>
      </c>
      <c r="T197" s="15">
        <f>IFERROR(VLOOKUP(B197,'[1]Outgoing to JEL'!$A$6:$G$5000,3,0),"")</f>
        <v>43578</v>
      </c>
      <c r="U197" s="15" t="str">
        <f>IFERROR(VLOOKUP(B197,'[1]Outgoing to JEL'!$A$6:$G$5000,2,0),"")</f>
        <v>AIP-YKP-JEL-P1701009-T-0022</v>
      </c>
      <c r="V197" s="15" t="str">
        <f>IFERROR(VLOOKUP(B197,'[1]Outgoing to JEL'!$A$6:$G$5000,7,0),"")</f>
        <v>Code A</v>
      </c>
      <c r="W197" s="3" t="str">
        <f t="shared" ref="W197:W199" si="257">IF(S197="Code A","Approved by PDO",IF(S197="Code B","Comments from PDO",IF(S197="Code C","Review not Required",IF(S197="Code D","Rejected by PDO",IF(V197="Code A","Approved by AIP",IF(V197="Code B","Comments from AIP",IF(V197="Code C","Review not Required",IF(V197="Code D","Rejected by AIP",IF(AND(M197="-",Q197="-"),"Pending for AIP review",IF(O197="IFI","Issued for Information",IF(M197&lt;&gt;"","Pending for PDO Approval",IF(L197="IFI","Issued for AIP Information",IF(J197&lt;&gt;"","Pending for PDO submission",IF(I197&lt;&gt;"","Pending from JEL",""))))))))))))))</f>
        <v>Approved by PDO</v>
      </c>
    </row>
    <row r="198" spans="1:23" s="16" customFormat="1" x14ac:dyDescent="0.2">
      <c r="A198" s="98"/>
      <c r="B198" s="57" t="str">
        <f t="shared" si="253"/>
        <v>KHF-00-104265-AA-3341-01301-0000-2</v>
      </c>
      <c r="C198" s="31" t="s">
        <v>388</v>
      </c>
      <c r="D198" s="32" t="s">
        <v>390</v>
      </c>
      <c r="E198" s="20">
        <v>2</v>
      </c>
      <c r="F198" s="20"/>
      <c r="G198" s="20"/>
      <c r="H198" s="20" t="str">
        <f t="shared" si="254"/>
        <v/>
      </c>
      <c r="I198" s="3" t="str">
        <f t="shared" ref="I198:I199" si="258">IFERROR(IF(OR(V197="Code B",V197="Code D",V197="-",ISNUMBER(J198)),T197+14,""),"")</f>
        <v/>
      </c>
      <c r="J198" s="15" t="str">
        <f>IFERROR(VLOOKUP(B198,'[1]Incoming from JEL'!$A$6:$G$5002,3,0),"")</f>
        <v/>
      </c>
      <c r="K198" s="15" t="str">
        <f>IFERROR(VLOOKUP(B198,'[1]Incoming from JEL'!$A$6:$G$5002,2,0),"")</f>
        <v/>
      </c>
      <c r="L198" s="15" t="str">
        <f>IFERROR(VLOOKUP(B198,'[1]Incoming from JEL'!$A$6:$G$5002,7,0),"")</f>
        <v/>
      </c>
      <c r="M198" s="15" t="str">
        <f>IFERROR(VLOOKUP(B198,'[2]Outgoing Transmittals to PDO'!$A$6:$G$20000,3,0),"")</f>
        <v/>
      </c>
      <c r="N198" s="15" t="str">
        <f>IFERROR(VLOOKUP(B198,'[2]Outgoing Transmittals to PDO'!$A$6:$G$20000,2,0),"")</f>
        <v/>
      </c>
      <c r="O198" s="15" t="str">
        <f>IFERROR(VLOOKUP(B198,'[2]Outgoing Transmittals to PDO'!$A$6:$G$20000,7,0),"")</f>
        <v/>
      </c>
      <c r="P198" s="15" t="str">
        <f t="shared" si="256"/>
        <v/>
      </c>
      <c r="Q198" s="15" t="str">
        <f>IFERROR(VLOOKUP(B198,'[3]Incoming Transmittals from PDO'!$A$6:$G$20000,3,0),"")</f>
        <v/>
      </c>
      <c r="R198" s="15" t="str">
        <f>IFERROR(VLOOKUP(B198,'[3]Incoming Transmittals from PDO'!$A$6:$G$20000,2,0),"")</f>
        <v/>
      </c>
      <c r="S198" s="15" t="str">
        <f>IFERROR(VLOOKUP(B198,'[3]Incoming Transmittals from PDO'!$A$6:$G$20000,7,0),"")</f>
        <v/>
      </c>
      <c r="T198" s="15" t="str">
        <f>IFERROR(VLOOKUP(B198,'[1]Outgoing to JEL'!$A$6:$G$5000,3,0),"")</f>
        <v/>
      </c>
      <c r="U198" s="15" t="str">
        <f>IFERROR(VLOOKUP(B198,'[1]Outgoing to JEL'!$A$6:$G$5000,2,0),"")</f>
        <v/>
      </c>
      <c r="V198" s="15" t="str">
        <f>IFERROR(VLOOKUP(B198,'[1]Outgoing to JEL'!$A$6:$G$5000,7,0),"")</f>
        <v/>
      </c>
      <c r="W198" s="3" t="str">
        <f t="shared" si="257"/>
        <v/>
      </c>
    </row>
    <row r="199" spans="1:23" s="16" customFormat="1" x14ac:dyDescent="0.2">
      <c r="A199" s="99"/>
      <c r="B199" s="57" t="str">
        <f t="shared" si="253"/>
        <v>KHF-00-104265-AA-3341-01301-0000-3</v>
      </c>
      <c r="C199" s="31" t="s">
        <v>388</v>
      </c>
      <c r="D199" s="32" t="s">
        <v>390</v>
      </c>
      <c r="E199" s="20">
        <v>3</v>
      </c>
      <c r="F199" s="20"/>
      <c r="G199" s="20"/>
      <c r="H199" s="20" t="str">
        <f t="shared" si="254"/>
        <v/>
      </c>
      <c r="I199" s="3" t="str">
        <f t="shared" si="258"/>
        <v/>
      </c>
      <c r="J199" s="15" t="str">
        <f>IFERROR(VLOOKUP(B199,'[1]Incoming from JEL'!$A$6:$G$5002,3,0),"")</f>
        <v/>
      </c>
      <c r="K199" s="15" t="str">
        <f>IFERROR(VLOOKUP(B199,'[1]Incoming from JEL'!$A$6:$G$5002,2,0),"")</f>
        <v/>
      </c>
      <c r="L199" s="15" t="str">
        <f>IFERROR(VLOOKUP(B199,'[1]Incoming from JEL'!$A$6:$G$5002,7,0),"")</f>
        <v/>
      </c>
      <c r="M199" s="15" t="str">
        <f>IFERROR(VLOOKUP(B199,'[2]Outgoing Transmittals to PDO'!$A$6:$G$20000,3,0),"")</f>
        <v/>
      </c>
      <c r="N199" s="15" t="str">
        <f>IFERROR(VLOOKUP(B199,'[2]Outgoing Transmittals to PDO'!$A$6:$G$20000,2,0),"")</f>
        <v/>
      </c>
      <c r="O199" s="15" t="str">
        <f>IFERROR(VLOOKUP(B199,'[2]Outgoing Transmittals to PDO'!$A$6:$G$20000,7,0),"")</f>
        <v/>
      </c>
      <c r="P199" s="15" t="str">
        <f t="shared" si="256"/>
        <v/>
      </c>
      <c r="Q199" s="15" t="str">
        <f>IFERROR(VLOOKUP(B199,'[3]Incoming Transmittals from PDO'!$A$6:$G$20000,3,0),"")</f>
        <v/>
      </c>
      <c r="R199" s="15" t="str">
        <f>IFERROR(VLOOKUP(B199,'[3]Incoming Transmittals from PDO'!$A$6:$G$20000,2,0),"")</f>
        <v/>
      </c>
      <c r="S199" s="15" t="str">
        <f>IFERROR(VLOOKUP(B199,'[3]Incoming Transmittals from PDO'!$A$6:$G$20000,7,0),"")</f>
        <v/>
      </c>
      <c r="T199" s="15" t="str">
        <f>IFERROR(VLOOKUP(B199,'[1]Outgoing to JEL'!$A$6:$G$5000,3,0),"")</f>
        <v/>
      </c>
      <c r="U199" s="15" t="str">
        <f>IFERROR(VLOOKUP(B199,'[1]Outgoing to JEL'!$A$6:$G$5000,2,0),"")</f>
        <v/>
      </c>
      <c r="V199" s="15" t="str">
        <f>IFERROR(VLOOKUP(B199,'[1]Outgoing to JEL'!$A$6:$G$5000,7,0),"")</f>
        <v/>
      </c>
      <c r="W199" s="3" t="str">
        <f t="shared" si="257"/>
        <v/>
      </c>
    </row>
    <row r="200" spans="1:23" s="16" customFormat="1" x14ac:dyDescent="0.2">
      <c r="A200" s="97">
        <f>A197+1</f>
        <v>63</v>
      </c>
      <c r="B200" s="58" t="str">
        <f t="shared" ref="B200:B205" si="259">CONCATENATE(C200,"-",E200)</f>
        <v>KHF-00-104265-AA-3341-01302-0000-1</v>
      </c>
      <c r="C200" s="31" t="s">
        <v>394</v>
      </c>
      <c r="D200" s="32" t="s">
        <v>395</v>
      </c>
      <c r="E200" s="20">
        <v>1</v>
      </c>
      <c r="F200" s="20"/>
      <c r="G200" s="20"/>
      <c r="H200" s="20" t="str">
        <f t="shared" ref="H200:H202" si="260">IF(AND(C200=C201,J201="",J200&lt;&gt;""),"L","")</f>
        <v>L</v>
      </c>
      <c r="I200" s="3">
        <f>J200</f>
        <v>43580</v>
      </c>
      <c r="J200" s="15">
        <f>IFERROR(VLOOKUP(B200,'[1]Incoming from JEL'!$A$6:$G$5002,3,0),"")</f>
        <v>43580</v>
      </c>
      <c r="K200" s="15" t="str">
        <f>IFERROR(VLOOKUP(B200,'[1]Incoming from JEL'!$A$6:$G$5002,2,0),"")</f>
        <v>AIP-YKP-JEL-T-0040</v>
      </c>
      <c r="L200" s="15" t="str">
        <f>IFERROR(VLOOKUP(B200,'[1]Incoming from JEL'!$A$6:$G$5002,7,0),"")</f>
        <v>IFA</v>
      </c>
      <c r="M200" s="15">
        <f>IFERROR(VLOOKUP(B200,'[2]Outgoing Transmittals to PDO'!$A$6:$G$20000,3,0),"")</f>
        <v>43580</v>
      </c>
      <c r="N200" s="15" t="str">
        <f>IFERROR(VLOOKUP(B200,'[2]Outgoing Transmittals to PDO'!$A$6:$G$20000,2,0),"")</f>
        <v>AIP-PDO-P1701009-T-1183</v>
      </c>
      <c r="O200" s="15" t="str">
        <f>IFERROR(VLOOKUP(B200,'[2]Outgoing Transmittals to PDO'!$A$6:$G$20000,7,0),"")</f>
        <v>IFR</v>
      </c>
      <c r="P200" s="15">
        <f t="shared" ref="P200:P205" si="261">IF(ISNUMBER(M200),SUM(M200+14),"")</f>
        <v>43594</v>
      </c>
      <c r="Q200" s="15">
        <f>IFERROR(VLOOKUP(B200,'[3]Incoming Transmittals from PDO'!$A$6:$G$20000,3,0),"")</f>
        <v>43583</v>
      </c>
      <c r="R200" s="15" t="str">
        <f>IFERROR(VLOOKUP(B200,'[3]Incoming Transmittals from PDO'!$A$6:$G$20000,2,0),"")</f>
        <v>KHF_AIP_D_EXT_01208</v>
      </c>
      <c r="S200" s="15" t="str">
        <f>IFERROR(VLOOKUP(B200,'[3]Incoming Transmittals from PDO'!$A$6:$G$20000,7,0),"")</f>
        <v>Code A</v>
      </c>
      <c r="T200" s="15">
        <f>IFERROR(VLOOKUP(B200,'[1]Outgoing to JEL'!$A$6:$G$5000,3,0),"")</f>
        <v>43584</v>
      </c>
      <c r="U200" s="15" t="str">
        <f>IFERROR(VLOOKUP(B200,'[1]Outgoing to JEL'!$A$6:$G$5000,2,0),"")</f>
        <v>AIP-YKP-JEL-P1701009-T-0023</v>
      </c>
      <c r="V200" s="15" t="str">
        <f>IFERROR(VLOOKUP(B200,'[1]Outgoing to JEL'!$A$6:$G$5000,7,0),"")</f>
        <v>Code A</v>
      </c>
      <c r="W200" s="3" t="str">
        <f t="shared" ref="W200:W205" si="262">IF(S200="Code A","Approved by PDO",IF(S200="Code B","Comments from PDO",IF(S200="Code C","Review not Required",IF(S200="Code D","Rejected by PDO",IF(V200="Code A","Approved by AIP",IF(V200="Code B","Comments from AIP",IF(V200="Code C","Review not Required",IF(V200="Code D","Rejected by AIP",IF(AND(M200="-",Q200="-"),"Pending for AIP review",IF(O200="IFI","Issued for Information",IF(M200&lt;&gt;"","Pending for PDO Approval",IF(L200="IFI","Issued for AIP Information",IF(J200&lt;&gt;"","Pending for PDO submission",IF(I200&lt;&gt;"","Pending from JEL",""))))))))))))))</f>
        <v>Approved by PDO</v>
      </c>
    </row>
    <row r="201" spans="1:23" s="16" customFormat="1" x14ac:dyDescent="0.2">
      <c r="A201" s="98"/>
      <c r="B201" s="58" t="str">
        <f t="shared" si="259"/>
        <v>KHF-00-104265-AA-3341-01302-0000-2</v>
      </c>
      <c r="C201" s="31" t="s">
        <v>394</v>
      </c>
      <c r="D201" s="32" t="s">
        <v>395</v>
      </c>
      <c r="E201" s="20">
        <v>2</v>
      </c>
      <c r="F201" s="20"/>
      <c r="G201" s="20"/>
      <c r="H201" s="20" t="str">
        <f t="shared" si="260"/>
        <v/>
      </c>
      <c r="I201" s="3" t="str">
        <f t="shared" ref="I201:I202" si="263">IFERROR(IF(OR(V200="Code B",V200="Code D",V200="-",ISNUMBER(J201)),T200+14,""),"")</f>
        <v/>
      </c>
      <c r="J201" s="15" t="str">
        <f>IFERROR(VLOOKUP(B201,'[1]Incoming from JEL'!$A$6:$G$5002,3,0),"")</f>
        <v/>
      </c>
      <c r="K201" s="15" t="str">
        <f>IFERROR(VLOOKUP(B201,'[1]Incoming from JEL'!$A$6:$G$5002,2,0),"")</f>
        <v/>
      </c>
      <c r="L201" s="15" t="str">
        <f>IFERROR(VLOOKUP(B201,'[1]Incoming from JEL'!$A$6:$G$5002,7,0),"")</f>
        <v/>
      </c>
      <c r="M201" s="15" t="str">
        <f>IFERROR(VLOOKUP(B201,'[2]Outgoing Transmittals to PDO'!$A$6:$G$20000,3,0),"")</f>
        <v/>
      </c>
      <c r="N201" s="15" t="str">
        <f>IFERROR(VLOOKUP(B201,'[2]Outgoing Transmittals to PDO'!$A$6:$G$20000,2,0),"")</f>
        <v/>
      </c>
      <c r="O201" s="15" t="str">
        <f>IFERROR(VLOOKUP(B201,'[2]Outgoing Transmittals to PDO'!$A$6:$G$20000,7,0),"")</f>
        <v/>
      </c>
      <c r="P201" s="15" t="str">
        <f t="shared" si="261"/>
        <v/>
      </c>
      <c r="Q201" s="15" t="str">
        <f>IFERROR(VLOOKUP(B201,'[3]Incoming Transmittals from PDO'!$A$6:$G$20000,3,0),"")</f>
        <v/>
      </c>
      <c r="R201" s="15" t="str">
        <f>IFERROR(VLOOKUP(B201,'[3]Incoming Transmittals from PDO'!$A$6:$G$20000,2,0),"")</f>
        <v/>
      </c>
      <c r="S201" s="15" t="str">
        <f>IFERROR(VLOOKUP(B201,'[3]Incoming Transmittals from PDO'!$A$6:$G$20000,7,0),"")</f>
        <v/>
      </c>
      <c r="T201" s="15" t="str">
        <f>IFERROR(VLOOKUP(B201,'[1]Outgoing to JEL'!$A$6:$G$5000,3,0),"")</f>
        <v/>
      </c>
      <c r="U201" s="15" t="str">
        <f>IFERROR(VLOOKUP(B201,'[1]Outgoing to JEL'!$A$6:$G$5000,2,0),"")</f>
        <v/>
      </c>
      <c r="V201" s="15" t="str">
        <f>IFERROR(VLOOKUP(B201,'[1]Outgoing to JEL'!$A$6:$G$5000,7,0),"")</f>
        <v/>
      </c>
      <c r="W201" s="3" t="str">
        <f t="shared" si="262"/>
        <v/>
      </c>
    </row>
    <row r="202" spans="1:23" s="16" customFormat="1" x14ac:dyDescent="0.2">
      <c r="A202" s="99"/>
      <c r="B202" s="58" t="str">
        <f t="shared" si="259"/>
        <v>KHF-00-104265-AA-3341-01302-0000-3</v>
      </c>
      <c r="C202" s="31" t="s">
        <v>394</v>
      </c>
      <c r="D202" s="32" t="s">
        <v>395</v>
      </c>
      <c r="E202" s="20">
        <v>3</v>
      </c>
      <c r="F202" s="20"/>
      <c r="G202" s="20"/>
      <c r="H202" s="20" t="str">
        <f t="shared" si="260"/>
        <v/>
      </c>
      <c r="I202" s="3" t="str">
        <f t="shared" si="263"/>
        <v/>
      </c>
      <c r="J202" s="15" t="str">
        <f>IFERROR(VLOOKUP(B202,'[1]Incoming from JEL'!$A$6:$G$5002,3,0),"")</f>
        <v/>
      </c>
      <c r="K202" s="15" t="str">
        <f>IFERROR(VLOOKUP(B202,'[1]Incoming from JEL'!$A$6:$G$5002,2,0),"")</f>
        <v/>
      </c>
      <c r="L202" s="15" t="str">
        <f>IFERROR(VLOOKUP(B202,'[1]Incoming from JEL'!$A$6:$G$5002,7,0),"")</f>
        <v/>
      </c>
      <c r="M202" s="15" t="str">
        <f>IFERROR(VLOOKUP(B202,'[2]Outgoing Transmittals to PDO'!$A$6:$G$20000,3,0),"")</f>
        <v/>
      </c>
      <c r="N202" s="15" t="str">
        <f>IFERROR(VLOOKUP(B202,'[2]Outgoing Transmittals to PDO'!$A$6:$G$20000,2,0),"")</f>
        <v/>
      </c>
      <c r="O202" s="15" t="str">
        <f>IFERROR(VLOOKUP(B202,'[2]Outgoing Transmittals to PDO'!$A$6:$G$20000,7,0),"")</f>
        <v/>
      </c>
      <c r="P202" s="15" t="str">
        <f t="shared" si="261"/>
        <v/>
      </c>
      <c r="Q202" s="15" t="str">
        <f>IFERROR(VLOOKUP(B202,'[3]Incoming Transmittals from PDO'!$A$6:$G$20000,3,0),"")</f>
        <v/>
      </c>
      <c r="R202" s="15" t="str">
        <f>IFERROR(VLOOKUP(B202,'[3]Incoming Transmittals from PDO'!$A$6:$G$20000,2,0),"")</f>
        <v/>
      </c>
      <c r="S202" s="15" t="str">
        <f>IFERROR(VLOOKUP(B202,'[3]Incoming Transmittals from PDO'!$A$6:$G$20000,7,0),"")</f>
        <v/>
      </c>
      <c r="T202" s="15" t="str">
        <f>IFERROR(VLOOKUP(B202,'[1]Outgoing to JEL'!$A$6:$G$5000,3,0),"")</f>
        <v/>
      </c>
      <c r="U202" s="15" t="str">
        <f>IFERROR(VLOOKUP(B202,'[1]Outgoing to JEL'!$A$6:$G$5000,2,0),"")</f>
        <v/>
      </c>
      <c r="V202" s="15" t="str">
        <f>IFERROR(VLOOKUP(B202,'[1]Outgoing to JEL'!$A$6:$G$5000,7,0),"")</f>
        <v/>
      </c>
      <c r="W202" s="3" t="str">
        <f t="shared" si="262"/>
        <v/>
      </c>
    </row>
    <row r="203" spans="1:23" s="16" customFormat="1" x14ac:dyDescent="0.2">
      <c r="A203" s="97">
        <f>A200+1</f>
        <v>64</v>
      </c>
      <c r="B203" s="59" t="str">
        <f t="shared" si="259"/>
        <v>KHF-00-104265-BA-6065-01314-0000-1</v>
      </c>
      <c r="C203" s="31" t="s">
        <v>400</v>
      </c>
      <c r="D203" s="32" t="s">
        <v>401</v>
      </c>
      <c r="E203" s="20">
        <v>1</v>
      </c>
      <c r="F203" s="20"/>
      <c r="G203" s="20"/>
      <c r="H203" s="20" t="str">
        <f t="shared" ref="H203:H208" si="264">IF(AND(C203=C204,J204="",J203&lt;&gt;""),"L","")</f>
        <v>L</v>
      </c>
      <c r="I203" s="3">
        <f t="shared" ref="I203" si="265">J203</f>
        <v>43583</v>
      </c>
      <c r="J203" s="15">
        <f>IFERROR(VLOOKUP(B203,'[1]Incoming from JEL'!$A$6:$G$5002,3,0),"")</f>
        <v>43583</v>
      </c>
      <c r="K203" s="15" t="str">
        <f>IFERROR(VLOOKUP(B203,'[1]Incoming from JEL'!$A$6:$G$5002,2,0),"")</f>
        <v>AIP-YKP-JEL -T-0015R7</v>
      </c>
      <c r="L203" s="15" t="str">
        <f>IFERROR(VLOOKUP(B203,'[1]Incoming from JEL'!$A$6:$G$5002,7,0),"")</f>
        <v>IFA</v>
      </c>
      <c r="M203" s="15">
        <f>IFERROR(VLOOKUP(B203,'[2]Outgoing Transmittals to PDO'!$A$6:$G$20000,3,0),"")</f>
        <v>43591</v>
      </c>
      <c r="N203" s="15" t="str">
        <f>IFERROR(VLOOKUP(B203,'[2]Outgoing Transmittals to PDO'!$A$6:$G$20000,2,0),"")</f>
        <v>AIP-PDO-P1701009-T-1196</v>
      </c>
      <c r="O203" s="15" t="str">
        <f>IFERROR(VLOOKUP(B203,'[2]Outgoing Transmittals to PDO'!$A$6:$G$20000,7,0),"")</f>
        <v>IFR</v>
      </c>
      <c r="P203" s="15">
        <f t="shared" si="261"/>
        <v>43605</v>
      </c>
      <c r="Q203" s="15">
        <f>IFERROR(VLOOKUP(B203,'[3]Incoming Transmittals from PDO'!$A$6:$G$20000,3,0),"")</f>
        <v>43599</v>
      </c>
      <c r="R203" s="15" t="str">
        <f>IFERROR(VLOOKUP(B203,'[3]Incoming Transmittals from PDO'!$A$6:$G$20000,2,0),"")</f>
        <v>KHF_AIP_D_EXT_01230</v>
      </c>
      <c r="S203" s="15" t="str">
        <f>IFERROR(VLOOKUP(B203,'[3]Incoming Transmittals from PDO'!$A$6:$G$20000,7,0),"")</f>
        <v>Code A</v>
      </c>
      <c r="T203" s="15">
        <f>IFERROR(VLOOKUP(B203,'[1]Outgoing to JEL'!$A$6:$G$5000,3,0),"")</f>
        <v>43601</v>
      </c>
      <c r="U203" s="15" t="str">
        <f>IFERROR(VLOOKUP(B203,'[1]Outgoing to JEL'!$A$6:$G$5000,2,0),"")</f>
        <v>AIP-YKP-JEL-P1701009-T-0026</v>
      </c>
      <c r="V203" s="15" t="str">
        <f>IFERROR(VLOOKUP(B203,'[1]Outgoing to JEL'!$A$6:$G$5000,7,0),"")</f>
        <v>Code A</v>
      </c>
      <c r="W203" s="3" t="str">
        <f t="shared" si="262"/>
        <v>Approved by PDO</v>
      </c>
    </row>
    <row r="204" spans="1:23" s="16" customFormat="1" x14ac:dyDescent="0.2">
      <c r="A204" s="98"/>
      <c r="B204" s="59" t="str">
        <f t="shared" si="259"/>
        <v>KHF-00-104265-BA-6065-01314-0000-2</v>
      </c>
      <c r="C204" s="31" t="s">
        <v>400</v>
      </c>
      <c r="D204" s="32" t="s">
        <v>401</v>
      </c>
      <c r="E204" s="20">
        <v>2</v>
      </c>
      <c r="F204" s="20"/>
      <c r="G204" s="20"/>
      <c r="H204" s="20" t="str">
        <f t="shared" si="264"/>
        <v/>
      </c>
      <c r="I204" s="3" t="str">
        <f t="shared" ref="I204:I205" si="266">IFERROR(IF(OR(V203="Code B",V203="Code D",V203="-",ISNUMBER(J204)),T203+14,""),"")</f>
        <v/>
      </c>
      <c r="J204" s="15" t="str">
        <f>IFERROR(VLOOKUP(B204,'[1]Incoming from JEL'!$A$6:$G$5002,3,0),"")</f>
        <v/>
      </c>
      <c r="K204" s="15" t="str">
        <f>IFERROR(VLOOKUP(B204,'[1]Incoming from JEL'!$A$6:$G$5002,2,0),"")</f>
        <v/>
      </c>
      <c r="L204" s="15" t="str">
        <f>IFERROR(VLOOKUP(B204,'[1]Incoming from JEL'!$A$6:$G$5002,7,0),"")</f>
        <v/>
      </c>
      <c r="M204" s="15" t="str">
        <f>IFERROR(VLOOKUP(B204,'[2]Outgoing Transmittals to PDO'!$A$6:$G$20000,3,0),"")</f>
        <v/>
      </c>
      <c r="N204" s="15" t="str">
        <f>IFERROR(VLOOKUP(B204,'[2]Outgoing Transmittals to PDO'!$A$6:$G$20000,2,0),"")</f>
        <v/>
      </c>
      <c r="O204" s="15" t="str">
        <f>IFERROR(VLOOKUP(B204,'[2]Outgoing Transmittals to PDO'!$A$6:$G$20000,7,0),"")</f>
        <v/>
      </c>
      <c r="P204" s="15" t="str">
        <f t="shared" si="261"/>
        <v/>
      </c>
      <c r="Q204" s="15" t="str">
        <f>IFERROR(VLOOKUP(B204,'[3]Incoming Transmittals from PDO'!$A$6:$G$20000,3,0),"")</f>
        <v/>
      </c>
      <c r="R204" s="15" t="str">
        <f>IFERROR(VLOOKUP(B204,'[3]Incoming Transmittals from PDO'!$A$6:$G$20000,2,0),"")</f>
        <v/>
      </c>
      <c r="S204" s="15" t="str">
        <f>IFERROR(VLOOKUP(B204,'[3]Incoming Transmittals from PDO'!$A$6:$G$20000,7,0),"")</f>
        <v/>
      </c>
      <c r="T204" s="15" t="str">
        <f>IFERROR(VLOOKUP(B204,'[1]Outgoing to JEL'!$A$6:$G$5000,3,0),"")</f>
        <v/>
      </c>
      <c r="U204" s="15" t="str">
        <f>IFERROR(VLOOKUP(B204,'[1]Outgoing to JEL'!$A$6:$G$5000,2,0),"")</f>
        <v/>
      </c>
      <c r="V204" s="15" t="str">
        <f>IFERROR(VLOOKUP(B204,'[1]Outgoing to JEL'!$A$6:$G$5000,7,0),"")</f>
        <v/>
      </c>
      <c r="W204" s="3" t="str">
        <f t="shared" si="262"/>
        <v/>
      </c>
    </row>
    <row r="205" spans="1:23" s="16" customFormat="1" x14ac:dyDescent="0.2">
      <c r="A205" s="99"/>
      <c r="B205" s="59" t="str">
        <f t="shared" si="259"/>
        <v>KHF-00-104265-BA-6065-01314-0000-3</v>
      </c>
      <c r="C205" s="31" t="s">
        <v>400</v>
      </c>
      <c r="D205" s="32" t="s">
        <v>401</v>
      </c>
      <c r="E205" s="20">
        <v>3</v>
      </c>
      <c r="F205" s="20"/>
      <c r="G205" s="20"/>
      <c r="H205" s="20" t="str">
        <f t="shared" si="264"/>
        <v/>
      </c>
      <c r="I205" s="3" t="str">
        <f t="shared" si="266"/>
        <v/>
      </c>
      <c r="J205" s="15" t="str">
        <f>IFERROR(VLOOKUP(B205,'[1]Incoming from JEL'!$A$6:$G$5002,3,0),"")</f>
        <v/>
      </c>
      <c r="K205" s="15" t="str">
        <f>IFERROR(VLOOKUP(B205,'[1]Incoming from JEL'!$A$6:$G$5002,2,0),"")</f>
        <v/>
      </c>
      <c r="L205" s="15" t="str">
        <f>IFERROR(VLOOKUP(B205,'[1]Incoming from JEL'!$A$6:$G$5002,7,0),"")</f>
        <v/>
      </c>
      <c r="M205" s="15" t="str">
        <f>IFERROR(VLOOKUP(B205,'[2]Outgoing Transmittals to PDO'!$A$6:$G$20000,3,0),"")</f>
        <v/>
      </c>
      <c r="N205" s="15" t="str">
        <f>IFERROR(VLOOKUP(B205,'[2]Outgoing Transmittals to PDO'!$A$6:$G$20000,2,0),"")</f>
        <v/>
      </c>
      <c r="O205" s="15" t="str">
        <f>IFERROR(VLOOKUP(B205,'[2]Outgoing Transmittals to PDO'!$A$6:$G$20000,7,0),"")</f>
        <v/>
      </c>
      <c r="P205" s="15" t="str">
        <f t="shared" si="261"/>
        <v/>
      </c>
      <c r="Q205" s="15" t="str">
        <f>IFERROR(VLOOKUP(B205,'[3]Incoming Transmittals from PDO'!$A$6:$G$20000,3,0),"")</f>
        <v/>
      </c>
      <c r="R205" s="15" t="str">
        <f>IFERROR(VLOOKUP(B205,'[3]Incoming Transmittals from PDO'!$A$6:$G$20000,2,0),"")</f>
        <v/>
      </c>
      <c r="S205" s="15" t="str">
        <f>IFERROR(VLOOKUP(B205,'[3]Incoming Transmittals from PDO'!$A$6:$G$20000,7,0),"")</f>
        <v/>
      </c>
      <c r="T205" s="15" t="str">
        <f>IFERROR(VLOOKUP(B205,'[1]Outgoing to JEL'!$A$6:$G$5000,3,0),"")</f>
        <v/>
      </c>
      <c r="U205" s="15" t="str">
        <f>IFERROR(VLOOKUP(B205,'[1]Outgoing to JEL'!$A$6:$G$5000,2,0),"")</f>
        <v/>
      </c>
      <c r="V205" s="15" t="str">
        <f>IFERROR(VLOOKUP(B205,'[1]Outgoing to JEL'!$A$6:$G$5000,7,0),"")</f>
        <v/>
      </c>
      <c r="W205" s="3" t="str">
        <f t="shared" si="262"/>
        <v/>
      </c>
    </row>
    <row r="206" spans="1:23" s="16" customFormat="1" x14ac:dyDescent="0.2">
      <c r="A206" s="97">
        <f>A203+1</f>
        <v>65</v>
      </c>
      <c r="B206" s="59" t="str">
        <f t="shared" ref="B206:B208" si="267">CONCATENATE(C206,"-",E206)</f>
        <v>KHF-00-104265-BA-6065-01315-0000-1</v>
      </c>
      <c r="C206" s="31" t="s">
        <v>402</v>
      </c>
      <c r="D206" s="32" t="s">
        <v>403</v>
      </c>
      <c r="E206" s="20">
        <v>1</v>
      </c>
      <c r="F206" s="20"/>
      <c r="G206" s="20"/>
      <c r="H206" s="20" t="str">
        <f t="shared" si="264"/>
        <v>L</v>
      </c>
      <c r="I206" s="3">
        <f>J206</f>
        <v>43583</v>
      </c>
      <c r="J206" s="15">
        <f>IFERROR(VLOOKUP(B206,'[1]Incoming from JEL'!$A$6:$G$5002,3,0),"")</f>
        <v>43583</v>
      </c>
      <c r="K206" s="15" t="str">
        <f>IFERROR(VLOOKUP(B206,'[1]Incoming from JEL'!$A$6:$G$5002,2,0),"")</f>
        <v>AIP-YKP-JEL -T-0015R7</v>
      </c>
      <c r="L206" s="15" t="str">
        <f>IFERROR(VLOOKUP(B206,'[1]Incoming from JEL'!$A$6:$G$5002,7,0),"")</f>
        <v>IFA</v>
      </c>
      <c r="M206" s="15">
        <f>IFERROR(VLOOKUP(B206,'[2]Outgoing Transmittals to PDO'!$A$6:$G$20000,3,0),"")</f>
        <v>43591</v>
      </c>
      <c r="N206" s="15" t="str">
        <f>IFERROR(VLOOKUP(B206,'[2]Outgoing Transmittals to PDO'!$A$6:$G$20000,2,0),"")</f>
        <v>AIP-PDO-P1701009-T-1196</v>
      </c>
      <c r="O206" s="15" t="str">
        <f>IFERROR(VLOOKUP(B206,'[2]Outgoing Transmittals to PDO'!$A$6:$G$20000,7,0),"")</f>
        <v>IFR</v>
      </c>
      <c r="P206" s="15">
        <f t="shared" ref="P206:P208" si="268">IF(ISNUMBER(M206),SUM(M206+14),"")</f>
        <v>43605</v>
      </c>
      <c r="Q206" s="15">
        <f>IFERROR(VLOOKUP(B206,'[3]Incoming Transmittals from PDO'!$A$6:$G$20000,3,0),"")</f>
        <v>43604</v>
      </c>
      <c r="R206" s="15" t="str">
        <f>IFERROR(VLOOKUP(B206,'[3]Incoming Transmittals from PDO'!$A$6:$G$20000,2,0),"")</f>
        <v>KHF_AIP_D_EXT_01239</v>
      </c>
      <c r="S206" s="15" t="str">
        <f>IFERROR(VLOOKUP(B206,'[3]Incoming Transmittals from PDO'!$A$6:$G$20000,7,0),"")</f>
        <v>Code A</v>
      </c>
      <c r="T206" s="15">
        <f>IFERROR(VLOOKUP(B206,'[1]Outgoing to JEL'!$A$6:$G$5000,3,0),"")</f>
        <v>43606</v>
      </c>
      <c r="U206" s="15" t="str">
        <f>IFERROR(VLOOKUP(B206,'[1]Outgoing to JEL'!$A$6:$G$5000,2,0),"")</f>
        <v>AIP-YKP-JEL-P1701009-T-0027</v>
      </c>
      <c r="V206" s="15" t="str">
        <f>IFERROR(VLOOKUP(B206,'[1]Outgoing to JEL'!$A$6:$G$5000,7,0),"")</f>
        <v>Code A</v>
      </c>
      <c r="W206" s="3" t="str">
        <f t="shared" ref="W206:W208" si="269">IF(S206="Code A","Approved by PDO",IF(S206="Code B","Comments from PDO",IF(S206="Code C","Review not Required",IF(S206="Code D","Rejected by PDO",IF(V206="Code A","Approved by AIP",IF(V206="Code B","Comments from AIP",IF(V206="Code C","Review not Required",IF(V206="Code D","Rejected by AIP",IF(AND(M206="-",Q206="-"),"Pending for AIP review",IF(O206="IFI","Issued for Information",IF(M206&lt;&gt;"","Pending for PDO Approval",IF(L206="IFI","Issued for AIP Information",IF(J206&lt;&gt;"","Pending for PDO submission",IF(I206&lt;&gt;"","Pending from JEL",""))))))))))))))</f>
        <v>Approved by PDO</v>
      </c>
    </row>
    <row r="207" spans="1:23" s="16" customFormat="1" x14ac:dyDescent="0.2">
      <c r="A207" s="98"/>
      <c r="B207" s="59" t="str">
        <f t="shared" si="267"/>
        <v>KHF-00-104265-BA-6065-01315-0000-2</v>
      </c>
      <c r="C207" s="31" t="s">
        <v>402</v>
      </c>
      <c r="D207" s="32" t="s">
        <v>403</v>
      </c>
      <c r="E207" s="20">
        <v>2</v>
      </c>
      <c r="F207" s="20"/>
      <c r="G207" s="20"/>
      <c r="H207" s="20" t="str">
        <f t="shared" si="264"/>
        <v/>
      </c>
      <c r="I207" s="3" t="str">
        <f t="shared" ref="I207:I208" si="270">IFERROR(IF(OR(V206="Code B",V206="Code D",V206="-",ISNUMBER(J207)),T206+14,""),"")</f>
        <v/>
      </c>
      <c r="J207" s="15" t="str">
        <f>IFERROR(VLOOKUP(B207,'[1]Incoming from JEL'!$A$6:$G$5002,3,0),"")</f>
        <v/>
      </c>
      <c r="K207" s="15" t="str">
        <f>IFERROR(VLOOKUP(B207,'[1]Incoming from JEL'!$A$6:$G$5002,2,0),"")</f>
        <v/>
      </c>
      <c r="L207" s="15" t="str">
        <f>IFERROR(VLOOKUP(B207,'[1]Incoming from JEL'!$A$6:$G$5002,7,0),"")</f>
        <v/>
      </c>
      <c r="M207" s="15" t="str">
        <f>IFERROR(VLOOKUP(B207,'[2]Outgoing Transmittals to PDO'!$A$6:$G$20000,3,0),"")</f>
        <v/>
      </c>
      <c r="N207" s="15" t="str">
        <f>IFERROR(VLOOKUP(B207,'[2]Outgoing Transmittals to PDO'!$A$6:$G$20000,2,0),"")</f>
        <v/>
      </c>
      <c r="O207" s="15" t="str">
        <f>IFERROR(VLOOKUP(B207,'[2]Outgoing Transmittals to PDO'!$A$6:$G$20000,7,0),"")</f>
        <v/>
      </c>
      <c r="P207" s="15" t="str">
        <f t="shared" si="268"/>
        <v/>
      </c>
      <c r="Q207" s="15" t="str">
        <f>IFERROR(VLOOKUP(B207,'[3]Incoming Transmittals from PDO'!$A$6:$G$20000,3,0),"")</f>
        <v/>
      </c>
      <c r="R207" s="15" t="str">
        <f>IFERROR(VLOOKUP(B207,'[3]Incoming Transmittals from PDO'!$A$6:$G$20000,2,0),"")</f>
        <v/>
      </c>
      <c r="S207" s="15" t="str">
        <f>IFERROR(VLOOKUP(B207,'[3]Incoming Transmittals from PDO'!$A$6:$G$20000,7,0),"")</f>
        <v/>
      </c>
      <c r="T207" s="15" t="str">
        <f>IFERROR(VLOOKUP(B207,'[1]Outgoing to JEL'!$A$6:$G$5000,3,0),"")</f>
        <v/>
      </c>
      <c r="U207" s="15" t="str">
        <f>IFERROR(VLOOKUP(B207,'[1]Outgoing to JEL'!$A$6:$G$5000,2,0),"")</f>
        <v/>
      </c>
      <c r="V207" s="15" t="str">
        <f>IFERROR(VLOOKUP(B207,'[1]Outgoing to JEL'!$A$6:$G$5000,7,0),"")</f>
        <v/>
      </c>
      <c r="W207" s="3" t="str">
        <f t="shared" si="269"/>
        <v/>
      </c>
    </row>
    <row r="208" spans="1:23" s="16" customFormat="1" x14ac:dyDescent="0.2">
      <c r="A208" s="99"/>
      <c r="B208" s="59" t="str">
        <f t="shared" si="267"/>
        <v>KHF-00-104265-BA-6065-01315-0000-3</v>
      </c>
      <c r="C208" s="31" t="s">
        <v>402</v>
      </c>
      <c r="D208" s="32" t="s">
        <v>403</v>
      </c>
      <c r="E208" s="20">
        <v>3</v>
      </c>
      <c r="F208" s="20"/>
      <c r="G208" s="20"/>
      <c r="H208" s="20" t="str">
        <f t="shared" si="264"/>
        <v/>
      </c>
      <c r="I208" s="3" t="str">
        <f t="shared" si="270"/>
        <v/>
      </c>
      <c r="J208" s="15" t="str">
        <f>IFERROR(VLOOKUP(B208,'[1]Incoming from JEL'!$A$6:$G$5002,3,0),"")</f>
        <v/>
      </c>
      <c r="K208" s="15" t="str">
        <f>IFERROR(VLOOKUP(B208,'[1]Incoming from JEL'!$A$6:$G$5002,2,0),"")</f>
        <v/>
      </c>
      <c r="L208" s="15" t="str">
        <f>IFERROR(VLOOKUP(B208,'[1]Incoming from JEL'!$A$6:$G$5002,7,0),"")</f>
        <v/>
      </c>
      <c r="M208" s="15" t="str">
        <f>IFERROR(VLOOKUP(B208,'[2]Outgoing Transmittals to PDO'!$A$6:$G$20000,3,0),"")</f>
        <v/>
      </c>
      <c r="N208" s="15" t="str">
        <f>IFERROR(VLOOKUP(B208,'[2]Outgoing Transmittals to PDO'!$A$6:$G$20000,2,0),"")</f>
        <v/>
      </c>
      <c r="O208" s="15" t="str">
        <f>IFERROR(VLOOKUP(B208,'[2]Outgoing Transmittals to PDO'!$A$6:$G$20000,7,0),"")</f>
        <v/>
      </c>
      <c r="P208" s="15" t="str">
        <f t="shared" si="268"/>
        <v/>
      </c>
      <c r="Q208" s="15" t="str">
        <f>IFERROR(VLOOKUP(B208,'[3]Incoming Transmittals from PDO'!$A$6:$G$20000,3,0),"")</f>
        <v/>
      </c>
      <c r="R208" s="15" t="str">
        <f>IFERROR(VLOOKUP(B208,'[3]Incoming Transmittals from PDO'!$A$6:$G$20000,2,0),"")</f>
        <v/>
      </c>
      <c r="S208" s="15" t="str">
        <f>IFERROR(VLOOKUP(B208,'[3]Incoming Transmittals from PDO'!$A$6:$G$20000,7,0),"")</f>
        <v/>
      </c>
      <c r="T208" s="15" t="str">
        <f>IFERROR(VLOOKUP(B208,'[1]Outgoing to JEL'!$A$6:$G$5000,3,0),"")</f>
        <v/>
      </c>
      <c r="U208" s="15" t="str">
        <f>IFERROR(VLOOKUP(B208,'[1]Outgoing to JEL'!$A$6:$G$5000,2,0),"")</f>
        <v/>
      </c>
      <c r="V208" s="15" t="str">
        <f>IFERROR(VLOOKUP(B208,'[1]Outgoing to JEL'!$A$6:$G$5000,7,0),"")</f>
        <v/>
      </c>
      <c r="W208" s="3" t="str">
        <f t="shared" si="269"/>
        <v/>
      </c>
    </row>
    <row r="209" spans="1:23" s="16" customFormat="1" x14ac:dyDescent="0.2">
      <c r="A209" s="97">
        <f>A206+1</f>
        <v>66</v>
      </c>
      <c r="B209" s="60" t="str">
        <f t="shared" ref="B209:B212" si="271">CONCATENATE(C209,"-",E209)</f>
        <v>KHF-00-104265-QA-6050-01302-0000-1</v>
      </c>
      <c r="C209" s="31" t="s">
        <v>406</v>
      </c>
      <c r="D209" s="32" t="s">
        <v>407</v>
      </c>
      <c r="E209" s="20">
        <v>1</v>
      </c>
      <c r="F209" s="20"/>
      <c r="G209" s="20"/>
      <c r="H209" s="20" t="str">
        <f t="shared" ref="H209:H213" si="272">IF(AND(C209=C210,J210="",J209&lt;&gt;""),"L","")</f>
        <v/>
      </c>
      <c r="I209" s="3">
        <f>J209</f>
        <v>43585</v>
      </c>
      <c r="J209" s="15">
        <f>IFERROR(VLOOKUP(B209,'[1]Incoming from JEL'!$A$6:$G$5002,3,0),"")</f>
        <v>43585</v>
      </c>
      <c r="K209" s="15" t="str">
        <f>IFERROR(VLOOKUP(B209,'[1]Incoming from JEL'!$A$6:$G$5002,2,0),"")</f>
        <v>AIP-YKP-JEL -T-0044</v>
      </c>
      <c r="L209" s="15" t="str">
        <f>IFERROR(VLOOKUP(B209,'[1]Incoming from JEL'!$A$6:$G$5002,7,0),"")</f>
        <v>IFR</v>
      </c>
      <c r="M209" s="15">
        <f>IFERROR(VLOOKUP(B209,'[2]Outgoing Transmittals to PDO'!$A$6:$G$20000,3,0),"")</f>
        <v>43591</v>
      </c>
      <c r="N209" s="15" t="str">
        <f>IFERROR(VLOOKUP(B209,'[2]Outgoing Transmittals to PDO'!$A$6:$G$20000,2,0),"")</f>
        <v>AIP-PDO-P1701009-T-1196</v>
      </c>
      <c r="O209" s="15" t="str">
        <f>IFERROR(VLOOKUP(B209,'[2]Outgoing Transmittals to PDO'!$A$6:$G$20000,7,0),"")</f>
        <v>IFR</v>
      </c>
      <c r="P209" s="15">
        <f t="shared" ref="P209:P212" si="273">IF(ISNUMBER(M209),SUM(M209+14),"")</f>
        <v>43605</v>
      </c>
      <c r="Q209" s="15">
        <f>IFERROR(VLOOKUP(B209,'[3]Incoming Transmittals from PDO'!$A$6:$G$20000,3,0),"")</f>
        <v>43604</v>
      </c>
      <c r="R209" s="15" t="str">
        <f>IFERROR(VLOOKUP(B209,'[3]Incoming Transmittals from PDO'!$A$6:$G$20000,2,0),"")</f>
        <v>KHF_AIP_D_EXT_01241</v>
      </c>
      <c r="S209" s="15" t="str">
        <f>IFERROR(VLOOKUP(B209,'[3]Incoming Transmittals from PDO'!$A$6:$G$20000,7,0),"")</f>
        <v>Code D</v>
      </c>
      <c r="T209" s="15">
        <f>IFERROR(VLOOKUP(B209,'[1]Outgoing to JEL'!$A$6:$G$5000,3,0),"")</f>
        <v>43606</v>
      </c>
      <c r="U209" s="15" t="str">
        <f>IFERROR(VLOOKUP(B209,'[1]Outgoing to JEL'!$A$6:$G$5000,2,0),"")</f>
        <v>AIP-YKP-JEL-P1701009-T-0027</v>
      </c>
      <c r="V209" s="15" t="str">
        <f>IFERROR(VLOOKUP(B209,'[1]Outgoing to JEL'!$A$6:$G$5000,7,0),"")</f>
        <v>Code D</v>
      </c>
      <c r="W209" s="3" t="str">
        <f t="shared" ref="W209:W212" si="274">IF(S209="Code A","Approved by PDO",IF(S209="Code B","Comments from PDO",IF(S209="Code C","Review not Required",IF(S209="Code D","Rejected by PDO",IF(V209="Code A","Approved by AIP",IF(V209="Code B","Comments from AIP",IF(V209="Code C","Review not Required",IF(V209="Code D","Rejected by AIP",IF(AND(M209="-",Q209="-"),"Pending for AIP review",IF(O209="IFI","Issued for Information",IF(M209&lt;&gt;"","Pending for PDO Approval",IF(L209="IFI","Issued for AIP Information",IF(J209&lt;&gt;"","Pending for PDO submission",IF(I209&lt;&gt;"","Pending from JEL",""))))))))))))))</f>
        <v>Rejected by PDO</v>
      </c>
    </row>
    <row r="210" spans="1:23" s="16" customFormat="1" x14ac:dyDescent="0.2">
      <c r="A210" s="98"/>
      <c r="B210" s="60" t="str">
        <f t="shared" si="271"/>
        <v>KHF-00-104265-QA-6050-01302-0000-2</v>
      </c>
      <c r="C210" s="31" t="s">
        <v>406</v>
      </c>
      <c r="D210" s="32" t="s">
        <v>407</v>
      </c>
      <c r="E210" s="20">
        <v>2</v>
      </c>
      <c r="F210" s="20"/>
      <c r="G210" s="20"/>
      <c r="H210" s="20" t="str">
        <f t="shared" si="272"/>
        <v/>
      </c>
      <c r="I210" s="3">
        <f t="shared" ref="I210:I212" si="275">IFERROR(IF(OR(V209="Code B",V209="Code D",V209="-",ISNUMBER(J210)),T209+14,""),"")</f>
        <v>43620</v>
      </c>
      <c r="J210" s="15">
        <f>IFERROR(VLOOKUP(B210,'[1]Incoming from JEL'!$A$6:$G$5002,3,0),"")</f>
        <v>43618</v>
      </c>
      <c r="K210" s="15" t="str">
        <f>IFERROR(VLOOKUP(B210,'[1]Incoming from JEL'!$A$6:$G$5002,2,0),"")</f>
        <v>AIP-YKP-JEL -T-0044R1</v>
      </c>
      <c r="L210" s="15" t="str">
        <f>IFERROR(VLOOKUP(B210,'[1]Incoming from JEL'!$A$6:$G$5002,7,0),"")</f>
        <v>IFA</v>
      </c>
      <c r="M210" s="15">
        <f>IFERROR(VLOOKUP(B210,'[2]Outgoing Transmittals to PDO'!$A$6:$G$20000,3,0),"")</f>
        <v>43619</v>
      </c>
      <c r="N210" s="15" t="str">
        <f>IFERROR(VLOOKUP(B210,'[2]Outgoing Transmittals to PDO'!$A$6:$G$20000,2,0),"")</f>
        <v>AIP-PDO-P1701009-T-1236</v>
      </c>
      <c r="O210" s="15" t="str">
        <f>IFERROR(VLOOKUP(B210,'[2]Outgoing Transmittals to PDO'!$A$6:$G$20000,7,0),"")</f>
        <v>IFA</v>
      </c>
      <c r="P210" s="15">
        <f t="shared" si="273"/>
        <v>43633</v>
      </c>
      <c r="Q210" s="15">
        <f>IFERROR(VLOOKUP(B210,'[3]Incoming Transmittals from PDO'!$A$6:$G$20000,3,0),"")</f>
        <v>43635</v>
      </c>
      <c r="R210" s="15" t="str">
        <f>IFERROR(VLOOKUP(B210,'[3]Incoming Transmittals from PDO'!$A$6:$G$20000,2,0),"")</f>
        <v>KHF_AIP_D_EXT_01274</v>
      </c>
      <c r="S210" s="15" t="str">
        <f>IFERROR(VLOOKUP(B210,'[3]Incoming Transmittals from PDO'!$A$6:$G$20000,7,0),"")</f>
        <v>Code B</v>
      </c>
      <c r="T210" s="15">
        <f>IFERROR(VLOOKUP(B210,'[1]Outgoing to JEL'!$A$6:$G$5000,3,0),"")</f>
        <v>43635</v>
      </c>
      <c r="U210" s="15" t="str">
        <f>IFERROR(VLOOKUP(B210,'[1]Outgoing to JEL'!$A$6:$G$5000,2,0),"")</f>
        <v>AIP-YKP-JEL-P1701009-T-0031</v>
      </c>
      <c r="V210" s="15" t="str">
        <f>IFERROR(VLOOKUP(B210,'[1]Outgoing to JEL'!$A$6:$G$5000,7,0),"")</f>
        <v>Code B</v>
      </c>
      <c r="W210" s="3" t="str">
        <f t="shared" si="274"/>
        <v>Comments from PDO</v>
      </c>
    </row>
    <row r="211" spans="1:23" s="16" customFormat="1" x14ac:dyDescent="0.2">
      <c r="A211" s="98"/>
      <c r="B211" s="73" t="str">
        <f t="shared" ref="B211" si="276">CONCATENATE(C211,"-",E211)</f>
        <v>KHF-00-104265-QA-6050-01302-0000-3</v>
      </c>
      <c r="C211" s="31" t="s">
        <v>406</v>
      </c>
      <c r="D211" s="32" t="s">
        <v>407</v>
      </c>
      <c r="E211" s="20">
        <v>3</v>
      </c>
      <c r="F211" s="20"/>
      <c r="G211" s="20"/>
      <c r="H211" s="20" t="str">
        <f t="shared" si="272"/>
        <v>L</v>
      </c>
      <c r="I211" s="3">
        <f t="shared" si="275"/>
        <v>43649</v>
      </c>
      <c r="J211" s="15">
        <f>IFERROR(VLOOKUP(B211,'[1]Incoming from JEL'!$A$6:$G$5002,3,0),"")</f>
        <v>43645</v>
      </c>
      <c r="K211" s="15" t="str">
        <f>IFERROR(VLOOKUP(B211,'[1]Incoming from JEL'!$A$6:$G$5002,2,0),"")</f>
        <v>AIP-YKP-JEL -T-0044R2</v>
      </c>
      <c r="L211" s="15" t="str">
        <f>IFERROR(VLOOKUP(B211,'[1]Incoming from JEL'!$A$6:$G$5002,7,0),"")</f>
        <v>IFA</v>
      </c>
      <c r="M211" s="15">
        <f>IFERROR(VLOOKUP(B211,'[2]Outgoing Transmittals to PDO'!$A$6:$G$20000,3,0),"")</f>
        <v>43646</v>
      </c>
      <c r="N211" s="15" t="str">
        <f>IFERROR(VLOOKUP(B211,'[2]Outgoing Transmittals to PDO'!$A$6:$G$20000,2,0),"")</f>
        <v>AIP-PDO-P1701009-T-1271</v>
      </c>
      <c r="O211" s="15" t="str">
        <f>IFERROR(VLOOKUP(B211,'[2]Outgoing Transmittals to PDO'!$A$6:$G$20000,7,0),"")</f>
        <v>IFA</v>
      </c>
      <c r="P211" s="15">
        <f t="shared" ref="P211" si="277">IF(ISNUMBER(M211),SUM(M211+14),"")</f>
        <v>43660</v>
      </c>
      <c r="Q211" s="15">
        <f>IFERROR(VLOOKUP(B211,'[3]Incoming Transmittals from PDO'!$A$6:$G$20000,3,0),"")</f>
        <v>43656</v>
      </c>
      <c r="R211" s="15" t="str">
        <f>IFERROR(VLOOKUP(B211,'[3]Incoming Transmittals from PDO'!$A$6:$G$20000,2,0),"")</f>
        <v>KHF_AIP_D_EXT_01323</v>
      </c>
      <c r="S211" s="15" t="str">
        <f>IFERROR(VLOOKUP(B211,'[3]Incoming Transmittals from PDO'!$A$6:$G$20000,7,0),"")</f>
        <v>Code A</v>
      </c>
      <c r="T211" s="15">
        <f>IFERROR(VLOOKUP(B211,'[1]Outgoing to JEL'!$A$6:$G$5000,3,0),"")</f>
        <v>43661</v>
      </c>
      <c r="U211" s="15" t="str">
        <f>IFERROR(VLOOKUP(B211,'[1]Outgoing to JEL'!$A$6:$G$5000,2,0),"")</f>
        <v>AIP-YKP-JEL-P1701009-T-0038</v>
      </c>
      <c r="V211" s="15" t="str">
        <f>IFERROR(VLOOKUP(B211,'[1]Outgoing to JEL'!$A$6:$G$5000,7,0),"")</f>
        <v>Code A</v>
      </c>
      <c r="W211" s="3" t="str">
        <f t="shared" ref="W211" si="278">IF(S211="Code A","Approved by PDO",IF(S211="Code B","Comments from PDO",IF(S211="Code C","Review not Required",IF(S211="Code D","Rejected by PDO",IF(V211="Code A","Approved by AIP",IF(V211="Code B","Comments from AIP",IF(V211="Code C","Review not Required",IF(V211="Code D","Rejected by AIP",IF(AND(M211="-",Q211="-"),"Pending for AIP review",IF(O211="IFI","Issued for Information",IF(M211&lt;&gt;"","Pending for PDO Approval",IF(L211="IFI","Issued for AIP Information",IF(J211&lt;&gt;"","Pending for PDO submission",IF(I211&lt;&gt;"","Pending from JEL",""))))))))))))))</f>
        <v>Approved by PDO</v>
      </c>
    </row>
    <row r="212" spans="1:23" s="16" customFormat="1" x14ac:dyDescent="0.2">
      <c r="A212" s="99"/>
      <c r="B212" s="60" t="str">
        <f t="shared" si="271"/>
        <v>KHF-00-104265-QA-6050-01302-0000-4</v>
      </c>
      <c r="C212" s="31" t="s">
        <v>406</v>
      </c>
      <c r="D212" s="32" t="s">
        <v>407</v>
      </c>
      <c r="E212" s="20">
        <v>4</v>
      </c>
      <c r="F212" s="20"/>
      <c r="G212" s="20"/>
      <c r="H212" s="20" t="str">
        <f t="shared" si="272"/>
        <v/>
      </c>
      <c r="I212" s="3" t="str">
        <f t="shared" si="275"/>
        <v/>
      </c>
      <c r="J212" s="15" t="str">
        <f>IFERROR(VLOOKUP(B212,'[1]Incoming from JEL'!$A$6:$G$5002,3,0),"")</f>
        <v/>
      </c>
      <c r="K212" s="15" t="str">
        <f>IFERROR(VLOOKUP(B212,'[1]Incoming from JEL'!$A$6:$G$5002,2,0),"")</f>
        <v/>
      </c>
      <c r="L212" s="15" t="str">
        <f>IFERROR(VLOOKUP(B212,'[1]Incoming from JEL'!$A$6:$G$5002,7,0),"")</f>
        <v/>
      </c>
      <c r="M212" s="15" t="str">
        <f>IFERROR(VLOOKUP(B212,'[2]Outgoing Transmittals to PDO'!$A$6:$G$20000,3,0),"")</f>
        <v/>
      </c>
      <c r="N212" s="15" t="str">
        <f>IFERROR(VLOOKUP(B212,'[2]Outgoing Transmittals to PDO'!$A$6:$G$20000,2,0),"")</f>
        <v/>
      </c>
      <c r="O212" s="15" t="str">
        <f>IFERROR(VLOOKUP(B212,'[2]Outgoing Transmittals to PDO'!$A$6:$G$20000,7,0),"")</f>
        <v/>
      </c>
      <c r="P212" s="15" t="str">
        <f t="shared" si="273"/>
        <v/>
      </c>
      <c r="Q212" s="15" t="str">
        <f>IFERROR(VLOOKUP(B212,'[3]Incoming Transmittals from PDO'!$A$6:$G$20000,3,0),"")</f>
        <v/>
      </c>
      <c r="R212" s="15" t="str">
        <f>IFERROR(VLOOKUP(B212,'[3]Incoming Transmittals from PDO'!$A$6:$G$20000,2,0),"")</f>
        <v/>
      </c>
      <c r="S212" s="15" t="str">
        <f>IFERROR(VLOOKUP(B212,'[3]Incoming Transmittals from PDO'!$A$6:$G$20000,7,0),"")</f>
        <v/>
      </c>
      <c r="T212" s="15" t="str">
        <f>IFERROR(VLOOKUP(B212,'[1]Outgoing to JEL'!$A$6:$G$5000,3,0),"")</f>
        <v/>
      </c>
      <c r="U212" s="15" t="str">
        <f>IFERROR(VLOOKUP(B212,'[1]Outgoing to JEL'!$A$6:$G$5000,2,0),"")</f>
        <v/>
      </c>
      <c r="V212" s="15" t="str">
        <f>IFERROR(VLOOKUP(B212,'[1]Outgoing to JEL'!$A$6:$G$5000,7,0),"")</f>
        <v/>
      </c>
      <c r="W212" s="3" t="str">
        <f t="shared" si="274"/>
        <v/>
      </c>
    </row>
    <row r="213" spans="1:23" s="16" customFormat="1" ht="21" x14ac:dyDescent="0.2">
      <c r="A213" s="97">
        <f>A209+1</f>
        <v>67</v>
      </c>
      <c r="B213" s="60" t="str">
        <f t="shared" ref="B213:B223" si="279">CONCATENATE(C213,"-",E213)</f>
        <v>KHF-00-104265-BA-6065-01316-0000-1</v>
      </c>
      <c r="C213" s="31" t="s">
        <v>410</v>
      </c>
      <c r="D213" s="32" t="s">
        <v>411</v>
      </c>
      <c r="E213" s="20">
        <v>1</v>
      </c>
      <c r="F213" s="20"/>
      <c r="G213" s="20"/>
      <c r="H213" s="20" t="str">
        <f t="shared" si="272"/>
        <v/>
      </c>
      <c r="I213" s="3">
        <f>J213</f>
        <v>43585</v>
      </c>
      <c r="J213" s="15">
        <f>IFERROR(VLOOKUP(B213,'[1]Incoming from JEL'!$A$6:$G$5002,3,0),"")</f>
        <v>43585</v>
      </c>
      <c r="K213" s="15" t="str">
        <f>IFERROR(VLOOKUP(B213,'[1]Incoming from JEL'!$A$6:$G$5002,2,0),"")</f>
        <v>AIP-YKP-JEL -T-0015R8</v>
      </c>
      <c r="L213" s="15" t="str">
        <f>IFERROR(VLOOKUP(B213,'[1]Incoming from JEL'!$A$6:$G$5002,7,0),"")</f>
        <v>IFR</v>
      </c>
      <c r="M213" s="15">
        <f>IFERROR(VLOOKUP(B213,'[2]Outgoing Transmittals to PDO'!$A$6:$G$20000,3,0),"")</f>
        <v>43591</v>
      </c>
      <c r="N213" s="15" t="str">
        <f>IFERROR(VLOOKUP(B213,'[2]Outgoing Transmittals to PDO'!$A$6:$G$20000,2,0),"")</f>
        <v>AIP-PDO-P1701009-T-1196</v>
      </c>
      <c r="O213" s="15" t="str">
        <f>IFERROR(VLOOKUP(B213,'[2]Outgoing Transmittals to PDO'!$A$6:$G$20000,7,0),"")</f>
        <v>IFR</v>
      </c>
      <c r="P213" s="15">
        <f t="shared" ref="P213:P223" si="280">IF(ISNUMBER(M213),SUM(M213+14),"")</f>
        <v>43605</v>
      </c>
      <c r="Q213" s="15">
        <f>IFERROR(VLOOKUP(B213,'[3]Incoming Transmittals from PDO'!$A$6:$G$20000,3,0),"")</f>
        <v>43604</v>
      </c>
      <c r="R213" s="15" t="str">
        <f>IFERROR(VLOOKUP(B213,'[3]Incoming Transmittals from PDO'!$A$6:$G$20000,2,0),"")</f>
        <v>KHF_AIP_D_EXT_01239</v>
      </c>
      <c r="S213" s="15" t="str">
        <f>IFERROR(VLOOKUP(B213,'[3]Incoming Transmittals from PDO'!$A$6:$G$20000,7,0),"")</f>
        <v>Code B</v>
      </c>
      <c r="T213" s="15">
        <f>IFERROR(VLOOKUP(B213,'[1]Outgoing to JEL'!$A$6:$G$5000,3,0),"")</f>
        <v>43606</v>
      </c>
      <c r="U213" s="15" t="str">
        <f>IFERROR(VLOOKUP(B213,'[1]Outgoing to JEL'!$A$6:$G$5000,2,0),"")</f>
        <v>AIP-YKP-JEL-P1701009-T-0027</v>
      </c>
      <c r="V213" s="15" t="str">
        <f>IFERROR(VLOOKUP(B213,'[1]Outgoing to JEL'!$A$6:$G$5000,7,0),"")</f>
        <v>Code B</v>
      </c>
      <c r="W213" s="3" t="str">
        <f t="shared" ref="W213:W223" si="281">IF(S213="Code A","Approved by PDO",IF(S213="Code B","Comments from PDO",IF(S213="Code C","Review not Required",IF(S213="Code D","Rejected by PDO",IF(V213="Code A","Approved by AIP",IF(V213="Code B","Comments from AIP",IF(V213="Code C","Review not Required",IF(V213="Code D","Rejected by AIP",IF(AND(M213="-",Q213="-"),"Pending for AIP review",IF(O213="IFI","Issued for Information",IF(M213&lt;&gt;"","Pending for PDO Approval",IF(L213="IFI","Issued for AIP Information",IF(J213&lt;&gt;"","Pending for PDO submission",IF(I213&lt;&gt;"","Pending from JEL",""))))))))))))))</f>
        <v>Comments from PDO</v>
      </c>
    </row>
    <row r="214" spans="1:23" s="16" customFormat="1" ht="21" x14ac:dyDescent="0.2">
      <c r="A214" s="98"/>
      <c r="B214" s="60" t="str">
        <f t="shared" si="279"/>
        <v>KHF-00-104265-BA-6065-01316-0000-2</v>
      </c>
      <c r="C214" s="31" t="s">
        <v>410</v>
      </c>
      <c r="D214" s="32" t="s">
        <v>411</v>
      </c>
      <c r="E214" s="20">
        <v>2</v>
      </c>
      <c r="F214" s="20"/>
      <c r="G214" s="20"/>
      <c r="H214" s="20" t="str">
        <f t="shared" ref="H214:H215" si="282">IF(AND(C214=C215,J215="",J214&lt;&gt;""),"L","")</f>
        <v>L</v>
      </c>
      <c r="I214" s="3">
        <f t="shared" ref="I214:I215" si="283">IFERROR(IF(OR(V213="Code B",V213="Code D",V213="-",ISNUMBER(J214)),T213+14,""),"")</f>
        <v>43620</v>
      </c>
      <c r="J214" s="15">
        <f>IFERROR(VLOOKUP(B214,'[1]Incoming from JEL'!$A$6:$G$5002,3,0),"")</f>
        <v>43627</v>
      </c>
      <c r="K214" s="15" t="str">
        <f>IFERROR(VLOOKUP(B214,'[1]Incoming from JEL'!$A$6:$G$5002,2,0),"")</f>
        <v>AIP-YKP-JEL -T-0015R12</v>
      </c>
      <c r="L214" s="15" t="str">
        <f>IFERROR(VLOOKUP(B214,'[1]Incoming from JEL'!$A$6:$G$5002,7,0),"")</f>
        <v>IFA</v>
      </c>
      <c r="M214" s="15">
        <f>IFERROR(VLOOKUP(B214,'[2]Outgoing Transmittals to PDO'!$A$6:$G$20000,3,0),"")</f>
        <v>43628</v>
      </c>
      <c r="N214" s="15" t="str">
        <f>IFERROR(VLOOKUP(B214,'[2]Outgoing Transmittals to PDO'!$A$6:$G$20000,2,0),"")</f>
        <v>AIP-PDO-P1701009-T-1250</v>
      </c>
      <c r="O214" s="15" t="str">
        <f>IFERROR(VLOOKUP(B214,'[2]Outgoing Transmittals to PDO'!$A$6:$G$20000,7,0),"")</f>
        <v>IFA</v>
      </c>
      <c r="P214" s="15">
        <f t="shared" si="280"/>
        <v>43642</v>
      </c>
      <c r="Q214" s="15">
        <f>IFERROR(VLOOKUP(B214,'[3]Incoming Transmittals from PDO'!$A$6:$G$20000,3,0),"")</f>
        <v>43649</v>
      </c>
      <c r="R214" s="15" t="str">
        <f>IFERROR(VLOOKUP(B214,'[3]Incoming Transmittals from PDO'!$A$6:$G$20000,2,0),"")</f>
        <v>KHF_AIP_D_EXT_01315</v>
      </c>
      <c r="S214" s="15" t="str">
        <f>IFERROR(VLOOKUP(B214,'[3]Incoming Transmittals from PDO'!$A$6:$G$20000,7,0),"")</f>
        <v>Code A</v>
      </c>
      <c r="T214" s="15">
        <f>IFERROR(VLOOKUP(B214,'[1]Outgoing to JEL'!$A$6:$G$5000,3,0),"")</f>
        <v>43649</v>
      </c>
      <c r="U214" s="15" t="str">
        <f>IFERROR(VLOOKUP(B214,'[1]Outgoing to JEL'!$A$6:$G$5000,2,0),"")</f>
        <v>AIP-YKP-JEL-P1701009-T-0035</v>
      </c>
      <c r="V214" s="15" t="str">
        <f>IFERROR(VLOOKUP(B214,'[1]Outgoing to JEL'!$A$6:$G$5000,7,0),"")</f>
        <v>Code A</v>
      </c>
      <c r="W214" s="3" t="str">
        <f t="shared" si="281"/>
        <v>Approved by PDO</v>
      </c>
    </row>
    <row r="215" spans="1:23" s="16" customFormat="1" ht="21" x14ac:dyDescent="0.2">
      <c r="A215" s="99"/>
      <c r="B215" s="60" t="str">
        <f t="shared" si="279"/>
        <v>KHF-00-104265-BA-6065-01316-0000-3</v>
      </c>
      <c r="C215" s="31" t="s">
        <v>410</v>
      </c>
      <c r="D215" s="32" t="s">
        <v>411</v>
      </c>
      <c r="E215" s="20">
        <v>3</v>
      </c>
      <c r="F215" s="20"/>
      <c r="G215" s="20"/>
      <c r="H215" s="20" t="str">
        <f t="shared" si="282"/>
        <v/>
      </c>
      <c r="I215" s="3" t="str">
        <f t="shared" si="283"/>
        <v/>
      </c>
      <c r="J215" s="15" t="str">
        <f>IFERROR(VLOOKUP(B215,'[1]Incoming from JEL'!$A$6:$G$5002,3,0),"")</f>
        <v/>
      </c>
      <c r="K215" s="15" t="str">
        <f>IFERROR(VLOOKUP(B215,'[1]Incoming from JEL'!$A$6:$G$5002,2,0),"")</f>
        <v/>
      </c>
      <c r="L215" s="15" t="str">
        <f>IFERROR(VLOOKUP(B215,'[1]Incoming from JEL'!$A$6:$G$5002,7,0),"")</f>
        <v/>
      </c>
      <c r="M215" s="15" t="str">
        <f>IFERROR(VLOOKUP(B215,'[2]Outgoing Transmittals to PDO'!$A$6:$G$20000,3,0),"")</f>
        <v/>
      </c>
      <c r="N215" s="15" t="str">
        <f>IFERROR(VLOOKUP(B215,'[2]Outgoing Transmittals to PDO'!$A$6:$G$20000,2,0),"")</f>
        <v/>
      </c>
      <c r="O215" s="15" t="str">
        <f>IFERROR(VLOOKUP(B215,'[2]Outgoing Transmittals to PDO'!$A$6:$G$20000,7,0),"")</f>
        <v/>
      </c>
      <c r="P215" s="15" t="str">
        <f t="shared" si="280"/>
        <v/>
      </c>
      <c r="Q215" s="15" t="str">
        <f>IFERROR(VLOOKUP(B215,'[3]Incoming Transmittals from PDO'!$A$6:$G$20000,3,0),"")</f>
        <v/>
      </c>
      <c r="R215" s="15" t="str">
        <f>IFERROR(VLOOKUP(B215,'[3]Incoming Transmittals from PDO'!$A$6:$G$20000,2,0),"")</f>
        <v/>
      </c>
      <c r="S215" s="15" t="str">
        <f>IFERROR(VLOOKUP(B215,'[3]Incoming Transmittals from PDO'!$A$6:$G$20000,7,0),"")</f>
        <v/>
      </c>
      <c r="T215" s="15" t="str">
        <f>IFERROR(VLOOKUP(B215,'[1]Outgoing to JEL'!$A$6:$G$5000,3,0),"")</f>
        <v/>
      </c>
      <c r="U215" s="15" t="str">
        <f>IFERROR(VLOOKUP(B215,'[1]Outgoing to JEL'!$A$6:$G$5000,2,0),"")</f>
        <v/>
      </c>
      <c r="V215" s="15" t="str">
        <f>IFERROR(VLOOKUP(B215,'[1]Outgoing to JEL'!$A$6:$G$5000,7,0),"")</f>
        <v/>
      </c>
      <c r="W215" s="3" t="str">
        <f t="shared" si="281"/>
        <v/>
      </c>
    </row>
    <row r="216" spans="1:23" s="16" customFormat="1" x14ac:dyDescent="0.2">
      <c r="A216" s="97">
        <f>A213+1</f>
        <v>68</v>
      </c>
      <c r="B216" s="62" t="str">
        <f t="shared" si="279"/>
        <v>KHF-00-104265-RA-6038-01312-0000-1</v>
      </c>
      <c r="C216" s="31" t="s">
        <v>413</v>
      </c>
      <c r="D216" s="32" t="s">
        <v>416</v>
      </c>
      <c r="E216" s="20">
        <v>1</v>
      </c>
      <c r="F216" s="20"/>
      <c r="G216" s="20"/>
      <c r="H216" s="20" t="str">
        <f t="shared" ref="H216:H231" si="284">IF(AND(C216=C217,J217="",J216&lt;&gt;""),"L","")</f>
        <v/>
      </c>
      <c r="I216" s="3">
        <f>J216</f>
        <v>43593</v>
      </c>
      <c r="J216" s="15">
        <f>IFERROR(VLOOKUP(B216,'[1]Incoming from JEL'!$A$6:$G$5002,3,0),"")</f>
        <v>43593</v>
      </c>
      <c r="K216" s="15" t="str">
        <f>IFERROR(VLOOKUP(B216,'[1]Incoming from JEL'!$A$6:$G$5002,2,0),"")</f>
        <v>AIP-YKP-JEL -T-0022R4</v>
      </c>
      <c r="L216" s="15" t="str">
        <f>IFERROR(VLOOKUP(B216,'[1]Incoming from JEL'!$A$6:$G$5002,7,0),"")</f>
        <v>IFR</v>
      </c>
      <c r="M216" s="15">
        <f>IFERROR(VLOOKUP(B216,'[2]Outgoing Transmittals to PDO'!$A$6:$G$20000,3,0),"")</f>
        <v>43607</v>
      </c>
      <c r="N216" s="15" t="str">
        <f>IFERROR(VLOOKUP(B216,'[2]Outgoing Transmittals to PDO'!$A$6:$G$20000,2,0),"")</f>
        <v>AIP-PDO-P1701009-T-1218</v>
      </c>
      <c r="O216" s="15" t="str">
        <f>IFERROR(VLOOKUP(B216,'[2]Outgoing Transmittals to PDO'!$A$6:$G$20000,7,0),"")</f>
        <v>IFR</v>
      </c>
      <c r="P216" s="15">
        <f t="shared" si="280"/>
        <v>43621</v>
      </c>
      <c r="Q216" s="15">
        <f>IFERROR(VLOOKUP(B216,'[3]Incoming Transmittals from PDO'!$A$6:$G$20000,3,0),"")</f>
        <v>43628</v>
      </c>
      <c r="R216" s="15" t="str">
        <f>IFERROR(VLOOKUP(B216,'[3]Incoming Transmittals from PDO'!$A$6:$G$20000,2,0),"")</f>
        <v>KHF_AIP_D_EXT_01262</v>
      </c>
      <c r="S216" s="15" t="str">
        <f>IFERROR(VLOOKUP(B216,'[3]Incoming Transmittals from PDO'!$A$6:$G$20000,7,0),"")</f>
        <v>Code B</v>
      </c>
      <c r="T216" s="15">
        <f>IFERROR(VLOOKUP(B216,'[1]Outgoing to JEL'!$A$6:$G$5000,3,0),"")</f>
        <v>43632</v>
      </c>
      <c r="U216" s="15" t="str">
        <f>IFERROR(VLOOKUP(B216,'[1]Outgoing to JEL'!$A$6:$G$5000,2,0),"")</f>
        <v>AIP-YKP-JEL-P1701009-T-0030</v>
      </c>
      <c r="V216" s="15" t="str">
        <f>IFERROR(VLOOKUP(B216,'[1]Outgoing to JEL'!$A$6:$G$5000,7,0),"")</f>
        <v>Code B</v>
      </c>
      <c r="W216" s="3" t="str">
        <f t="shared" si="281"/>
        <v>Comments from PDO</v>
      </c>
    </row>
    <row r="217" spans="1:23" s="16" customFormat="1" x14ac:dyDescent="0.2">
      <c r="A217" s="98"/>
      <c r="B217" s="62" t="str">
        <f t="shared" si="279"/>
        <v>KHF-00-104265-RA-6038-01312-0000-2</v>
      </c>
      <c r="C217" s="31" t="s">
        <v>413</v>
      </c>
      <c r="D217" s="32" t="s">
        <v>416</v>
      </c>
      <c r="E217" s="20">
        <v>2</v>
      </c>
      <c r="F217" s="20"/>
      <c r="G217" s="20"/>
      <c r="H217" s="20" t="str">
        <f t="shared" si="284"/>
        <v/>
      </c>
      <c r="I217" s="3">
        <f t="shared" ref="I217:I220" si="285">IFERROR(IF(OR(V216="Code B",V216="Code D",V216="-",ISNUMBER(J217)),T216+14,""),"")</f>
        <v>43646</v>
      </c>
      <c r="J217" s="15">
        <f>IFERROR(VLOOKUP(B217,'[1]Incoming from JEL'!$A$6:$G$5002,3,0),"")</f>
        <v>43645</v>
      </c>
      <c r="K217" s="15" t="str">
        <f>IFERROR(VLOOKUP(B217,'[1]Incoming from JEL'!$A$6:$G$5002,2,0),"")</f>
        <v>AIP-YKP-JEL -T-0022R6</v>
      </c>
      <c r="L217" s="15" t="str">
        <f>IFERROR(VLOOKUP(B217,'[1]Incoming from JEL'!$A$6:$G$5002,7,0),"")</f>
        <v>IFA</v>
      </c>
      <c r="M217" s="15">
        <f>IFERROR(VLOOKUP(B217,'[2]Outgoing Transmittals to PDO'!$A$6:$G$20000,3,0),"")</f>
        <v>43646</v>
      </c>
      <c r="N217" s="15" t="str">
        <f>IFERROR(VLOOKUP(B217,'[2]Outgoing Transmittals to PDO'!$A$6:$G$20000,2,0),"")</f>
        <v>AIP-PDO-P1701009-T-1272</v>
      </c>
      <c r="O217" s="15" t="str">
        <f>IFERROR(VLOOKUP(B217,'[2]Outgoing Transmittals to PDO'!$A$6:$G$20000,7,0),"")</f>
        <v>IFA</v>
      </c>
      <c r="P217" s="15">
        <f t="shared" si="280"/>
        <v>43660</v>
      </c>
      <c r="Q217" s="15">
        <f>IFERROR(VLOOKUP(B217,'[3]Incoming Transmittals from PDO'!$A$6:$G$20000,3,0),"")</f>
        <v>43650</v>
      </c>
      <c r="R217" s="15" t="str">
        <f>IFERROR(VLOOKUP(B217,'[3]Incoming Transmittals from PDO'!$A$6:$G$20000,2,0),"")</f>
        <v>KHF_AIP_D_EXT_01318</v>
      </c>
      <c r="S217" s="15" t="str">
        <f>IFERROR(VLOOKUP(B217,'[3]Incoming Transmittals from PDO'!$A$6:$G$20000,7,0),"")</f>
        <v>Code B</v>
      </c>
      <c r="T217" s="15">
        <f>IFERROR(VLOOKUP(B217,'[1]Outgoing to JEL'!$A$6:$G$5000,3,0),"")</f>
        <v>43653</v>
      </c>
      <c r="U217" s="15" t="str">
        <f>IFERROR(VLOOKUP(B217,'[1]Outgoing to JEL'!$A$6:$G$5000,2,0),"")</f>
        <v>AIP-YKP-JEL-P1701009-T-0036</v>
      </c>
      <c r="V217" s="15" t="str">
        <f>IFERROR(VLOOKUP(B217,'[1]Outgoing to JEL'!$A$6:$G$5000,7,0),"")</f>
        <v>Code B</v>
      </c>
      <c r="W217" s="3" t="str">
        <f t="shared" si="281"/>
        <v>Comments from PDO</v>
      </c>
    </row>
    <row r="218" spans="1:23" s="16" customFormat="1" x14ac:dyDescent="0.2">
      <c r="A218" s="98"/>
      <c r="B218" s="79" t="str">
        <f t="shared" ref="B218:B219" si="286">CONCATENATE(C218,"-",E218)</f>
        <v>KHF-00-104265-RA-6038-01312-0000-3</v>
      </c>
      <c r="C218" s="31" t="s">
        <v>413</v>
      </c>
      <c r="D218" s="32" t="s">
        <v>416</v>
      </c>
      <c r="E218" s="20">
        <v>3</v>
      </c>
      <c r="F218" s="20"/>
      <c r="G218" s="20"/>
      <c r="H218" s="20" t="str">
        <f t="shared" si="284"/>
        <v/>
      </c>
      <c r="I218" s="3">
        <f t="shared" si="285"/>
        <v>43667</v>
      </c>
      <c r="J218" s="15">
        <f>IFERROR(VLOOKUP(B218,'[1]Incoming from JEL'!$A$6:$G$5002,3,0),"")</f>
        <v>43664</v>
      </c>
      <c r="K218" s="15" t="str">
        <f>IFERROR(VLOOKUP(B218,'[1]Incoming from JEL'!$A$6:$G$5002,2,0),"")</f>
        <v>AIP-YKP-JEL -T-0022R8</v>
      </c>
      <c r="L218" s="15" t="str">
        <f>IFERROR(VLOOKUP(B218,'[1]Incoming from JEL'!$A$6:$G$5002,7,0),"")</f>
        <v>IFA</v>
      </c>
      <c r="M218" s="15">
        <f>IFERROR(VLOOKUP(B218,'[2]Outgoing Transmittals to PDO'!$A$6:$G$20000,3,0),"")</f>
        <v>43670</v>
      </c>
      <c r="N218" s="15" t="str">
        <f>IFERROR(VLOOKUP(B218,'[2]Outgoing Transmittals to PDO'!$A$6:$G$20000,2,0),"")</f>
        <v>AIP-PDO-P1701009-T-1313</v>
      </c>
      <c r="O218" s="15" t="str">
        <f>IFERROR(VLOOKUP(B218,'[2]Outgoing Transmittals to PDO'!$A$6:$G$20000,7,0),"")</f>
        <v>IFA</v>
      </c>
      <c r="P218" s="15">
        <f t="shared" ref="P218:P219" si="287">IF(ISNUMBER(M218),SUM(M218+14),"")</f>
        <v>43684</v>
      </c>
      <c r="Q218" s="15">
        <f>IFERROR(VLOOKUP(B218,'[3]Incoming Transmittals from PDO'!$A$6:$G$20000,3,0),"")</f>
        <v>43683</v>
      </c>
      <c r="R218" s="15" t="str">
        <f>IFERROR(VLOOKUP(B218,'[3]Incoming Transmittals from PDO'!$A$6:$G$20000,2,0),"")</f>
        <v>KHF_AIP_D_EXT_01375</v>
      </c>
      <c r="S218" s="15" t="str">
        <f>IFERROR(VLOOKUP(B218,'[3]Incoming Transmittals from PDO'!$A$6:$G$20000,7,0),"")</f>
        <v>Code B</v>
      </c>
      <c r="T218" s="15">
        <f>IFERROR(VLOOKUP(B218,'[1]Outgoing to JEL'!$A$6:$G$5000,3,0),"")</f>
        <v>43684</v>
      </c>
      <c r="U218" s="15" t="str">
        <f>IFERROR(VLOOKUP(B218,'[1]Outgoing to JEL'!$A$6:$G$5000,2,0),"")</f>
        <v>AIP-YKP-JEL-P1701009-T-0041</v>
      </c>
      <c r="V218" s="15" t="str">
        <f>IFERROR(VLOOKUP(B218,'[1]Outgoing to JEL'!$A$6:$G$5000,7,0),"")</f>
        <v>Code B</v>
      </c>
      <c r="W218" s="3" t="str">
        <f t="shared" ref="W218:W219" si="288">IF(S218="Code A","Approved by PDO",IF(S218="Code B","Comments from PDO",IF(S218="Code C","Review not Required",IF(S218="Code D","Rejected by PDO",IF(V218="Code A","Approved by AIP",IF(V218="Code B","Comments from AIP",IF(V218="Code C","Review not Required",IF(V218="Code D","Rejected by AIP",IF(AND(M218="-",Q218="-"),"Pending for AIP review",IF(O218="IFI","Issued for Information",IF(M218&lt;&gt;"","Pending for PDO Approval",IF(L218="IFI","Issued for AIP Information",IF(J218&lt;&gt;"","Pending for PDO submission",IF(I218&lt;&gt;"","Pending from JEL",""))))))))))))))</f>
        <v>Comments from PDO</v>
      </c>
    </row>
    <row r="219" spans="1:23" s="16" customFormat="1" x14ac:dyDescent="0.2">
      <c r="A219" s="98"/>
      <c r="B219" s="85" t="str">
        <f t="shared" si="286"/>
        <v>KHF-00-104265-RA-6038-01312-0000-4</v>
      </c>
      <c r="C219" s="31" t="s">
        <v>413</v>
      </c>
      <c r="D219" s="32" t="s">
        <v>416</v>
      </c>
      <c r="E219" s="20">
        <v>4</v>
      </c>
      <c r="F219" s="20"/>
      <c r="G219" s="20"/>
      <c r="H219" s="20" t="str">
        <f t="shared" ref="H219" si="289">IF(AND(C219=C220,J220="",J219&lt;&gt;""),"L","")</f>
        <v>L</v>
      </c>
      <c r="I219" s="3">
        <f t="shared" si="285"/>
        <v>43698</v>
      </c>
      <c r="J219" s="15">
        <f>IFERROR(VLOOKUP(B219,'[1]Incoming from JEL'!$A$6:$G$5002,3,0),"")</f>
        <v>43708</v>
      </c>
      <c r="K219" s="15" t="str">
        <f>IFERROR(VLOOKUP(B219,'[1]Incoming from JEL'!$A$6:$G$5002,2,0),"")</f>
        <v>AIP-YKP-JEL -T-0074</v>
      </c>
      <c r="L219" s="15" t="str">
        <f>IFERROR(VLOOKUP(B219,'[1]Incoming from JEL'!$A$6:$G$5002,7,0),"")</f>
        <v>IFA</v>
      </c>
      <c r="M219" s="15">
        <f>IFERROR(VLOOKUP(B219,'[2]Outgoing Transmittals to PDO'!$A$6:$G$20000,3,0),"")</f>
        <v>43710</v>
      </c>
      <c r="N219" s="15" t="str">
        <f>IFERROR(VLOOKUP(B219,'[2]Outgoing Transmittals to PDO'!$A$6:$G$20000,2,0),"")</f>
        <v>AIP-PDO-P1701009-T-1374</v>
      </c>
      <c r="O219" s="15" t="str">
        <f>IFERROR(VLOOKUP(B219,'[2]Outgoing Transmittals to PDO'!$A$6:$G$20000,7,0),"")</f>
        <v>IFA</v>
      </c>
      <c r="P219" s="15">
        <f t="shared" si="287"/>
        <v>43724</v>
      </c>
      <c r="Q219" s="15">
        <f>IFERROR(VLOOKUP(B219,'[3]Incoming Transmittals from PDO'!$A$6:$G$20000,3,0),"")</f>
        <v>43734</v>
      </c>
      <c r="R219" s="15" t="str">
        <f>IFERROR(VLOOKUP(B219,'[3]Incoming Transmittals from PDO'!$A$6:$G$20000,2,0),"")</f>
        <v>KHF_AIP_D_EXT_01449</v>
      </c>
      <c r="S219" s="15" t="str">
        <f>IFERROR(VLOOKUP(B219,'[3]Incoming Transmittals from PDO'!$A$6:$G$20000,7,0),"")</f>
        <v>Code A</v>
      </c>
      <c r="T219" s="15">
        <f>IFERROR(VLOOKUP(B219,'[1]Outgoing to JEL'!$A$6:$G$5000,3,0),"")</f>
        <v>43738</v>
      </c>
      <c r="U219" s="15" t="str">
        <f>IFERROR(VLOOKUP(B219,'[1]Outgoing to JEL'!$A$6:$G$5000,2,0),"")</f>
        <v>AIP-YKP-JEL-P1701009-T-0046</v>
      </c>
      <c r="V219" s="15" t="str">
        <f>IFERROR(VLOOKUP(B219,'[1]Outgoing to JEL'!$A$6:$G$5000,7,0),"")</f>
        <v>Code A</v>
      </c>
      <c r="W219" s="3" t="str">
        <f t="shared" si="288"/>
        <v>Approved by PDO</v>
      </c>
    </row>
    <row r="220" spans="1:23" s="16" customFormat="1" x14ac:dyDescent="0.2">
      <c r="A220" s="99"/>
      <c r="B220" s="62" t="str">
        <f t="shared" si="279"/>
        <v>KHF-00-104265-RA-6038-01312-0000-5</v>
      </c>
      <c r="C220" s="31" t="s">
        <v>413</v>
      </c>
      <c r="D220" s="32" t="s">
        <v>416</v>
      </c>
      <c r="E220" s="20">
        <v>5</v>
      </c>
      <c r="F220" s="20"/>
      <c r="G220" s="20"/>
      <c r="H220" s="20" t="str">
        <f t="shared" si="284"/>
        <v/>
      </c>
      <c r="I220" s="3" t="str">
        <f t="shared" si="285"/>
        <v/>
      </c>
      <c r="J220" s="15" t="str">
        <f>IFERROR(VLOOKUP(B220,'[1]Incoming from JEL'!$A$6:$G$5002,3,0),"")</f>
        <v/>
      </c>
      <c r="K220" s="15" t="str">
        <f>IFERROR(VLOOKUP(B220,'[1]Incoming from JEL'!$A$6:$G$5002,2,0),"")</f>
        <v/>
      </c>
      <c r="L220" s="15" t="str">
        <f>IFERROR(VLOOKUP(B220,'[1]Incoming from JEL'!$A$6:$G$5002,7,0),"")</f>
        <v/>
      </c>
      <c r="M220" s="15" t="str">
        <f>IFERROR(VLOOKUP(B220,'[2]Outgoing Transmittals to PDO'!$A$6:$G$20000,3,0),"")</f>
        <v/>
      </c>
      <c r="N220" s="15" t="str">
        <f>IFERROR(VLOOKUP(B220,'[2]Outgoing Transmittals to PDO'!$A$6:$G$20000,2,0),"")</f>
        <v/>
      </c>
      <c r="O220" s="15" t="str">
        <f>IFERROR(VLOOKUP(B220,'[2]Outgoing Transmittals to PDO'!$A$6:$G$20000,7,0),"")</f>
        <v/>
      </c>
      <c r="P220" s="15" t="str">
        <f t="shared" si="280"/>
        <v/>
      </c>
      <c r="Q220" s="15" t="str">
        <f>IFERROR(VLOOKUP(B220,'[3]Incoming Transmittals from PDO'!$A$6:$G$20000,3,0),"")</f>
        <v/>
      </c>
      <c r="R220" s="15" t="str">
        <f>IFERROR(VLOOKUP(B220,'[3]Incoming Transmittals from PDO'!$A$6:$G$20000,2,0),"")</f>
        <v/>
      </c>
      <c r="S220" s="15" t="str">
        <f>IFERROR(VLOOKUP(B220,'[3]Incoming Transmittals from PDO'!$A$6:$G$20000,7,0),"")</f>
        <v/>
      </c>
      <c r="T220" s="15" t="str">
        <f>IFERROR(VLOOKUP(B220,'[1]Outgoing to JEL'!$A$6:$G$5000,3,0),"")</f>
        <v/>
      </c>
      <c r="U220" s="15" t="str">
        <f>IFERROR(VLOOKUP(B220,'[1]Outgoing to JEL'!$A$6:$G$5000,2,0),"")</f>
        <v/>
      </c>
      <c r="V220" s="15" t="str">
        <f>IFERROR(VLOOKUP(B220,'[1]Outgoing to JEL'!$A$6:$G$5000,7,0),"")</f>
        <v/>
      </c>
      <c r="W220" s="3" t="str">
        <f t="shared" si="281"/>
        <v/>
      </c>
    </row>
    <row r="221" spans="1:23" s="16" customFormat="1" x14ac:dyDescent="0.2">
      <c r="A221" s="97">
        <f>A216+1</f>
        <v>69</v>
      </c>
      <c r="B221" s="62" t="str">
        <f t="shared" si="279"/>
        <v>KHF-00-104265-RA-6038-01313-0000-1</v>
      </c>
      <c r="C221" s="31" t="s">
        <v>414</v>
      </c>
      <c r="D221" s="32" t="s">
        <v>417</v>
      </c>
      <c r="E221" s="20">
        <v>1</v>
      </c>
      <c r="F221" s="20"/>
      <c r="G221" s="20"/>
      <c r="H221" s="20" t="str">
        <f t="shared" si="284"/>
        <v/>
      </c>
      <c r="I221" s="3">
        <f>J221</f>
        <v>43593</v>
      </c>
      <c r="J221" s="15">
        <f>IFERROR(VLOOKUP(B221,'[1]Incoming from JEL'!$A$6:$G$5002,3,0),"")</f>
        <v>43593</v>
      </c>
      <c r="K221" s="15" t="str">
        <f>IFERROR(VLOOKUP(B221,'[1]Incoming from JEL'!$A$6:$G$5002,2,0),"")</f>
        <v>AIP-YKP-JEL -T-0022R5</v>
      </c>
      <c r="L221" s="15" t="str">
        <f>IFERROR(VLOOKUP(B221,'[1]Incoming from JEL'!$A$6:$G$5002,7,0),"")</f>
        <v>IFR</v>
      </c>
      <c r="M221" s="15">
        <f>IFERROR(VLOOKUP(B221,'[2]Outgoing Transmittals to PDO'!$A$6:$G$20000,3,0),"")</f>
        <v>43604</v>
      </c>
      <c r="N221" s="15" t="str">
        <f>IFERROR(VLOOKUP(B221,'[2]Outgoing Transmittals to PDO'!$A$6:$G$20000,2,0),"")</f>
        <v>AIP-PDO-P1701009-T-1211</v>
      </c>
      <c r="O221" s="15" t="str">
        <f>IFERROR(VLOOKUP(B221,'[2]Outgoing Transmittals to PDO'!$A$6:$G$20000,7,0),"")</f>
        <v>IFR</v>
      </c>
      <c r="P221" s="15">
        <f t="shared" si="280"/>
        <v>43618</v>
      </c>
      <c r="Q221" s="15">
        <f>IFERROR(VLOOKUP(B221,'[3]Incoming Transmittals from PDO'!$A$6:$G$20000,3,0),"")</f>
        <v>43671</v>
      </c>
      <c r="R221" s="15" t="str">
        <f>IFERROR(VLOOKUP(B221,'[3]Incoming Transmittals from PDO'!$A$6:$G$20000,2,0),"")</f>
        <v>KHF_AIP_D_EXT_01353</v>
      </c>
      <c r="S221" s="15" t="str">
        <f>IFERROR(VLOOKUP(B221,'[3]Incoming Transmittals from PDO'!$A$6:$G$20000,7,0),"")</f>
        <v>Code B</v>
      </c>
      <c r="T221" s="15">
        <f>IFERROR(VLOOKUP(B221,'[1]Outgoing to JEL'!$A$6:$G$5000,3,0),"")</f>
        <v>43675</v>
      </c>
      <c r="U221" s="15" t="str">
        <f>IFERROR(VLOOKUP(B221,'[1]Outgoing to JEL'!$A$6:$G$5000,2,0),"")</f>
        <v>AIP-YKP-JEL-P1701009-T-0040</v>
      </c>
      <c r="V221" s="15" t="str">
        <f>IFERROR(VLOOKUP(B221,'[1]Outgoing to JEL'!$A$6:$G$5000,7,0),"")</f>
        <v>Code B</v>
      </c>
      <c r="W221" s="3" t="str">
        <f t="shared" si="281"/>
        <v>Comments from PDO</v>
      </c>
    </row>
    <row r="222" spans="1:23" s="16" customFormat="1" x14ac:dyDescent="0.2">
      <c r="A222" s="98"/>
      <c r="B222" s="62" t="str">
        <f t="shared" si="279"/>
        <v>KHF-00-104265-RA-6038-01313-0000-2</v>
      </c>
      <c r="C222" s="31" t="s">
        <v>414</v>
      </c>
      <c r="D222" s="32" t="s">
        <v>417</v>
      </c>
      <c r="E222" s="20">
        <v>2</v>
      </c>
      <c r="F222" s="20"/>
      <c r="G222" s="20"/>
      <c r="H222" s="20" t="str">
        <f t="shared" si="284"/>
        <v>L</v>
      </c>
      <c r="I222" s="3">
        <f t="shared" ref="I222:I223" si="290">IFERROR(IF(OR(V221="Code B",V221="Code D",V221="-",ISNUMBER(J222)),T221+14,""),"")</f>
        <v>43689</v>
      </c>
      <c r="J222" s="15">
        <f>IFERROR(VLOOKUP(B222,'[1]Incoming from JEL'!$A$6:$G$5002,3,0),"")</f>
        <v>43680</v>
      </c>
      <c r="K222" s="15" t="str">
        <f>IFERROR(VLOOKUP(B222,'[1]Incoming from JEL'!$A$6:$G$5002,2,0),"")</f>
        <v>AIP-YKP-JEL -T-0022R9</v>
      </c>
      <c r="L222" s="15" t="str">
        <f>IFERROR(VLOOKUP(B222,'[1]Incoming from JEL'!$A$6:$G$5002,7,0),"")</f>
        <v>IFA</v>
      </c>
      <c r="M222" s="15">
        <f>IFERROR(VLOOKUP(B222,'[2]Outgoing Transmittals to PDO'!$A$6:$G$20000,3,0),"")</f>
        <v>43681</v>
      </c>
      <c r="N222" s="15" t="str">
        <f>IFERROR(VLOOKUP(B222,'[2]Outgoing Transmittals to PDO'!$A$6:$G$20000,2,0),"")</f>
        <v>AIP-PDO-P1701009-T-1340</v>
      </c>
      <c r="O222" s="15" t="str">
        <f>IFERROR(VLOOKUP(B222,'[2]Outgoing Transmittals to PDO'!$A$6:$G$20000,7,0),"")</f>
        <v>IFA</v>
      </c>
      <c r="P222" s="15">
        <f t="shared" si="280"/>
        <v>43695</v>
      </c>
      <c r="Q222" s="15">
        <f>IFERROR(VLOOKUP(B222,'[3]Incoming Transmittals from PDO'!$A$6:$G$20000,3,0),"")</f>
        <v>43703</v>
      </c>
      <c r="R222" s="15" t="str">
        <f>IFERROR(VLOOKUP(B222,'[3]Incoming Transmittals from PDO'!$A$6:$G$20000,2,0),"")</f>
        <v>KHF_AIP_D_EXT_01390</v>
      </c>
      <c r="S222" s="15" t="str">
        <f>IFERROR(VLOOKUP(B222,'[3]Incoming Transmittals from PDO'!$A$6:$G$20000,7,0),"")</f>
        <v>Code A</v>
      </c>
      <c r="T222" s="15">
        <f>IFERROR(VLOOKUP(B222,'[1]Outgoing to JEL'!$A$6:$G$5000,3,0),"")</f>
        <v>43705</v>
      </c>
      <c r="U222" s="15" t="str">
        <f>IFERROR(VLOOKUP(B222,'[1]Outgoing to JEL'!$A$6:$G$5000,2,0),"")</f>
        <v>AIP-YKP-JEL-P1701009-T-0042</v>
      </c>
      <c r="V222" s="15" t="str">
        <f>IFERROR(VLOOKUP(B222,'[1]Outgoing to JEL'!$A$6:$G$5000,7,0),"")</f>
        <v>Code A</v>
      </c>
      <c r="W222" s="3" t="str">
        <f t="shared" si="281"/>
        <v>Approved by PDO</v>
      </c>
    </row>
    <row r="223" spans="1:23" s="16" customFormat="1" x14ac:dyDescent="0.2">
      <c r="A223" s="99"/>
      <c r="B223" s="62" t="str">
        <f t="shared" si="279"/>
        <v>KHF-00-104265-RA-6038-01313-0000-3</v>
      </c>
      <c r="C223" s="31" t="s">
        <v>414</v>
      </c>
      <c r="D223" s="32" t="s">
        <v>417</v>
      </c>
      <c r="E223" s="20">
        <v>3</v>
      </c>
      <c r="F223" s="20"/>
      <c r="G223" s="20"/>
      <c r="H223" s="20" t="str">
        <f t="shared" si="284"/>
        <v/>
      </c>
      <c r="I223" s="3" t="str">
        <f t="shared" si="290"/>
        <v/>
      </c>
      <c r="J223" s="15" t="str">
        <f>IFERROR(VLOOKUP(B223,'[1]Incoming from JEL'!$A$6:$G$5002,3,0),"")</f>
        <v/>
      </c>
      <c r="K223" s="15" t="str">
        <f>IFERROR(VLOOKUP(B223,'[1]Incoming from JEL'!$A$6:$G$5002,2,0),"")</f>
        <v/>
      </c>
      <c r="L223" s="15" t="str">
        <f>IFERROR(VLOOKUP(B223,'[1]Incoming from JEL'!$A$6:$G$5002,7,0),"")</f>
        <v/>
      </c>
      <c r="M223" s="15" t="str">
        <f>IFERROR(VLOOKUP(B223,'[2]Outgoing Transmittals to PDO'!$A$6:$G$20000,3,0),"")</f>
        <v/>
      </c>
      <c r="N223" s="15" t="str">
        <f>IFERROR(VLOOKUP(B223,'[2]Outgoing Transmittals to PDO'!$A$6:$G$20000,2,0),"")</f>
        <v/>
      </c>
      <c r="O223" s="15" t="str">
        <f>IFERROR(VLOOKUP(B223,'[2]Outgoing Transmittals to PDO'!$A$6:$G$20000,7,0),"")</f>
        <v/>
      </c>
      <c r="P223" s="15" t="str">
        <f t="shared" si="280"/>
        <v/>
      </c>
      <c r="Q223" s="15" t="str">
        <f>IFERROR(VLOOKUP(B223,'[3]Incoming Transmittals from PDO'!$A$6:$G$20000,3,0),"")</f>
        <v/>
      </c>
      <c r="R223" s="15" t="str">
        <f>IFERROR(VLOOKUP(B223,'[3]Incoming Transmittals from PDO'!$A$6:$G$20000,2,0),"")</f>
        <v/>
      </c>
      <c r="S223" s="15" t="str">
        <f>IFERROR(VLOOKUP(B223,'[3]Incoming Transmittals from PDO'!$A$6:$G$20000,7,0),"")</f>
        <v/>
      </c>
      <c r="T223" s="15" t="str">
        <f>IFERROR(VLOOKUP(B223,'[1]Outgoing to JEL'!$A$6:$G$5000,3,0),"")</f>
        <v/>
      </c>
      <c r="U223" s="15" t="str">
        <f>IFERROR(VLOOKUP(B223,'[1]Outgoing to JEL'!$A$6:$G$5000,2,0),"")</f>
        <v/>
      </c>
      <c r="V223" s="15" t="str">
        <f>IFERROR(VLOOKUP(B223,'[1]Outgoing to JEL'!$A$6:$G$5000,7,0),"")</f>
        <v/>
      </c>
      <c r="W223" s="3" t="str">
        <f t="shared" si="281"/>
        <v/>
      </c>
    </row>
    <row r="224" spans="1:23" s="16" customFormat="1" x14ac:dyDescent="0.2">
      <c r="A224" s="97">
        <f>A221+1</f>
        <v>70</v>
      </c>
      <c r="B224" s="62" t="str">
        <f t="shared" ref="B224:B232" si="291">CONCATENATE(C224,"-",E224)</f>
        <v>KHF-00-104265-RA-6038-01314-0000-1</v>
      </c>
      <c r="C224" s="31" t="s">
        <v>415</v>
      </c>
      <c r="D224" s="32" t="s">
        <v>418</v>
      </c>
      <c r="E224" s="20">
        <v>1</v>
      </c>
      <c r="F224" s="20"/>
      <c r="G224" s="20"/>
      <c r="H224" s="20" t="str">
        <f t="shared" si="284"/>
        <v/>
      </c>
      <c r="I224" s="3">
        <f>J224</f>
        <v>43593</v>
      </c>
      <c r="J224" s="15">
        <f>IFERROR(VLOOKUP(B224,'[1]Incoming from JEL'!$A$6:$G$5002,3,0),"")</f>
        <v>43593</v>
      </c>
      <c r="K224" s="15" t="str">
        <f>IFERROR(VLOOKUP(B224,'[1]Incoming from JEL'!$A$6:$G$5002,2,0),"")</f>
        <v>AIP-YKP-JEL -T-0022R5</v>
      </c>
      <c r="L224" s="15" t="str">
        <f>IFERROR(VLOOKUP(B224,'[1]Incoming from JEL'!$A$6:$G$5002,7,0),"")</f>
        <v>IFR</v>
      </c>
      <c r="M224" s="15">
        <f>IFERROR(VLOOKUP(B224,'[2]Outgoing Transmittals to PDO'!$A$6:$G$20000,3,0),"")</f>
        <v>43604</v>
      </c>
      <c r="N224" s="15" t="str">
        <f>IFERROR(VLOOKUP(B224,'[2]Outgoing Transmittals to PDO'!$A$6:$G$20000,2,0),"")</f>
        <v>AIP-PDO-P1701009-T-1211</v>
      </c>
      <c r="O224" s="15" t="str">
        <f>IFERROR(VLOOKUP(B224,'[2]Outgoing Transmittals to PDO'!$A$6:$G$20000,7,0),"")</f>
        <v>IFR</v>
      </c>
      <c r="P224" s="15">
        <f t="shared" ref="P224:P232" si="292">IF(ISNUMBER(M224),SUM(M224+14),"")</f>
        <v>43618</v>
      </c>
      <c r="Q224" s="15">
        <f>IFERROR(VLOOKUP(B224,'[3]Incoming Transmittals from PDO'!$A$6:$G$20000,3,0),"")</f>
        <v>43641</v>
      </c>
      <c r="R224" s="15" t="str">
        <f>IFERROR(VLOOKUP(B224,'[3]Incoming Transmittals from PDO'!$A$6:$G$20000,2,0),"")</f>
        <v>KHF_AIP_D_EXT_01299</v>
      </c>
      <c r="S224" s="15" t="str">
        <f>IFERROR(VLOOKUP(B224,'[3]Incoming Transmittals from PDO'!$A$6:$G$20000,7,0),"")</f>
        <v>Code B</v>
      </c>
      <c r="T224" s="15">
        <f>IFERROR(VLOOKUP(B224,'[1]Outgoing to JEL'!$A$6:$G$5000,3,0),"")</f>
        <v>43642</v>
      </c>
      <c r="U224" s="15" t="str">
        <f>IFERROR(VLOOKUP(B224,'[1]Outgoing to JEL'!$A$6:$G$5000,2,0),"")</f>
        <v>AIP-YKP-JEL-P1701009-T-0033</v>
      </c>
      <c r="V224" s="15" t="str">
        <f>IFERROR(VLOOKUP(B224,'[1]Outgoing to JEL'!$A$6:$G$5000,7,0),"")</f>
        <v>Code B</v>
      </c>
      <c r="W224" s="3" t="str">
        <f t="shared" ref="W224:W232" si="293">IF(S224="Code A","Approved by PDO",IF(S224="Code B","Comments from PDO",IF(S224="Code C","Review not Required",IF(S224="Code D","Rejected by PDO",IF(V224="Code A","Approved by AIP",IF(V224="Code B","Comments from AIP",IF(V224="Code C","Review not Required",IF(V224="Code D","Rejected by AIP",IF(AND(M224="-",Q224="-"),"Pending for AIP review",IF(O224="IFI","Issued for Information",IF(M224&lt;&gt;"","Pending for PDO Approval",IF(L224="IFI","Issued for AIP Information",IF(J224&lt;&gt;"","Pending for PDO submission",IF(I224&lt;&gt;"","Pending from JEL",""))))))))))))))</f>
        <v>Comments from PDO</v>
      </c>
    </row>
    <row r="225" spans="1:23" s="16" customFormat="1" x14ac:dyDescent="0.2">
      <c r="A225" s="98"/>
      <c r="B225" s="62" t="str">
        <f t="shared" si="291"/>
        <v>KHF-00-104265-RA-6038-01314-0000-2</v>
      </c>
      <c r="C225" s="31" t="s">
        <v>415</v>
      </c>
      <c r="D225" s="32" t="s">
        <v>418</v>
      </c>
      <c r="E225" s="20">
        <v>2</v>
      </c>
      <c r="F225" s="20"/>
      <c r="G225" s="20"/>
      <c r="H225" s="20" t="str">
        <f t="shared" si="284"/>
        <v/>
      </c>
      <c r="I225" s="3">
        <f t="shared" ref="I225:I228" si="294">IFERROR(IF(OR(V224="Code B",V224="Code D",V224="-",ISNUMBER(J225)),T224+14,""),"")</f>
        <v>43656</v>
      </c>
      <c r="J225" s="15">
        <f>IFERROR(VLOOKUP(B225,'[1]Incoming from JEL'!$A$6:$G$5002,3,0),"")</f>
        <v>43645</v>
      </c>
      <c r="K225" s="15" t="str">
        <f>IFERROR(VLOOKUP(B225,'[1]Incoming from JEL'!$A$6:$G$5002,2,0),"")</f>
        <v>AIP-YKP-JEL -T-0022R6</v>
      </c>
      <c r="L225" s="15" t="str">
        <f>IFERROR(VLOOKUP(B225,'[1]Incoming from JEL'!$A$6:$G$5002,7,0),"")</f>
        <v>IFA</v>
      </c>
      <c r="M225" s="15">
        <f>IFERROR(VLOOKUP(B225,'[2]Outgoing Transmittals to PDO'!$A$6:$G$20000,3,0),"")</f>
        <v>43646</v>
      </c>
      <c r="N225" s="15" t="str">
        <f>IFERROR(VLOOKUP(B225,'[2]Outgoing Transmittals to PDO'!$A$6:$G$20000,2,0),"")</f>
        <v>AIP-PDO-P1701009-T-1272</v>
      </c>
      <c r="O225" s="15" t="str">
        <f>IFERROR(VLOOKUP(B225,'[2]Outgoing Transmittals to PDO'!$A$6:$G$20000,7,0),"")</f>
        <v>IFA</v>
      </c>
      <c r="P225" s="15">
        <f t="shared" si="292"/>
        <v>43660</v>
      </c>
      <c r="Q225" s="15">
        <f>IFERROR(VLOOKUP(B225,'[3]Incoming Transmittals from PDO'!$A$6:$G$20000,3,0),"")</f>
        <v>43650</v>
      </c>
      <c r="R225" s="15" t="str">
        <f>IFERROR(VLOOKUP(B225,'[3]Incoming Transmittals from PDO'!$A$6:$G$20000,2,0),"")</f>
        <v>KHF_AIP_D_EXT_01319</v>
      </c>
      <c r="S225" s="15" t="str">
        <f>IFERROR(VLOOKUP(B225,'[3]Incoming Transmittals from PDO'!$A$6:$G$20000,7,0),"")</f>
        <v>Code B</v>
      </c>
      <c r="T225" s="15">
        <f>IFERROR(VLOOKUP(B225,'[1]Outgoing to JEL'!$A$6:$G$5000,3,0),"")</f>
        <v>43653</v>
      </c>
      <c r="U225" s="15" t="str">
        <f>IFERROR(VLOOKUP(B225,'[1]Outgoing to JEL'!$A$6:$G$5000,2,0),"")</f>
        <v>AIP-YKP-JEL-P1701009-T-0036</v>
      </c>
      <c r="V225" s="15" t="str">
        <f>IFERROR(VLOOKUP(B225,'[1]Outgoing to JEL'!$A$6:$G$5000,7,0),"")</f>
        <v>Code B</v>
      </c>
      <c r="W225" s="3" t="str">
        <f t="shared" si="293"/>
        <v>Comments from PDO</v>
      </c>
    </row>
    <row r="226" spans="1:23" s="16" customFormat="1" x14ac:dyDescent="0.2">
      <c r="A226" s="98"/>
      <c r="B226" s="79" t="str">
        <f t="shared" ref="B226:B227" si="295">CONCATENATE(C226,"-",E226)</f>
        <v>KHF-00-104265-RA-6038-01314-0000-3</v>
      </c>
      <c r="C226" s="31" t="s">
        <v>415</v>
      </c>
      <c r="D226" s="32" t="s">
        <v>418</v>
      </c>
      <c r="E226" s="20">
        <v>3</v>
      </c>
      <c r="F226" s="20"/>
      <c r="G226" s="20"/>
      <c r="H226" s="20" t="str">
        <f t="shared" si="284"/>
        <v/>
      </c>
      <c r="I226" s="3">
        <f t="shared" si="294"/>
        <v>43667</v>
      </c>
      <c r="J226" s="15">
        <f>IFERROR(VLOOKUP(B226,'[1]Incoming from JEL'!$A$6:$G$5002,3,0),"")</f>
        <v>43664</v>
      </c>
      <c r="K226" s="15" t="str">
        <f>IFERROR(VLOOKUP(B226,'[1]Incoming from JEL'!$A$6:$G$5002,2,0),"")</f>
        <v>AIP-YKP-JEL -T-0022R8</v>
      </c>
      <c r="L226" s="15" t="str">
        <f>IFERROR(VLOOKUP(B226,'[1]Incoming from JEL'!$A$6:$G$5002,7,0),"")</f>
        <v>IFA</v>
      </c>
      <c r="M226" s="15">
        <f>IFERROR(VLOOKUP(B226,'[2]Outgoing Transmittals to PDO'!$A$6:$G$20000,3,0),"")</f>
        <v>43670</v>
      </c>
      <c r="N226" s="15" t="str">
        <f>IFERROR(VLOOKUP(B226,'[2]Outgoing Transmittals to PDO'!$A$6:$G$20000,2,0),"")</f>
        <v>AIP-PDO-P1701009-T-1313</v>
      </c>
      <c r="O226" s="15" t="str">
        <f>IFERROR(VLOOKUP(B226,'[2]Outgoing Transmittals to PDO'!$A$6:$G$20000,7,0),"")</f>
        <v>IFA</v>
      </c>
      <c r="P226" s="15">
        <f t="shared" ref="P226:P227" si="296">IF(ISNUMBER(M226),SUM(M226+14),"")</f>
        <v>43684</v>
      </c>
      <c r="Q226" s="15">
        <f>IFERROR(VLOOKUP(B226,'[3]Incoming Transmittals from PDO'!$A$6:$G$20000,3,0),"")</f>
        <v>43725</v>
      </c>
      <c r="R226" s="15" t="str">
        <f>IFERROR(VLOOKUP(B226,'[3]Incoming Transmittals from PDO'!$A$6:$G$20000,2,0),"")</f>
        <v>KHF_AIP_D_EXT_01422</v>
      </c>
      <c r="S226" s="15" t="str">
        <f>IFERROR(VLOOKUP(B226,'[3]Incoming Transmittals from PDO'!$A$6:$G$20000,7,0),"")</f>
        <v>Code B</v>
      </c>
      <c r="T226" s="15">
        <f>IFERROR(VLOOKUP(B226,'[1]Outgoing to JEL'!$A$6:$G$5000,3,0),"")</f>
        <v>43726</v>
      </c>
      <c r="U226" s="15" t="str">
        <f>IFERROR(VLOOKUP(B226,'[1]Outgoing to JEL'!$A$6:$G$5000,2,0),"")</f>
        <v>AIP-YKP-JEL-P1701009-T-0044</v>
      </c>
      <c r="V226" s="15" t="str">
        <f>IFERROR(VLOOKUP(B226,'[1]Outgoing to JEL'!$A$6:$G$5000,7,0),"")</f>
        <v>Code B</v>
      </c>
      <c r="W226" s="3" t="str">
        <f t="shared" ref="W226:W227" si="297">IF(S226="Code A","Approved by PDO",IF(S226="Code B","Comments from PDO",IF(S226="Code C","Review not Required",IF(S226="Code D","Rejected by PDO",IF(V226="Code A","Approved by AIP",IF(V226="Code B","Comments from AIP",IF(V226="Code C","Review not Required",IF(V226="Code D","Rejected by AIP",IF(AND(M226="-",Q226="-"),"Pending for AIP review",IF(O226="IFI","Issued for Information",IF(M226&lt;&gt;"","Pending for PDO Approval",IF(L226="IFI","Issued for AIP Information",IF(J226&lt;&gt;"","Pending for PDO submission",IF(I226&lt;&gt;"","Pending from JEL",""))))))))))))))</f>
        <v>Comments from PDO</v>
      </c>
    </row>
    <row r="227" spans="1:23" s="16" customFormat="1" x14ac:dyDescent="0.2">
      <c r="A227" s="98"/>
      <c r="B227" s="89" t="str">
        <f t="shared" si="295"/>
        <v>KHF-00-104265-RA-6038-01314-0000-4</v>
      </c>
      <c r="C227" s="31" t="s">
        <v>415</v>
      </c>
      <c r="D227" s="32" t="s">
        <v>418</v>
      </c>
      <c r="E227" s="20">
        <v>4</v>
      </c>
      <c r="F227" s="20"/>
      <c r="G227" s="20"/>
      <c r="H227" s="20" t="str">
        <f t="shared" ref="H227" si="298">IF(AND(C227=C228,J228="",J227&lt;&gt;""),"L","")</f>
        <v>L</v>
      </c>
      <c r="I227" s="3">
        <f t="shared" si="294"/>
        <v>43740</v>
      </c>
      <c r="J227" s="15">
        <f>IFERROR(VLOOKUP(B227,'[1]Incoming from JEL'!$A$6:$G$5002,3,0),"")</f>
        <v>43725</v>
      </c>
      <c r="K227" s="15" t="str">
        <f>IFERROR(VLOOKUP(B227,'[1]Incoming from JEL'!$A$6:$G$5002,2,0),"")</f>
        <v>AIP-YKP-JEL -T-0079</v>
      </c>
      <c r="L227" s="15" t="str">
        <f>IFERROR(VLOOKUP(B227,'[1]Incoming from JEL'!$A$6:$G$5002,7,0),"")</f>
        <v>IFA</v>
      </c>
      <c r="M227" s="15">
        <f>IFERROR(VLOOKUP(B227,'[2]Outgoing Transmittals to PDO'!$A$6:$G$20000,3,0),"")</f>
        <v>43726</v>
      </c>
      <c r="N227" s="15" t="str">
        <f>IFERROR(VLOOKUP(B227,'[2]Outgoing Transmittals to PDO'!$A$6:$G$20000,2,0),"")</f>
        <v>AIP-PDO-P1701009-T-1406</v>
      </c>
      <c r="O227" s="15" t="str">
        <f>IFERROR(VLOOKUP(B227,'[2]Outgoing Transmittals to PDO'!$A$6:$G$20000,7,0),"")</f>
        <v>IFA</v>
      </c>
      <c r="P227" s="15">
        <f t="shared" si="296"/>
        <v>43740</v>
      </c>
      <c r="Q227" s="15">
        <f>IFERROR(VLOOKUP(B227,'[3]Incoming Transmittals from PDO'!$A$6:$G$20000,3,0),"")</f>
        <v>43753</v>
      </c>
      <c r="R227" s="15" t="str">
        <f>IFERROR(VLOOKUP(B227,'[3]Incoming Transmittals from PDO'!$A$6:$G$20000,2,0),"")</f>
        <v>KHF_AIP_D_EXT_01471</v>
      </c>
      <c r="S227" s="15" t="str">
        <f>IFERROR(VLOOKUP(B227,'[3]Incoming Transmittals from PDO'!$A$6:$G$20000,7,0),"")</f>
        <v>Code A</v>
      </c>
      <c r="T227" s="15">
        <f>IFERROR(VLOOKUP(B227,'[1]Outgoing to JEL'!$A$6:$G$5000,3,0),"")</f>
        <v>43754</v>
      </c>
      <c r="U227" s="15" t="str">
        <f>IFERROR(VLOOKUP(B227,'[1]Outgoing to JEL'!$A$6:$G$5000,2,0),"")</f>
        <v>AIP-YKP-JEL-P1701009-T-0048</v>
      </c>
      <c r="V227" s="15" t="str">
        <f>IFERROR(VLOOKUP(B227,'[1]Outgoing to JEL'!$A$6:$G$5000,7,0),"")</f>
        <v>Code A</v>
      </c>
      <c r="W227" s="3" t="str">
        <f t="shared" si="297"/>
        <v>Approved by PDO</v>
      </c>
    </row>
    <row r="228" spans="1:23" s="16" customFormat="1" x14ac:dyDescent="0.2">
      <c r="A228" s="99"/>
      <c r="B228" s="62" t="str">
        <f t="shared" si="291"/>
        <v>KHF-00-104265-RA-6038-01314-0000-5</v>
      </c>
      <c r="C228" s="31" t="s">
        <v>415</v>
      </c>
      <c r="D228" s="32" t="s">
        <v>418</v>
      </c>
      <c r="E228" s="20">
        <v>5</v>
      </c>
      <c r="F228" s="20"/>
      <c r="G228" s="20"/>
      <c r="H228" s="20" t="str">
        <f t="shared" si="284"/>
        <v/>
      </c>
      <c r="I228" s="3" t="str">
        <f t="shared" si="294"/>
        <v/>
      </c>
      <c r="J228" s="15" t="str">
        <f>IFERROR(VLOOKUP(B228,'[1]Incoming from JEL'!$A$6:$G$5002,3,0),"")</f>
        <v/>
      </c>
      <c r="K228" s="15" t="str">
        <f>IFERROR(VLOOKUP(B228,'[1]Incoming from JEL'!$A$6:$G$5002,2,0),"")</f>
        <v/>
      </c>
      <c r="L228" s="15" t="str">
        <f>IFERROR(VLOOKUP(B228,'[1]Incoming from JEL'!$A$6:$G$5002,7,0),"")</f>
        <v/>
      </c>
      <c r="M228" s="15" t="str">
        <f>IFERROR(VLOOKUP(B228,'[2]Outgoing Transmittals to PDO'!$A$6:$G$20000,3,0),"")</f>
        <v/>
      </c>
      <c r="N228" s="15" t="str">
        <f>IFERROR(VLOOKUP(B228,'[2]Outgoing Transmittals to PDO'!$A$6:$G$20000,2,0),"")</f>
        <v/>
      </c>
      <c r="O228" s="15" t="str">
        <f>IFERROR(VLOOKUP(B228,'[2]Outgoing Transmittals to PDO'!$A$6:$G$20000,7,0),"")</f>
        <v/>
      </c>
      <c r="P228" s="15" t="str">
        <f t="shared" si="292"/>
        <v/>
      </c>
      <c r="Q228" s="15" t="str">
        <f>IFERROR(VLOOKUP(B228,'[3]Incoming Transmittals from PDO'!$A$6:$G$20000,3,0),"")</f>
        <v/>
      </c>
      <c r="R228" s="15" t="str">
        <f>IFERROR(VLOOKUP(B228,'[3]Incoming Transmittals from PDO'!$A$6:$G$20000,2,0),"")</f>
        <v/>
      </c>
      <c r="S228" s="15" t="str">
        <f>IFERROR(VLOOKUP(B228,'[3]Incoming Transmittals from PDO'!$A$6:$G$20000,7,0),"")</f>
        <v/>
      </c>
      <c r="T228" s="15" t="str">
        <f>IFERROR(VLOOKUP(B228,'[1]Outgoing to JEL'!$A$6:$G$5000,3,0),"")</f>
        <v/>
      </c>
      <c r="U228" s="15" t="str">
        <f>IFERROR(VLOOKUP(B228,'[1]Outgoing to JEL'!$A$6:$G$5000,2,0),"")</f>
        <v/>
      </c>
      <c r="V228" s="15" t="str">
        <f>IFERROR(VLOOKUP(B228,'[1]Outgoing to JEL'!$A$6:$G$5000,7,0),"")</f>
        <v/>
      </c>
      <c r="W228" s="3" t="str">
        <f t="shared" si="293"/>
        <v/>
      </c>
    </row>
    <row r="229" spans="1:23" s="16" customFormat="1" ht="21" x14ac:dyDescent="0.2">
      <c r="A229" s="97">
        <f>A224+1</f>
        <v>71</v>
      </c>
      <c r="B229" s="64" t="str">
        <f t="shared" si="291"/>
        <v>KHF-00-104265-BA-6065-01304-0000-1</v>
      </c>
      <c r="C229" s="31" t="s">
        <v>422</v>
      </c>
      <c r="D229" s="32" t="s">
        <v>423</v>
      </c>
      <c r="E229" s="20">
        <v>1</v>
      </c>
      <c r="F229" s="20"/>
      <c r="G229" s="20"/>
      <c r="H229" s="20" t="str">
        <f t="shared" si="284"/>
        <v/>
      </c>
      <c r="I229" s="3">
        <f>J229</f>
        <v>43599</v>
      </c>
      <c r="J229" s="15">
        <f>IFERROR(VLOOKUP(B229,'[1]Incoming from JEL'!$A$6:$G$5002,3,0),"")</f>
        <v>43599</v>
      </c>
      <c r="K229" s="15" t="str">
        <f>IFERROR(VLOOKUP(B229,'[1]Incoming from JEL'!$A$6:$G$5002,2,0),"")</f>
        <v>AIP-YKP-JEL -T-0015R9</v>
      </c>
      <c r="L229" s="15" t="str">
        <f>IFERROR(VLOOKUP(B229,'[1]Incoming from JEL'!$A$6:$G$5002,7,0),"")</f>
        <v>IFR</v>
      </c>
      <c r="M229" s="15">
        <f>IFERROR(VLOOKUP(B229,'[2]Outgoing Transmittals to PDO'!$A$6:$G$20000,3,0),"")</f>
        <v>43604</v>
      </c>
      <c r="N229" s="15" t="str">
        <f>IFERROR(VLOOKUP(B229,'[2]Outgoing Transmittals to PDO'!$A$6:$G$20000,2,0),"")</f>
        <v>AIP-PDO-P1701009-T-1207</v>
      </c>
      <c r="O229" s="15" t="str">
        <f>IFERROR(VLOOKUP(B229,'[2]Outgoing Transmittals to PDO'!$A$6:$G$20000,7,0),"")</f>
        <v>IFR</v>
      </c>
      <c r="P229" s="15">
        <f t="shared" si="292"/>
        <v>43618</v>
      </c>
      <c r="Q229" s="15">
        <f>IFERROR(VLOOKUP(B229,'[3]Incoming Transmittals from PDO'!$A$6:$G$20000,3,0),"")</f>
        <v>43618</v>
      </c>
      <c r="R229" s="15" t="str">
        <f>IFERROR(VLOOKUP(B229,'[3]Incoming Transmittals from PDO'!$A$6:$G$20000,2,0),"")</f>
        <v>KHF_AIP_D_EXT_01247</v>
      </c>
      <c r="S229" s="15" t="str">
        <f>IFERROR(VLOOKUP(B229,'[3]Incoming Transmittals from PDO'!$A$6:$G$20000,7,0),"")</f>
        <v>Code B</v>
      </c>
      <c r="T229" s="15">
        <f>IFERROR(VLOOKUP(B229,'[1]Outgoing to JEL'!$A$6:$G$5000,3,0),"")</f>
        <v>43619</v>
      </c>
      <c r="U229" s="15" t="str">
        <f>IFERROR(VLOOKUP(B229,'[1]Outgoing to JEL'!$A$6:$G$5000,2,0),"")</f>
        <v>AIP-YKP-JEL-P1701009-T-0029</v>
      </c>
      <c r="V229" s="15" t="str">
        <f>IFERROR(VLOOKUP(B229,'[1]Outgoing to JEL'!$A$6:$G$5000,7,0),"")</f>
        <v>Code B</v>
      </c>
      <c r="W229" s="3" t="str">
        <f t="shared" si="293"/>
        <v>Comments from PDO</v>
      </c>
    </row>
    <row r="230" spans="1:23" s="16" customFormat="1" ht="21" x14ac:dyDescent="0.2">
      <c r="A230" s="98"/>
      <c r="B230" s="64" t="str">
        <f t="shared" si="291"/>
        <v>KHF-00-104265-BA-6065-01304-0000-2</v>
      </c>
      <c r="C230" s="31" t="s">
        <v>422</v>
      </c>
      <c r="D230" s="32" t="s">
        <v>423</v>
      </c>
      <c r="E230" s="20">
        <v>2</v>
      </c>
      <c r="F230" s="20"/>
      <c r="G230" s="20"/>
      <c r="H230" s="20" t="str">
        <f t="shared" si="284"/>
        <v/>
      </c>
      <c r="I230" s="3">
        <f t="shared" ref="I230:I232" si="299">IFERROR(IF(OR(V229="Code B",V229="Code D",V229="-",ISNUMBER(J230)),T229+14,""),"")</f>
        <v>43633</v>
      </c>
      <c r="J230" s="15">
        <f>IFERROR(VLOOKUP(B230,'[1]Incoming from JEL'!$A$6:$G$5002,3,0),"")</f>
        <v>43627</v>
      </c>
      <c r="K230" s="15" t="str">
        <f>IFERROR(VLOOKUP(B230,'[1]Incoming from JEL'!$A$6:$G$5002,2,0),"")</f>
        <v>AIP-YKP-JEL -T-0015R12</v>
      </c>
      <c r="L230" s="15" t="str">
        <f>IFERROR(VLOOKUP(B230,'[1]Incoming from JEL'!$A$6:$G$5002,7,0),"")</f>
        <v>IFA</v>
      </c>
      <c r="M230" s="15">
        <f>IFERROR(VLOOKUP(B230,'[2]Outgoing Transmittals to PDO'!$A$6:$G$20000,3,0),"")</f>
        <v>43628</v>
      </c>
      <c r="N230" s="15" t="str">
        <f>IFERROR(VLOOKUP(B230,'[2]Outgoing Transmittals to PDO'!$A$6:$G$20000,2,0),"")</f>
        <v>AIP-PDO-P1701009-T-1250</v>
      </c>
      <c r="O230" s="15" t="str">
        <f>IFERROR(VLOOKUP(B230,'[2]Outgoing Transmittals to PDO'!$A$6:$G$20000,7,0),"")</f>
        <v>IFA</v>
      </c>
      <c r="P230" s="15">
        <f t="shared" si="292"/>
        <v>43642</v>
      </c>
      <c r="Q230" s="15">
        <f>IFERROR(VLOOKUP(B230,'[3]Incoming Transmittals from PDO'!$A$6:$G$20000,3,0),"")</f>
        <v>43641</v>
      </c>
      <c r="R230" s="15" t="str">
        <f>IFERROR(VLOOKUP(B230,'[3]Incoming Transmittals from PDO'!$A$6:$G$20000,2,0),"")</f>
        <v>KHF_AIP_D_EXT_01302</v>
      </c>
      <c r="S230" s="15" t="str">
        <f>IFERROR(VLOOKUP(B230,'[3]Incoming Transmittals from PDO'!$A$6:$G$20000,7,0),"")</f>
        <v>Code D</v>
      </c>
      <c r="T230" s="15">
        <f>IFERROR(VLOOKUP(B230,'[1]Outgoing to JEL'!$A$6:$G$5000,3,0),"")</f>
        <v>43642</v>
      </c>
      <c r="U230" s="15" t="str">
        <f>IFERROR(VLOOKUP(B230,'[1]Outgoing to JEL'!$A$6:$G$5000,2,0),"")</f>
        <v>AIP-YKP-JEL-P1701009-T-0033</v>
      </c>
      <c r="V230" s="15" t="str">
        <f>IFERROR(VLOOKUP(B230,'[1]Outgoing to JEL'!$A$6:$G$5000,7,0),"")</f>
        <v>Code D</v>
      </c>
      <c r="W230" s="3" t="str">
        <f t="shared" si="293"/>
        <v>Rejected by PDO</v>
      </c>
    </row>
    <row r="231" spans="1:23" s="16" customFormat="1" ht="21" x14ac:dyDescent="0.2">
      <c r="A231" s="98"/>
      <c r="B231" s="72" t="str">
        <f t="shared" ref="B231" si="300">CONCATENATE(C231,"-",E231)</f>
        <v>KHF-00-104265-BA-6065-01304-0000-3</v>
      </c>
      <c r="C231" s="31" t="s">
        <v>422</v>
      </c>
      <c r="D231" s="32" t="s">
        <v>423</v>
      </c>
      <c r="E231" s="20">
        <v>3</v>
      </c>
      <c r="F231" s="20"/>
      <c r="G231" s="20"/>
      <c r="H231" s="20" t="str">
        <f t="shared" si="284"/>
        <v>L</v>
      </c>
      <c r="I231" s="3">
        <f t="shared" si="299"/>
        <v>43656</v>
      </c>
      <c r="J231" s="15">
        <f>IFERROR(VLOOKUP(B231,'[1]Incoming from JEL'!$A$6:$G$5002,3,0),"")</f>
        <v>43641</v>
      </c>
      <c r="K231" s="15" t="str">
        <f>IFERROR(VLOOKUP(B231,'[1]Incoming from JEL'!$A$6:$G$5002,2,0),"")</f>
        <v>AIP-YKP-JEL -T-0015R13</v>
      </c>
      <c r="L231" s="15" t="str">
        <f>IFERROR(VLOOKUP(B231,'[1]Incoming from JEL'!$A$6:$G$5002,7,0),"")</f>
        <v>IFA</v>
      </c>
      <c r="M231" s="15">
        <f>IFERROR(VLOOKUP(B231,'[2]Outgoing Transmittals to PDO'!$A$6:$G$20000,3,0),"")</f>
        <v>43642</v>
      </c>
      <c r="N231" s="15" t="str">
        <f>IFERROR(VLOOKUP(B231,'[2]Outgoing Transmittals to PDO'!$A$6:$G$20000,2,0),"")</f>
        <v>AIP-PDO-P1701009-T-1268</v>
      </c>
      <c r="O231" s="15" t="str">
        <f>IFERROR(VLOOKUP(B231,'[2]Outgoing Transmittals to PDO'!$A$6:$G$20000,7,0),"")</f>
        <v>IFA</v>
      </c>
      <c r="P231" s="15">
        <f t="shared" ref="P231" si="301">IF(ISNUMBER(M231),SUM(M231+14),"")</f>
        <v>43656</v>
      </c>
      <c r="Q231" s="15">
        <f>IFERROR(VLOOKUP(B231,'[3]Incoming Transmittals from PDO'!$A$6:$G$20000,3,0),"")</f>
        <v>43649</v>
      </c>
      <c r="R231" s="15" t="str">
        <f>IFERROR(VLOOKUP(B231,'[3]Incoming Transmittals from PDO'!$A$6:$G$20000,2,0),"")</f>
        <v>KHF_AIP_D_EXT_01314</v>
      </c>
      <c r="S231" s="15" t="str">
        <f>IFERROR(VLOOKUP(B231,'[3]Incoming Transmittals from PDO'!$A$6:$G$20000,7,0),"")</f>
        <v>Code A</v>
      </c>
      <c r="T231" s="15">
        <f>IFERROR(VLOOKUP(B231,'[1]Outgoing to JEL'!$A$6:$G$5000,3,0),"")</f>
        <v>43649</v>
      </c>
      <c r="U231" s="15" t="str">
        <f>IFERROR(VLOOKUP(B231,'[1]Outgoing to JEL'!$A$6:$G$5000,2,0),"")</f>
        <v>AIP-YKP-JEL-P1701009-T-0035</v>
      </c>
      <c r="V231" s="15" t="str">
        <f>IFERROR(VLOOKUP(B231,'[1]Outgoing to JEL'!$A$6:$G$5000,7,0),"")</f>
        <v>Code A</v>
      </c>
      <c r="W231" s="3" t="str">
        <f t="shared" ref="W231" si="302">IF(S231="Code A","Approved by PDO",IF(S231="Code B","Comments from PDO",IF(S231="Code C","Review not Required",IF(S231="Code D","Rejected by PDO",IF(V231="Code A","Approved by AIP",IF(V231="Code B","Comments from AIP",IF(V231="Code C","Review not Required",IF(V231="Code D","Rejected by AIP",IF(AND(M231="-",Q231="-"),"Pending for AIP review",IF(O231="IFI","Issued for Information",IF(M231&lt;&gt;"","Pending for PDO Approval",IF(L231="IFI","Issued for AIP Information",IF(J231&lt;&gt;"","Pending for PDO submission",IF(I231&lt;&gt;"","Pending from JEL",""))))))))))))))</f>
        <v>Approved by PDO</v>
      </c>
    </row>
    <row r="232" spans="1:23" s="16" customFormat="1" ht="21" x14ac:dyDescent="0.2">
      <c r="A232" s="99"/>
      <c r="B232" s="64" t="str">
        <f t="shared" si="291"/>
        <v>KHF-00-104265-BA-6065-01304-0000-4</v>
      </c>
      <c r="C232" s="31" t="s">
        <v>422</v>
      </c>
      <c r="D232" s="32" t="s">
        <v>423</v>
      </c>
      <c r="E232" s="20">
        <v>4</v>
      </c>
      <c r="F232" s="20"/>
      <c r="G232" s="20"/>
      <c r="H232" s="20" t="str">
        <f t="shared" ref="H232:H235" si="303">IF(AND(C232=C233,J233="",J232&lt;&gt;""),"L","")</f>
        <v/>
      </c>
      <c r="I232" s="3" t="str">
        <f t="shared" si="299"/>
        <v/>
      </c>
      <c r="J232" s="15" t="str">
        <f>IFERROR(VLOOKUP(B232,'[1]Incoming from JEL'!$A$6:$G$5002,3,0),"")</f>
        <v/>
      </c>
      <c r="K232" s="15" t="str">
        <f>IFERROR(VLOOKUP(B232,'[1]Incoming from JEL'!$A$6:$G$5002,2,0),"")</f>
        <v/>
      </c>
      <c r="L232" s="15" t="str">
        <f>IFERROR(VLOOKUP(B232,'[1]Incoming from JEL'!$A$6:$G$5002,7,0),"")</f>
        <v/>
      </c>
      <c r="M232" s="15" t="str">
        <f>IFERROR(VLOOKUP(B232,'[2]Outgoing Transmittals to PDO'!$A$6:$G$20000,3,0),"")</f>
        <v/>
      </c>
      <c r="N232" s="15" t="str">
        <f>IFERROR(VLOOKUP(B232,'[2]Outgoing Transmittals to PDO'!$A$6:$G$20000,2,0),"")</f>
        <v/>
      </c>
      <c r="O232" s="15" t="str">
        <f>IFERROR(VLOOKUP(B232,'[2]Outgoing Transmittals to PDO'!$A$6:$G$20000,7,0),"")</f>
        <v/>
      </c>
      <c r="P232" s="15" t="str">
        <f t="shared" si="292"/>
        <v/>
      </c>
      <c r="Q232" s="15" t="str">
        <f>IFERROR(VLOOKUP(B232,'[3]Incoming Transmittals from PDO'!$A$6:$G$20000,3,0),"")</f>
        <v/>
      </c>
      <c r="R232" s="15" t="str">
        <f>IFERROR(VLOOKUP(B232,'[3]Incoming Transmittals from PDO'!$A$6:$G$20000,2,0),"")</f>
        <v/>
      </c>
      <c r="S232" s="15" t="str">
        <f>IFERROR(VLOOKUP(B232,'[3]Incoming Transmittals from PDO'!$A$6:$G$20000,7,0),"")</f>
        <v/>
      </c>
      <c r="T232" s="15" t="str">
        <f>IFERROR(VLOOKUP(B232,'[1]Outgoing to JEL'!$A$6:$G$5000,3,0),"")</f>
        <v/>
      </c>
      <c r="U232" s="15" t="str">
        <f>IFERROR(VLOOKUP(B232,'[1]Outgoing to JEL'!$A$6:$G$5000,2,0),"")</f>
        <v/>
      </c>
      <c r="V232" s="15" t="str">
        <f>IFERROR(VLOOKUP(B232,'[1]Outgoing to JEL'!$A$6:$G$5000,7,0),"")</f>
        <v/>
      </c>
      <c r="W232" s="3" t="str">
        <f t="shared" si="293"/>
        <v/>
      </c>
    </row>
    <row r="233" spans="1:23" s="16" customFormat="1" x14ac:dyDescent="0.2">
      <c r="A233" s="97">
        <f>A229+1</f>
        <v>72</v>
      </c>
      <c r="B233" s="64" t="str">
        <f t="shared" ref="B233:B235" si="304">CONCATENATE(C233,"-",E233)</f>
        <v>KHF-00-104265-BA-6065-01317-0000-1</v>
      </c>
      <c r="C233" s="31" t="s">
        <v>424</v>
      </c>
      <c r="D233" s="32" t="s">
        <v>425</v>
      </c>
      <c r="E233" s="20">
        <v>1</v>
      </c>
      <c r="F233" s="20"/>
      <c r="G233" s="20"/>
      <c r="H233" s="20" t="str">
        <f t="shared" si="303"/>
        <v>L</v>
      </c>
      <c r="I233" s="3">
        <f>J233</f>
        <v>43599</v>
      </c>
      <c r="J233" s="15">
        <f>IFERROR(VLOOKUP(B233,'[1]Incoming from JEL'!$A$6:$G$5002,3,0),"")</f>
        <v>43599</v>
      </c>
      <c r="K233" s="15" t="str">
        <f>IFERROR(VLOOKUP(B233,'[1]Incoming from JEL'!$A$6:$G$5002,2,0),"")</f>
        <v>AIP-YKP-JEL -T-0015R9</v>
      </c>
      <c r="L233" s="15" t="str">
        <f>IFERROR(VLOOKUP(B233,'[1]Incoming from JEL'!$A$6:$G$5002,7,0),"")</f>
        <v>IFR</v>
      </c>
      <c r="M233" s="15">
        <f>IFERROR(VLOOKUP(B233,'[2]Outgoing Transmittals to PDO'!$A$6:$G$20000,3,0),"")</f>
        <v>43604</v>
      </c>
      <c r="N233" s="15" t="str">
        <f>IFERROR(VLOOKUP(B233,'[2]Outgoing Transmittals to PDO'!$A$6:$G$20000,2,0),"")</f>
        <v>AIP-PDO-P1701009-T-1207</v>
      </c>
      <c r="O233" s="15" t="str">
        <f>IFERROR(VLOOKUP(B233,'[2]Outgoing Transmittals to PDO'!$A$6:$G$20000,7,0),"")</f>
        <v>IFR</v>
      </c>
      <c r="P233" s="15">
        <f t="shared" ref="P233:P235" si="305">IF(ISNUMBER(M233),SUM(M233+14),"")</f>
        <v>43618</v>
      </c>
      <c r="Q233" s="15">
        <f>IFERROR(VLOOKUP(B233,'[3]Incoming Transmittals from PDO'!$A$6:$G$20000,3,0),"")</f>
        <v>43618</v>
      </c>
      <c r="R233" s="15" t="str">
        <f>IFERROR(VLOOKUP(B233,'[3]Incoming Transmittals from PDO'!$A$6:$G$20000,2,0),"")</f>
        <v>KHF_AIP_D_EXT_01247</v>
      </c>
      <c r="S233" s="15" t="str">
        <f>IFERROR(VLOOKUP(B233,'[3]Incoming Transmittals from PDO'!$A$6:$G$20000,7,0),"")</f>
        <v>Code C</v>
      </c>
      <c r="T233" s="15">
        <f>IFERROR(VLOOKUP(B233,'[1]Outgoing to JEL'!$A$6:$G$5000,3,0),"")</f>
        <v>43619</v>
      </c>
      <c r="U233" s="15" t="str">
        <f>IFERROR(VLOOKUP(B233,'[1]Outgoing to JEL'!$A$6:$G$5000,2,0),"")</f>
        <v>AIP-YKP-JEL-P1701009-T-0029</v>
      </c>
      <c r="V233" s="15" t="str">
        <f>IFERROR(VLOOKUP(B233,'[1]Outgoing to JEL'!$A$6:$G$5000,7,0),"")</f>
        <v>Code C</v>
      </c>
      <c r="W233" s="3" t="str">
        <f t="shared" ref="W233:W235" si="306">IF(S233="Code A","Approved by PDO",IF(S233="Code B","Comments from PDO",IF(S233="Code C","Review not Required",IF(S233="Code D","Rejected by PDO",IF(V233="Code A","Approved by AIP",IF(V233="Code B","Comments from AIP",IF(V233="Code C","Review not Required",IF(V233="Code D","Rejected by AIP",IF(AND(M233="-",Q233="-"),"Pending for AIP review",IF(O233="IFI","Issued for Information",IF(M233&lt;&gt;"","Pending for PDO Approval",IF(L233="IFI","Issued for AIP Information",IF(J233&lt;&gt;"","Pending for PDO submission",IF(I233&lt;&gt;"","Pending from JEL",""))))))))))))))</f>
        <v>Review not Required</v>
      </c>
    </row>
    <row r="234" spans="1:23" s="16" customFormat="1" x14ac:dyDescent="0.2">
      <c r="A234" s="98"/>
      <c r="B234" s="64" t="str">
        <f t="shared" si="304"/>
        <v>KHF-00-104265-BA-6065-01317-0000-2</v>
      </c>
      <c r="C234" s="31" t="s">
        <v>424</v>
      </c>
      <c r="D234" s="32" t="s">
        <v>425</v>
      </c>
      <c r="E234" s="20">
        <v>2</v>
      </c>
      <c r="F234" s="20"/>
      <c r="G234" s="20"/>
      <c r="H234" s="20" t="str">
        <f t="shared" si="303"/>
        <v/>
      </c>
      <c r="I234" s="3" t="str">
        <f t="shared" ref="I234:I235" si="307">IFERROR(IF(OR(V233="Code B",V233="Code D",V233="-",ISNUMBER(J234)),T233+14,""),"")</f>
        <v/>
      </c>
      <c r="J234" s="15" t="str">
        <f>IFERROR(VLOOKUP(B234,'[1]Incoming from JEL'!$A$6:$G$5002,3,0),"")</f>
        <v/>
      </c>
      <c r="K234" s="15" t="str">
        <f>IFERROR(VLOOKUP(B234,'[1]Incoming from JEL'!$A$6:$G$5002,2,0),"")</f>
        <v/>
      </c>
      <c r="L234" s="15" t="str">
        <f>IFERROR(VLOOKUP(B234,'[1]Incoming from JEL'!$A$6:$G$5002,7,0),"")</f>
        <v/>
      </c>
      <c r="M234" s="15" t="str">
        <f>IFERROR(VLOOKUP(B234,'[2]Outgoing Transmittals to PDO'!$A$6:$G$20000,3,0),"")</f>
        <v/>
      </c>
      <c r="N234" s="15" t="str">
        <f>IFERROR(VLOOKUP(B234,'[2]Outgoing Transmittals to PDO'!$A$6:$G$20000,2,0),"")</f>
        <v/>
      </c>
      <c r="O234" s="15" t="str">
        <f>IFERROR(VLOOKUP(B234,'[2]Outgoing Transmittals to PDO'!$A$6:$G$20000,7,0),"")</f>
        <v/>
      </c>
      <c r="P234" s="15" t="str">
        <f t="shared" si="305"/>
        <v/>
      </c>
      <c r="Q234" s="15" t="str">
        <f>IFERROR(VLOOKUP(B234,'[3]Incoming Transmittals from PDO'!$A$6:$G$20000,3,0),"")</f>
        <v/>
      </c>
      <c r="R234" s="15" t="str">
        <f>IFERROR(VLOOKUP(B234,'[3]Incoming Transmittals from PDO'!$A$6:$G$20000,2,0),"")</f>
        <v/>
      </c>
      <c r="S234" s="15" t="str">
        <f>IFERROR(VLOOKUP(B234,'[3]Incoming Transmittals from PDO'!$A$6:$G$20000,7,0),"")</f>
        <v/>
      </c>
      <c r="T234" s="15" t="str">
        <f>IFERROR(VLOOKUP(B234,'[1]Outgoing to JEL'!$A$6:$G$5000,3,0),"")</f>
        <v/>
      </c>
      <c r="U234" s="15" t="str">
        <f>IFERROR(VLOOKUP(B234,'[1]Outgoing to JEL'!$A$6:$G$5000,2,0),"")</f>
        <v/>
      </c>
      <c r="V234" s="15" t="str">
        <f>IFERROR(VLOOKUP(B234,'[1]Outgoing to JEL'!$A$6:$G$5000,7,0),"")</f>
        <v/>
      </c>
      <c r="W234" s="3" t="str">
        <f t="shared" si="306"/>
        <v/>
      </c>
    </row>
    <row r="235" spans="1:23" s="16" customFormat="1" x14ac:dyDescent="0.2">
      <c r="A235" s="99"/>
      <c r="B235" s="64" t="str">
        <f t="shared" si="304"/>
        <v>KHF-00-104265-BA-6065-01317-0000-3</v>
      </c>
      <c r="C235" s="31" t="s">
        <v>424</v>
      </c>
      <c r="D235" s="32" t="s">
        <v>425</v>
      </c>
      <c r="E235" s="20">
        <v>3</v>
      </c>
      <c r="F235" s="20"/>
      <c r="G235" s="20"/>
      <c r="H235" s="20" t="str">
        <f t="shared" si="303"/>
        <v/>
      </c>
      <c r="I235" s="3" t="str">
        <f t="shared" si="307"/>
        <v/>
      </c>
      <c r="J235" s="15" t="str">
        <f>IFERROR(VLOOKUP(B235,'[1]Incoming from JEL'!$A$6:$G$5002,3,0),"")</f>
        <v/>
      </c>
      <c r="K235" s="15" t="str">
        <f>IFERROR(VLOOKUP(B235,'[1]Incoming from JEL'!$A$6:$G$5002,2,0),"")</f>
        <v/>
      </c>
      <c r="L235" s="15" t="str">
        <f>IFERROR(VLOOKUP(B235,'[1]Incoming from JEL'!$A$6:$G$5002,7,0),"")</f>
        <v/>
      </c>
      <c r="M235" s="15" t="str">
        <f>IFERROR(VLOOKUP(B235,'[2]Outgoing Transmittals to PDO'!$A$6:$G$20000,3,0),"")</f>
        <v/>
      </c>
      <c r="N235" s="15" t="str">
        <f>IFERROR(VLOOKUP(B235,'[2]Outgoing Transmittals to PDO'!$A$6:$G$20000,2,0),"")</f>
        <v/>
      </c>
      <c r="O235" s="15" t="str">
        <f>IFERROR(VLOOKUP(B235,'[2]Outgoing Transmittals to PDO'!$A$6:$G$20000,7,0),"")</f>
        <v/>
      </c>
      <c r="P235" s="15" t="str">
        <f t="shared" si="305"/>
        <v/>
      </c>
      <c r="Q235" s="15" t="str">
        <f>IFERROR(VLOOKUP(B235,'[3]Incoming Transmittals from PDO'!$A$6:$G$20000,3,0),"")</f>
        <v/>
      </c>
      <c r="R235" s="15" t="str">
        <f>IFERROR(VLOOKUP(B235,'[3]Incoming Transmittals from PDO'!$A$6:$G$20000,2,0),"")</f>
        <v/>
      </c>
      <c r="S235" s="15" t="str">
        <f>IFERROR(VLOOKUP(B235,'[3]Incoming Transmittals from PDO'!$A$6:$G$20000,7,0),"")</f>
        <v/>
      </c>
      <c r="T235" s="15" t="str">
        <f>IFERROR(VLOOKUP(B235,'[1]Outgoing to JEL'!$A$6:$G$5000,3,0),"")</f>
        <v/>
      </c>
      <c r="U235" s="15" t="str">
        <f>IFERROR(VLOOKUP(B235,'[1]Outgoing to JEL'!$A$6:$G$5000,2,0),"")</f>
        <v/>
      </c>
      <c r="V235" s="15" t="str">
        <f>IFERROR(VLOOKUP(B235,'[1]Outgoing to JEL'!$A$6:$G$5000,7,0),"")</f>
        <v/>
      </c>
      <c r="W235" s="3" t="str">
        <f t="shared" si="306"/>
        <v/>
      </c>
    </row>
    <row r="236" spans="1:23" s="16" customFormat="1" ht="21" x14ac:dyDescent="0.2">
      <c r="A236" s="97">
        <f>A233+1</f>
        <v>73</v>
      </c>
      <c r="B236" s="65" t="str">
        <f t="shared" ref="B236:B238" si="308">CONCATENATE(C236,"-",E236)</f>
        <v>KHF-00-104265-BA-6065-01318-0000-1</v>
      </c>
      <c r="C236" s="31" t="s">
        <v>426</v>
      </c>
      <c r="D236" s="32" t="s">
        <v>427</v>
      </c>
      <c r="E236" s="20">
        <v>1</v>
      </c>
      <c r="F236" s="20"/>
      <c r="G236" s="20"/>
      <c r="H236" s="20" t="str">
        <f t="shared" ref="H236:H238" si="309">IF(AND(C236=C237,J237="",J236&lt;&gt;""),"L","")</f>
        <v>L</v>
      </c>
      <c r="I236" s="3">
        <f>J236</f>
        <v>43603</v>
      </c>
      <c r="J236" s="15">
        <f>IFERROR(VLOOKUP(B236,'[1]Incoming from JEL'!$A$6:$G$5002,3,0),"")</f>
        <v>43603</v>
      </c>
      <c r="K236" s="15" t="str">
        <f>IFERROR(VLOOKUP(B236,'[1]Incoming from JEL'!$A$6:$G$5002,2,0),"")</f>
        <v>AIP-YKP-JEL -T-0015R10</v>
      </c>
      <c r="L236" s="15" t="str">
        <f>IFERROR(VLOOKUP(B236,'[1]Incoming from JEL'!$A$6:$G$5002,7,0),"")</f>
        <v>IFR</v>
      </c>
      <c r="M236" s="15">
        <f>IFERROR(VLOOKUP(B236,'[2]Outgoing Transmittals to PDO'!$A$6:$G$20000,3,0),"")</f>
        <v>43604</v>
      </c>
      <c r="N236" s="15" t="str">
        <f>IFERROR(VLOOKUP(B236,'[2]Outgoing Transmittals to PDO'!$A$6:$G$20000,2,0),"")</f>
        <v>AIP-PDO-P1701009-T-1207</v>
      </c>
      <c r="O236" s="15" t="str">
        <f>IFERROR(VLOOKUP(B236,'[2]Outgoing Transmittals to PDO'!$A$6:$G$20000,7,0),"")</f>
        <v>IFR</v>
      </c>
      <c r="P236" s="15">
        <f t="shared" ref="P236:P238" si="310">IF(ISNUMBER(M236),SUM(M236+14),"")</f>
        <v>43618</v>
      </c>
      <c r="Q236" s="15">
        <f>IFERROR(VLOOKUP(B236,'[3]Incoming Transmittals from PDO'!$A$6:$G$20000,3,0),"")</f>
        <v>43618</v>
      </c>
      <c r="R236" s="15" t="str">
        <f>IFERROR(VLOOKUP(B236,'[3]Incoming Transmittals from PDO'!$A$6:$G$20000,2,0),"")</f>
        <v>KHF_AIP_D_EXT_01247</v>
      </c>
      <c r="S236" s="15" t="str">
        <f>IFERROR(VLOOKUP(B236,'[3]Incoming Transmittals from PDO'!$A$6:$G$20000,7,0),"")</f>
        <v>Code A</v>
      </c>
      <c r="T236" s="15">
        <f>IFERROR(VLOOKUP(B236,'[1]Outgoing to JEL'!$A$6:$G$5000,3,0),"")</f>
        <v>43619</v>
      </c>
      <c r="U236" s="15" t="str">
        <f>IFERROR(VLOOKUP(B236,'[1]Outgoing to JEL'!$A$6:$G$5000,2,0),"")</f>
        <v>AIP-YKP-JEL-P1701009-T-0029</v>
      </c>
      <c r="V236" s="15" t="str">
        <f>IFERROR(VLOOKUP(B236,'[1]Outgoing to JEL'!$A$6:$G$5000,7,0),"")</f>
        <v>Code A</v>
      </c>
      <c r="W236" s="3" t="str">
        <f t="shared" ref="W236:W238" si="311">IF(S236="Code A","Approved by PDO",IF(S236="Code B","Comments from PDO",IF(S236="Code C","Review not Required",IF(S236="Code D","Rejected by PDO",IF(V236="Code A","Approved by AIP",IF(V236="Code B","Comments from AIP",IF(V236="Code C","Review not Required",IF(V236="Code D","Rejected by AIP",IF(AND(M236="-",Q236="-"),"Pending for AIP review",IF(O236="IFI","Issued for Information",IF(M236&lt;&gt;"","Pending for PDO Approval",IF(L236="IFI","Issued for AIP Information",IF(J236&lt;&gt;"","Pending for PDO submission",IF(I236&lt;&gt;"","Pending from JEL",""))))))))))))))</f>
        <v>Approved by PDO</v>
      </c>
    </row>
    <row r="237" spans="1:23" s="16" customFormat="1" ht="21" x14ac:dyDescent="0.2">
      <c r="A237" s="98"/>
      <c r="B237" s="65" t="str">
        <f t="shared" si="308"/>
        <v>KHF-00-104265-BA-6065-01318-0000-2</v>
      </c>
      <c r="C237" s="31" t="s">
        <v>426</v>
      </c>
      <c r="D237" s="32" t="s">
        <v>427</v>
      </c>
      <c r="E237" s="20">
        <v>2</v>
      </c>
      <c r="F237" s="20"/>
      <c r="G237" s="20"/>
      <c r="H237" s="20" t="str">
        <f t="shared" si="309"/>
        <v/>
      </c>
      <c r="I237" s="3" t="str">
        <f t="shared" ref="I237:I238" si="312">IFERROR(IF(OR(V236="Code B",V236="Code D",V236="-",ISNUMBER(J237)),T236+14,""),"")</f>
        <v/>
      </c>
      <c r="J237" s="15" t="str">
        <f>IFERROR(VLOOKUP(B237,'[1]Incoming from JEL'!$A$6:$G$5002,3,0),"")</f>
        <v/>
      </c>
      <c r="K237" s="15" t="str">
        <f>IFERROR(VLOOKUP(B237,'[1]Incoming from JEL'!$A$6:$G$5002,2,0),"")</f>
        <v/>
      </c>
      <c r="L237" s="15" t="str">
        <f>IFERROR(VLOOKUP(B237,'[1]Incoming from JEL'!$A$6:$G$5002,7,0),"")</f>
        <v/>
      </c>
      <c r="M237" s="15" t="str">
        <f>IFERROR(VLOOKUP(B237,'[2]Outgoing Transmittals to PDO'!$A$6:$G$20000,3,0),"")</f>
        <v/>
      </c>
      <c r="N237" s="15" t="str">
        <f>IFERROR(VLOOKUP(B237,'[2]Outgoing Transmittals to PDO'!$A$6:$G$20000,2,0),"")</f>
        <v/>
      </c>
      <c r="O237" s="15" t="str">
        <f>IFERROR(VLOOKUP(B237,'[2]Outgoing Transmittals to PDO'!$A$6:$G$20000,7,0),"")</f>
        <v/>
      </c>
      <c r="P237" s="15" t="str">
        <f t="shared" si="310"/>
        <v/>
      </c>
      <c r="Q237" s="15" t="str">
        <f>IFERROR(VLOOKUP(B237,'[3]Incoming Transmittals from PDO'!$A$6:$G$20000,3,0),"")</f>
        <v/>
      </c>
      <c r="R237" s="15" t="str">
        <f>IFERROR(VLOOKUP(B237,'[3]Incoming Transmittals from PDO'!$A$6:$G$20000,2,0),"")</f>
        <v/>
      </c>
      <c r="S237" s="15" t="str">
        <f>IFERROR(VLOOKUP(B237,'[3]Incoming Transmittals from PDO'!$A$6:$G$20000,7,0),"")</f>
        <v/>
      </c>
      <c r="T237" s="15" t="str">
        <f>IFERROR(VLOOKUP(B237,'[1]Outgoing to JEL'!$A$6:$G$5000,3,0),"")</f>
        <v/>
      </c>
      <c r="U237" s="15" t="str">
        <f>IFERROR(VLOOKUP(B237,'[1]Outgoing to JEL'!$A$6:$G$5000,2,0),"")</f>
        <v/>
      </c>
      <c r="V237" s="15" t="str">
        <f>IFERROR(VLOOKUP(B237,'[1]Outgoing to JEL'!$A$6:$G$5000,7,0),"")</f>
        <v/>
      </c>
      <c r="W237" s="3" t="str">
        <f t="shared" si="311"/>
        <v/>
      </c>
    </row>
    <row r="238" spans="1:23" s="16" customFormat="1" ht="21" x14ac:dyDescent="0.2">
      <c r="A238" s="99"/>
      <c r="B238" s="65" t="str">
        <f t="shared" si="308"/>
        <v>KHF-00-104265-BA-6065-01318-0000-3</v>
      </c>
      <c r="C238" s="31" t="s">
        <v>426</v>
      </c>
      <c r="D238" s="32" t="s">
        <v>427</v>
      </c>
      <c r="E238" s="20">
        <v>3</v>
      </c>
      <c r="F238" s="20"/>
      <c r="G238" s="20"/>
      <c r="H238" s="20" t="str">
        <f t="shared" si="309"/>
        <v/>
      </c>
      <c r="I238" s="3" t="str">
        <f t="shared" si="312"/>
        <v/>
      </c>
      <c r="J238" s="15" t="str">
        <f>IFERROR(VLOOKUP(B238,'[1]Incoming from JEL'!$A$6:$G$5002,3,0),"")</f>
        <v/>
      </c>
      <c r="K238" s="15" t="str">
        <f>IFERROR(VLOOKUP(B238,'[1]Incoming from JEL'!$A$6:$G$5002,2,0),"")</f>
        <v/>
      </c>
      <c r="L238" s="15" t="str">
        <f>IFERROR(VLOOKUP(B238,'[1]Incoming from JEL'!$A$6:$G$5002,7,0),"")</f>
        <v/>
      </c>
      <c r="M238" s="15" t="str">
        <f>IFERROR(VLOOKUP(B238,'[2]Outgoing Transmittals to PDO'!$A$6:$G$20000,3,0),"")</f>
        <v/>
      </c>
      <c r="N238" s="15" t="str">
        <f>IFERROR(VLOOKUP(B238,'[2]Outgoing Transmittals to PDO'!$A$6:$G$20000,2,0),"")</f>
        <v/>
      </c>
      <c r="O238" s="15" t="str">
        <f>IFERROR(VLOOKUP(B238,'[2]Outgoing Transmittals to PDO'!$A$6:$G$20000,7,0),"")</f>
        <v/>
      </c>
      <c r="P238" s="15" t="str">
        <f t="shared" si="310"/>
        <v/>
      </c>
      <c r="Q238" s="15" t="str">
        <f>IFERROR(VLOOKUP(B238,'[3]Incoming Transmittals from PDO'!$A$6:$G$20000,3,0),"")</f>
        <v/>
      </c>
      <c r="R238" s="15" t="str">
        <f>IFERROR(VLOOKUP(B238,'[3]Incoming Transmittals from PDO'!$A$6:$G$20000,2,0),"")</f>
        <v/>
      </c>
      <c r="S238" s="15" t="str">
        <f>IFERROR(VLOOKUP(B238,'[3]Incoming Transmittals from PDO'!$A$6:$G$20000,7,0),"")</f>
        <v/>
      </c>
      <c r="T238" s="15" t="str">
        <f>IFERROR(VLOOKUP(B238,'[1]Outgoing to JEL'!$A$6:$G$5000,3,0),"")</f>
        <v/>
      </c>
      <c r="U238" s="15" t="str">
        <f>IFERROR(VLOOKUP(B238,'[1]Outgoing to JEL'!$A$6:$G$5000,2,0),"")</f>
        <v/>
      </c>
      <c r="V238" s="15" t="str">
        <f>IFERROR(VLOOKUP(B238,'[1]Outgoing to JEL'!$A$6:$G$5000,7,0),"")</f>
        <v/>
      </c>
      <c r="W238" s="3" t="str">
        <f t="shared" si="311"/>
        <v/>
      </c>
    </row>
    <row r="239" spans="1:23" s="16" customFormat="1" x14ac:dyDescent="0.2">
      <c r="A239" s="97">
        <f>A236+1</f>
        <v>74</v>
      </c>
      <c r="B239" s="70" t="str">
        <f t="shared" ref="B239:B241" si="313">CONCATENATE(C239,"-",E239)</f>
        <v>KHF-00-104265-AA-3341-01303-0000-1</v>
      </c>
      <c r="C239" s="31" t="s">
        <v>438</v>
      </c>
      <c r="D239" s="32" t="s">
        <v>439</v>
      </c>
      <c r="E239" s="20">
        <v>1</v>
      </c>
      <c r="F239" s="20"/>
      <c r="G239" s="20"/>
      <c r="H239" s="20" t="str">
        <f t="shared" ref="H239:H244" si="314">IF(AND(C239=C240,J240="",J239&lt;&gt;""),"L","")</f>
        <v>L</v>
      </c>
      <c r="I239" s="3">
        <f>J239</f>
        <v>43627</v>
      </c>
      <c r="J239" s="15">
        <f>IFERROR(VLOOKUP(B239,'[1]Incoming from JEL'!$A$6:$G$5002,3,0),"")</f>
        <v>43627</v>
      </c>
      <c r="K239" s="15" t="str">
        <f>IFERROR(VLOOKUP(B239,'[1]Incoming from JEL'!$A$6:$G$5002,2,0),"")</f>
        <v>AIP-YKP-JEL-T-0054</v>
      </c>
      <c r="L239" s="15" t="str">
        <f>IFERROR(VLOOKUP(B239,'[1]Incoming from JEL'!$A$6:$G$5002,7,0),"")</f>
        <v>IFA</v>
      </c>
      <c r="M239" s="15" t="str">
        <f>IFERROR(VLOOKUP(B239,'[2]Outgoing Transmittals to PDO'!$A$6:$G$20000,3,0),"")</f>
        <v/>
      </c>
      <c r="N239" s="15" t="str">
        <f>IFERROR(VLOOKUP(B239,'[2]Outgoing Transmittals to PDO'!$A$6:$G$20000,2,0),"")</f>
        <v/>
      </c>
      <c r="O239" s="15" t="str">
        <f>IFERROR(VLOOKUP(B239,'[2]Outgoing Transmittals to PDO'!$A$6:$G$20000,7,0),"")</f>
        <v/>
      </c>
      <c r="P239" s="15" t="str">
        <f t="shared" ref="P239:P241" si="315">IF(ISNUMBER(M239),SUM(M239+14),"")</f>
        <v/>
      </c>
      <c r="Q239" s="15" t="str">
        <f>IFERROR(VLOOKUP(B239,'[3]Incoming Transmittals from PDO'!$A$6:$G$20000,3,0),"")</f>
        <v/>
      </c>
      <c r="R239" s="15" t="str">
        <f>IFERROR(VLOOKUP(B239,'[3]Incoming Transmittals from PDO'!$A$6:$G$20000,2,0),"")</f>
        <v/>
      </c>
      <c r="S239" s="15" t="str">
        <f>IFERROR(VLOOKUP(B239,'[3]Incoming Transmittals from PDO'!$A$6:$G$20000,7,0),"")</f>
        <v/>
      </c>
      <c r="T239" s="15" t="str">
        <f>IFERROR(VLOOKUP(B239,'[1]Outgoing to JEL'!$A$6:$G$5000,3,0),"")</f>
        <v/>
      </c>
      <c r="U239" s="15" t="str">
        <f>IFERROR(VLOOKUP(B239,'[1]Outgoing to JEL'!$A$6:$G$5000,2,0),"")</f>
        <v/>
      </c>
      <c r="V239" s="15" t="str">
        <f>IFERROR(VLOOKUP(B239,'[1]Outgoing to JEL'!$A$6:$G$5000,7,0),"")</f>
        <v/>
      </c>
      <c r="W239" s="3" t="str">
        <f t="shared" ref="W239:W241" si="316">IF(S239="Code A","Approved by PDO",IF(S239="Code B","Comments from PDO",IF(S239="Code C","Review not Required",IF(S239="Code D","Rejected by PDO",IF(V239="Code A","Approved by AIP",IF(V239="Code B","Comments from AIP",IF(V239="Code C","Review not Required",IF(V239="Code D","Rejected by AIP",IF(AND(M239="-",Q239="-"),"Pending for AIP review",IF(O239="IFI","Issued for Information",IF(M239&lt;&gt;"","Pending for PDO Approval",IF(L239="IFI","Issued for AIP Information",IF(J239&lt;&gt;"","Pending for PDO submission",IF(I239&lt;&gt;"","Pending from JEL",""))))))))))))))</f>
        <v>Pending for PDO submission</v>
      </c>
    </row>
    <row r="240" spans="1:23" s="16" customFormat="1" x14ac:dyDescent="0.2">
      <c r="A240" s="98"/>
      <c r="B240" s="70" t="str">
        <f t="shared" si="313"/>
        <v>KHF-00-104265-AA-3341-01303-0000-2</v>
      </c>
      <c r="C240" s="31" t="s">
        <v>438</v>
      </c>
      <c r="D240" s="32" t="s">
        <v>439</v>
      </c>
      <c r="E240" s="20">
        <v>2</v>
      </c>
      <c r="F240" s="20"/>
      <c r="G240" s="20"/>
      <c r="H240" s="20" t="str">
        <f t="shared" si="314"/>
        <v/>
      </c>
      <c r="I240" s="3" t="str">
        <f t="shared" ref="I240:I241" si="317">IFERROR(IF(OR(V239="Code B",V239="Code D",V239="-",ISNUMBER(J240)),T239+14,""),"")</f>
        <v/>
      </c>
      <c r="J240" s="15" t="str">
        <f>IFERROR(VLOOKUP(B240,'[1]Incoming from JEL'!$A$6:$G$5002,3,0),"")</f>
        <v/>
      </c>
      <c r="K240" s="15" t="str">
        <f>IFERROR(VLOOKUP(B240,'[1]Incoming from JEL'!$A$6:$G$5002,2,0),"")</f>
        <v/>
      </c>
      <c r="L240" s="15" t="str">
        <f>IFERROR(VLOOKUP(B240,'[1]Incoming from JEL'!$A$6:$G$5002,7,0),"")</f>
        <v/>
      </c>
      <c r="M240" s="15" t="str">
        <f>IFERROR(VLOOKUP(B240,'[2]Outgoing Transmittals to PDO'!$A$6:$G$20000,3,0),"")</f>
        <v/>
      </c>
      <c r="N240" s="15" t="str">
        <f>IFERROR(VLOOKUP(B240,'[2]Outgoing Transmittals to PDO'!$A$6:$G$20000,2,0),"")</f>
        <v/>
      </c>
      <c r="O240" s="15" t="str">
        <f>IFERROR(VLOOKUP(B240,'[2]Outgoing Transmittals to PDO'!$A$6:$G$20000,7,0),"")</f>
        <v/>
      </c>
      <c r="P240" s="15" t="str">
        <f t="shared" si="315"/>
        <v/>
      </c>
      <c r="Q240" s="15" t="str">
        <f>IFERROR(VLOOKUP(B240,'[3]Incoming Transmittals from PDO'!$A$6:$G$20000,3,0),"")</f>
        <v/>
      </c>
      <c r="R240" s="15" t="str">
        <f>IFERROR(VLOOKUP(B240,'[3]Incoming Transmittals from PDO'!$A$6:$G$20000,2,0),"")</f>
        <v/>
      </c>
      <c r="S240" s="15" t="str">
        <f>IFERROR(VLOOKUP(B240,'[3]Incoming Transmittals from PDO'!$A$6:$G$20000,7,0),"")</f>
        <v/>
      </c>
      <c r="T240" s="15" t="str">
        <f>IFERROR(VLOOKUP(B240,'[1]Outgoing to JEL'!$A$6:$G$5000,3,0),"")</f>
        <v/>
      </c>
      <c r="U240" s="15" t="str">
        <f>IFERROR(VLOOKUP(B240,'[1]Outgoing to JEL'!$A$6:$G$5000,2,0),"")</f>
        <v/>
      </c>
      <c r="V240" s="15" t="str">
        <f>IFERROR(VLOOKUP(B240,'[1]Outgoing to JEL'!$A$6:$G$5000,7,0),"")</f>
        <v/>
      </c>
      <c r="W240" s="3" t="str">
        <f t="shared" si="316"/>
        <v/>
      </c>
    </row>
    <row r="241" spans="1:23" s="16" customFormat="1" x14ac:dyDescent="0.2">
      <c r="A241" s="99"/>
      <c r="B241" s="70" t="str">
        <f t="shared" si="313"/>
        <v>KHF-00-104265-AA-3341-01303-0000-3</v>
      </c>
      <c r="C241" s="31" t="s">
        <v>438</v>
      </c>
      <c r="D241" s="32" t="s">
        <v>439</v>
      </c>
      <c r="E241" s="20">
        <v>3</v>
      </c>
      <c r="F241" s="20"/>
      <c r="G241" s="20"/>
      <c r="H241" s="20" t="str">
        <f t="shared" si="314"/>
        <v/>
      </c>
      <c r="I241" s="3" t="str">
        <f t="shared" si="317"/>
        <v/>
      </c>
      <c r="J241" s="15" t="str">
        <f>IFERROR(VLOOKUP(B241,'[1]Incoming from JEL'!$A$6:$G$5002,3,0),"")</f>
        <v/>
      </c>
      <c r="K241" s="15" t="str">
        <f>IFERROR(VLOOKUP(B241,'[1]Incoming from JEL'!$A$6:$G$5002,2,0),"")</f>
        <v/>
      </c>
      <c r="L241" s="15" t="str">
        <f>IFERROR(VLOOKUP(B241,'[1]Incoming from JEL'!$A$6:$G$5002,7,0),"")</f>
        <v/>
      </c>
      <c r="M241" s="15" t="str">
        <f>IFERROR(VLOOKUP(B241,'[2]Outgoing Transmittals to PDO'!$A$6:$G$20000,3,0),"")</f>
        <v/>
      </c>
      <c r="N241" s="15" t="str">
        <f>IFERROR(VLOOKUP(B241,'[2]Outgoing Transmittals to PDO'!$A$6:$G$20000,2,0),"")</f>
        <v/>
      </c>
      <c r="O241" s="15" t="str">
        <f>IFERROR(VLOOKUP(B241,'[2]Outgoing Transmittals to PDO'!$A$6:$G$20000,7,0),"")</f>
        <v/>
      </c>
      <c r="P241" s="15" t="str">
        <f t="shared" si="315"/>
        <v/>
      </c>
      <c r="Q241" s="15" t="str">
        <f>IFERROR(VLOOKUP(B241,'[3]Incoming Transmittals from PDO'!$A$6:$G$20000,3,0),"")</f>
        <v/>
      </c>
      <c r="R241" s="15" t="str">
        <f>IFERROR(VLOOKUP(B241,'[3]Incoming Transmittals from PDO'!$A$6:$G$20000,2,0),"")</f>
        <v/>
      </c>
      <c r="S241" s="15" t="str">
        <f>IFERROR(VLOOKUP(B241,'[3]Incoming Transmittals from PDO'!$A$6:$G$20000,7,0),"")</f>
        <v/>
      </c>
      <c r="T241" s="15" t="str">
        <f>IFERROR(VLOOKUP(B241,'[1]Outgoing to JEL'!$A$6:$G$5000,3,0),"")</f>
        <v/>
      </c>
      <c r="U241" s="15" t="str">
        <f>IFERROR(VLOOKUP(B241,'[1]Outgoing to JEL'!$A$6:$G$5000,2,0),"")</f>
        <v/>
      </c>
      <c r="V241" s="15" t="str">
        <f>IFERROR(VLOOKUP(B241,'[1]Outgoing to JEL'!$A$6:$G$5000,7,0),"")</f>
        <v/>
      </c>
      <c r="W241" s="3" t="str">
        <f t="shared" si="316"/>
        <v/>
      </c>
    </row>
    <row r="242" spans="1:23" s="16" customFormat="1" x14ac:dyDescent="0.2">
      <c r="A242" s="97">
        <f>A239+1</f>
        <v>75</v>
      </c>
      <c r="B242" s="76" t="str">
        <f t="shared" ref="B242:B244" si="318">CONCATENATE(C242,"-",E242)</f>
        <v>KHF-00-104265-RA-6038-01315-0000-1</v>
      </c>
      <c r="C242" s="31" t="s">
        <v>450</v>
      </c>
      <c r="D242" s="32" t="s">
        <v>451</v>
      </c>
      <c r="E242" s="20">
        <v>1</v>
      </c>
      <c r="F242" s="20"/>
      <c r="G242" s="20"/>
      <c r="H242" s="20" t="str">
        <f t="shared" si="314"/>
        <v>L</v>
      </c>
      <c r="I242" s="3">
        <f>J242</f>
        <v>43649</v>
      </c>
      <c r="J242" s="15">
        <f>IFERROR(VLOOKUP(B242,'[1]Incoming from JEL'!$A$6:$G$5002,3,0),"")</f>
        <v>43649</v>
      </c>
      <c r="K242" s="15" t="str">
        <f>IFERROR(VLOOKUP(B242,'[1]Incoming from JEL'!$A$6:$G$5002,2,0),"")</f>
        <v>AIP-YKP-JEL -T-0022R7</v>
      </c>
      <c r="L242" s="15" t="str">
        <f>IFERROR(VLOOKUP(B242,'[1]Incoming from JEL'!$A$6:$G$5002,7,0),"")</f>
        <v>IFR</v>
      </c>
      <c r="M242" s="15">
        <f>IFERROR(VLOOKUP(B242,'[2]Outgoing Transmittals to PDO'!$A$6:$G$20000,3,0),"")</f>
        <v>43650</v>
      </c>
      <c r="N242" s="15" t="str">
        <f>IFERROR(VLOOKUP(B242,'[2]Outgoing Transmittals to PDO'!$A$6:$G$20000,2,0),"")</f>
        <v>AIP-PDO-P1701009-T-1284</v>
      </c>
      <c r="O242" s="15" t="str">
        <f>IFERROR(VLOOKUP(B242,'[2]Outgoing Transmittals to PDO'!$A$6:$G$20000,7,0),"")</f>
        <v>IFR</v>
      </c>
      <c r="P242" s="15">
        <f t="shared" ref="P242:P244" si="319">IF(ISNUMBER(M242),SUM(M242+14),"")</f>
        <v>43664</v>
      </c>
      <c r="Q242" s="15">
        <f>IFERROR(VLOOKUP(B242,'[3]Incoming Transmittals from PDO'!$A$6:$G$20000,3,0),"")</f>
        <v>43662</v>
      </c>
      <c r="R242" s="15" t="str">
        <f>IFERROR(VLOOKUP(B242,'[3]Incoming Transmittals from PDO'!$A$6:$G$20000,2,0),"")</f>
        <v>KHF_AIP_D_EXT_01333</v>
      </c>
      <c r="S242" s="15" t="str">
        <f>IFERROR(VLOOKUP(B242,'[3]Incoming Transmittals from PDO'!$A$6:$G$20000,7,0),"")</f>
        <v>Code B</v>
      </c>
      <c r="T242" s="15">
        <f>IFERROR(VLOOKUP(B242,'[1]Outgoing to JEL'!$A$6:$G$5000,3,0),"")</f>
        <v>43663</v>
      </c>
      <c r="U242" s="15" t="str">
        <f>IFERROR(VLOOKUP(B242,'[1]Outgoing to JEL'!$A$6:$G$5000,2,0),"")</f>
        <v>AIP-YKP-JEL-P1701009-T-0039</v>
      </c>
      <c r="V242" s="15" t="str">
        <f>IFERROR(VLOOKUP(B242,'[1]Outgoing to JEL'!$A$6:$G$5000,7,0),"")</f>
        <v>Code B</v>
      </c>
      <c r="W242" s="3" t="str">
        <f t="shared" ref="W242:W244" si="320">IF(S242="Code A","Approved by PDO",IF(S242="Code B","Comments from PDO",IF(S242="Code C","Review not Required",IF(S242="Code D","Rejected by PDO",IF(V242="Code A","Approved by AIP",IF(V242="Code B","Comments from AIP",IF(V242="Code C","Review not Required",IF(V242="Code D","Rejected by AIP",IF(AND(M242="-",Q242="-"),"Pending for AIP review",IF(O242="IFI","Issued for Information",IF(M242&lt;&gt;"","Pending for PDO Approval",IF(L242="IFI","Issued for AIP Information",IF(J242&lt;&gt;"","Pending for PDO submission",IF(I242&lt;&gt;"","Pending from JEL",""))))))))))))))</f>
        <v>Comments from PDO</v>
      </c>
    </row>
    <row r="243" spans="1:23" s="16" customFormat="1" x14ac:dyDescent="0.2">
      <c r="A243" s="98"/>
      <c r="B243" s="76" t="str">
        <f t="shared" si="318"/>
        <v>KHF-00-104265-RA-6038-01315-0000-2</v>
      </c>
      <c r="C243" s="31" t="s">
        <v>450</v>
      </c>
      <c r="D243" s="32" t="s">
        <v>451</v>
      </c>
      <c r="E243" s="20">
        <v>2</v>
      </c>
      <c r="F243" s="20"/>
      <c r="G243" s="20"/>
      <c r="H243" s="20" t="str">
        <f t="shared" si="314"/>
        <v/>
      </c>
      <c r="I243" s="3">
        <f t="shared" ref="I243:I244" si="321">IFERROR(IF(OR(V242="Code B",V242="Code D",V242="-",ISNUMBER(J243)),T242+14,""),"")</f>
        <v>43677</v>
      </c>
      <c r="J243" s="15" t="str">
        <f>IFERROR(VLOOKUP(B243,'[1]Incoming from JEL'!$A$6:$G$5002,3,0),"")</f>
        <v/>
      </c>
      <c r="K243" s="15" t="str">
        <f>IFERROR(VLOOKUP(B243,'[1]Incoming from JEL'!$A$6:$G$5002,2,0),"")</f>
        <v/>
      </c>
      <c r="L243" s="15" t="str">
        <f>IFERROR(VLOOKUP(B243,'[1]Incoming from JEL'!$A$6:$G$5002,7,0),"")</f>
        <v/>
      </c>
      <c r="M243" s="15" t="str">
        <f>IFERROR(VLOOKUP(B243,'[2]Outgoing Transmittals to PDO'!$A$6:$G$20000,3,0),"")</f>
        <v/>
      </c>
      <c r="N243" s="15" t="str">
        <f>IFERROR(VLOOKUP(B243,'[2]Outgoing Transmittals to PDO'!$A$6:$G$20000,2,0),"")</f>
        <v/>
      </c>
      <c r="O243" s="15" t="str">
        <f>IFERROR(VLOOKUP(B243,'[2]Outgoing Transmittals to PDO'!$A$6:$G$20000,7,0),"")</f>
        <v/>
      </c>
      <c r="P243" s="15" t="str">
        <f t="shared" si="319"/>
        <v/>
      </c>
      <c r="Q243" s="15" t="str">
        <f>IFERROR(VLOOKUP(B243,'[3]Incoming Transmittals from PDO'!$A$6:$G$20000,3,0),"")</f>
        <v/>
      </c>
      <c r="R243" s="15" t="str">
        <f>IFERROR(VLOOKUP(B243,'[3]Incoming Transmittals from PDO'!$A$6:$G$20000,2,0),"")</f>
        <v/>
      </c>
      <c r="S243" s="15" t="str">
        <f>IFERROR(VLOOKUP(B243,'[3]Incoming Transmittals from PDO'!$A$6:$G$20000,7,0),"")</f>
        <v/>
      </c>
      <c r="T243" s="15" t="str">
        <f>IFERROR(VLOOKUP(B243,'[1]Outgoing to JEL'!$A$6:$G$5000,3,0),"")</f>
        <v/>
      </c>
      <c r="U243" s="15" t="str">
        <f>IFERROR(VLOOKUP(B243,'[1]Outgoing to JEL'!$A$6:$G$5000,2,0),"")</f>
        <v/>
      </c>
      <c r="V243" s="15" t="str">
        <f>IFERROR(VLOOKUP(B243,'[1]Outgoing to JEL'!$A$6:$G$5000,7,0),"")</f>
        <v/>
      </c>
      <c r="W243" s="3" t="str">
        <f t="shared" si="320"/>
        <v>Pending from JEL</v>
      </c>
    </row>
    <row r="244" spans="1:23" s="16" customFormat="1" x14ac:dyDescent="0.2">
      <c r="A244" s="99"/>
      <c r="B244" s="76" t="str">
        <f t="shared" si="318"/>
        <v>KHF-00-104265-RA-6038-01315-0000-3</v>
      </c>
      <c r="C244" s="31" t="s">
        <v>450</v>
      </c>
      <c r="D244" s="32" t="s">
        <v>451</v>
      </c>
      <c r="E244" s="20">
        <v>3</v>
      </c>
      <c r="F244" s="20"/>
      <c r="G244" s="20"/>
      <c r="H244" s="20" t="str">
        <f t="shared" si="314"/>
        <v/>
      </c>
      <c r="I244" s="3" t="str">
        <f t="shared" si="321"/>
        <v/>
      </c>
      <c r="J244" s="15" t="str">
        <f>IFERROR(VLOOKUP(B244,'[1]Incoming from JEL'!$A$6:$G$5002,3,0),"")</f>
        <v/>
      </c>
      <c r="K244" s="15" t="str">
        <f>IFERROR(VLOOKUP(B244,'[1]Incoming from JEL'!$A$6:$G$5002,2,0),"")</f>
        <v/>
      </c>
      <c r="L244" s="15" t="str">
        <f>IFERROR(VLOOKUP(B244,'[1]Incoming from JEL'!$A$6:$G$5002,7,0),"")</f>
        <v/>
      </c>
      <c r="M244" s="15" t="str">
        <f>IFERROR(VLOOKUP(B244,'[2]Outgoing Transmittals to PDO'!$A$6:$G$20000,3,0),"")</f>
        <v/>
      </c>
      <c r="N244" s="15" t="str">
        <f>IFERROR(VLOOKUP(B244,'[2]Outgoing Transmittals to PDO'!$A$6:$G$20000,2,0),"")</f>
        <v/>
      </c>
      <c r="O244" s="15" t="str">
        <f>IFERROR(VLOOKUP(B244,'[2]Outgoing Transmittals to PDO'!$A$6:$G$20000,7,0),"")</f>
        <v/>
      </c>
      <c r="P244" s="15" t="str">
        <f t="shared" si="319"/>
        <v/>
      </c>
      <c r="Q244" s="15" t="str">
        <f>IFERROR(VLOOKUP(B244,'[3]Incoming Transmittals from PDO'!$A$6:$G$20000,3,0),"")</f>
        <v/>
      </c>
      <c r="R244" s="15" t="str">
        <f>IFERROR(VLOOKUP(B244,'[3]Incoming Transmittals from PDO'!$A$6:$G$20000,2,0),"")</f>
        <v/>
      </c>
      <c r="S244" s="15" t="str">
        <f>IFERROR(VLOOKUP(B244,'[3]Incoming Transmittals from PDO'!$A$6:$G$20000,7,0),"")</f>
        <v/>
      </c>
      <c r="T244" s="15" t="str">
        <f>IFERROR(VLOOKUP(B244,'[1]Outgoing to JEL'!$A$6:$G$5000,3,0),"")</f>
        <v/>
      </c>
      <c r="U244" s="15" t="str">
        <f>IFERROR(VLOOKUP(B244,'[1]Outgoing to JEL'!$A$6:$G$5000,2,0),"")</f>
        <v/>
      </c>
      <c r="V244" s="15" t="str">
        <f>IFERROR(VLOOKUP(B244,'[1]Outgoing to JEL'!$A$6:$G$5000,7,0),"")</f>
        <v/>
      </c>
      <c r="W244" s="3" t="str">
        <f t="shared" si="320"/>
        <v/>
      </c>
    </row>
    <row r="245" spans="1:23" s="16" customFormat="1" x14ac:dyDescent="0.2">
      <c r="A245" s="97">
        <f>A242+1</f>
        <v>76</v>
      </c>
      <c r="B245" s="79" t="str">
        <f t="shared" ref="B245:B247" si="322">CONCATENATE(C245,"-",E245)</f>
        <v>KHF-00-104265-AA-3341-01304-0000-1</v>
      </c>
      <c r="C245" s="31" t="s">
        <v>456</v>
      </c>
      <c r="D245" s="32" t="s">
        <v>457</v>
      </c>
      <c r="E245" s="20">
        <v>1</v>
      </c>
      <c r="F245" s="20"/>
      <c r="G245" s="20"/>
      <c r="H245" s="20" t="str">
        <f t="shared" ref="H245:H250" si="323">IF(AND(C245=C246,J246="",J245&lt;&gt;""),"L","")</f>
        <v/>
      </c>
      <c r="I245" s="3">
        <f>J245</f>
        <v>43638</v>
      </c>
      <c r="J245" s="15">
        <f>IFERROR(VLOOKUP(B245,'[1]Incoming from JEL'!$A$6:$G$5002,3,0),"")</f>
        <v>43638</v>
      </c>
      <c r="K245" s="15" t="str">
        <f>IFERROR(VLOOKUP(B245,'[1]Incoming from JEL'!$A$6:$G$5002,2,0),"")</f>
        <v>AIP-YKP-JEL-T-0057</v>
      </c>
      <c r="L245" s="15" t="str">
        <f>IFERROR(VLOOKUP(B245,'[1]Incoming from JEL'!$A$6:$G$5002,7,0),"")</f>
        <v>IFA</v>
      </c>
      <c r="M245" s="15">
        <f>IFERROR(VLOOKUP(B245,'[2]Outgoing Transmittals to PDO'!$A$6:$G$20000,3,0),"")</f>
        <v>43657</v>
      </c>
      <c r="N245" s="15" t="str">
        <f>IFERROR(VLOOKUP(B245,'[2]Outgoing Transmittals to PDO'!$A$6:$G$20000,2,0),"")</f>
        <v>AIP-PDO-P1701009-T-1299</v>
      </c>
      <c r="O245" s="15" t="str">
        <f>IFERROR(VLOOKUP(B245,'[2]Outgoing Transmittals to PDO'!$A$6:$G$20000,7,0),"")</f>
        <v>IFR</v>
      </c>
      <c r="P245" s="15">
        <f t="shared" ref="P245:P247" si="324">IF(ISNUMBER(M245),SUM(M245+14),"")</f>
        <v>43671</v>
      </c>
      <c r="Q245" s="15">
        <f>IFERROR(VLOOKUP(B245,'[3]Incoming Transmittals from PDO'!$A$6:$G$20000,3,0),"")</f>
        <v>43706</v>
      </c>
      <c r="R245" s="15" t="str">
        <f>IFERROR(VLOOKUP(B245,'[3]Incoming Transmittals from PDO'!$A$6:$G$20000,2,0),"")</f>
        <v>KHF_AIP_D_EXT_01396</v>
      </c>
      <c r="S245" s="15" t="str">
        <f>IFERROR(VLOOKUP(B245,'[3]Incoming Transmittals from PDO'!$A$6:$G$20000,7,0),"")</f>
        <v>Code D</v>
      </c>
      <c r="T245" s="15">
        <f>IFERROR(VLOOKUP(B245,'[1]Outgoing to JEL'!$A$6:$G$5000,3,0),"")</f>
        <v>43716</v>
      </c>
      <c r="U245" s="15" t="str">
        <f>IFERROR(VLOOKUP(B245,'[1]Outgoing to JEL'!$A$6:$G$5000,2,0),"")</f>
        <v>AIP-YKP-JEL-P1701009-T-0043</v>
      </c>
      <c r="V245" s="15" t="str">
        <f>IFERROR(VLOOKUP(B245,'[1]Outgoing to JEL'!$A$6:$G$5000,7,0),"")</f>
        <v>Code D</v>
      </c>
      <c r="W245" s="3" t="str">
        <f t="shared" ref="W245:W247" si="325">IF(S245="Code A","Approved by PDO",IF(S245="Code B","Comments from PDO",IF(S245="Code C","Review not Required",IF(S245="Code D","Rejected by PDO",IF(V245="Code A","Approved by AIP",IF(V245="Code B","Comments from AIP",IF(V245="Code C","Review not Required",IF(V245="Code D","Rejected by AIP",IF(AND(M245="-",Q245="-"),"Pending for AIP review",IF(O245="IFI","Issued for Information",IF(M245&lt;&gt;"","Pending for PDO Approval",IF(L245="IFI","Issued for AIP Information",IF(J245&lt;&gt;"","Pending for PDO submission",IF(I245&lt;&gt;"","Pending from JEL",""))))))))))))))</f>
        <v>Rejected by PDO</v>
      </c>
    </row>
    <row r="246" spans="1:23" s="16" customFormat="1" x14ac:dyDescent="0.2">
      <c r="A246" s="98"/>
      <c r="B246" s="79" t="str">
        <f t="shared" si="322"/>
        <v>KHF-00-104265-AA-3341-01304-0000-2</v>
      </c>
      <c r="C246" s="31" t="s">
        <v>456</v>
      </c>
      <c r="D246" s="32" t="s">
        <v>457</v>
      </c>
      <c r="E246" s="20">
        <v>2</v>
      </c>
      <c r="F246" s="20"/>
      <c r="G246" s="20"/>
      <c r="H246" s="20" t="str">
        <f t="shared" si="323"/>
        <v>L</v>
      </c>
      <c r="I246" s="3">
        <f t="shared" ref="I246:I247" si="326">IFERROR(IF(OR(V245="Code B",V245="Code D",V245="-",ISNUMBER(J246)),T245+14,""),"")</f>
        <v>43730</v>
      </c>
      <c r="J246" s="15">
        <f>IFERROR(VLOOKUP(B246,'[1]Incoming from JEL'!$A$6:$G$5002,3,0),"")</f>
        <v>43740</v>
      </c>
      <c r="K246" s="15" t="str">
        <f>IFERROR(VLOOKUP(B246,'[1]Incoming from JEL'!$A$6:$G$5002,2,0),"")</f>
        <v>AIP-YKP-JEL -T-0081</v>
      </c>
      <c r="L246" s="15" t="str">
        <f>IFERROR(VLOOKUP(B246,'[1]Incoming from JEL'!$A$6:$G$5002,7,0),"")</f>
        <v>IFA</v>
      </c>
      <c r="M246" s="15">
        <f>IFERROR(VLOOKUP(B246,'[2]Outgoing Transmittals to PDO'!$A$6:$G$20000,3,0),"")</f>
        <v>43740</v>
      </c>
      <c r="N246" s="15" t="str">
        <f>IFERROR(VLOOKUP(B246,'[2]Outgoing Transmittals to PDO'!$A$6:$G$20000,2,0),"")</f>
        <v>AIP-PDO-P1701009-T-1426</v>
      </c>
      <c r="O246" s="15" t="str">
        <f>IFERROR(VLOOKUP(B246,'[2]Outgoing Transmittals to PDO'!$A$6:$G$20000,7,0),"")</f>
        <v>IFA</v>
      </c>
      <c r="P246" s="15">
        <f t="shared" si="324"/>
        <v>43754</v>
      </c>
      <c r="Q246" s="15">
        <f>IFERROR(VLOOKUP(B246,'[3]Incoming Transmittals from PDO'!$A$6:$G$20000,3,0),"")</f>
        <v>43758</v>
      </c>
      <c r="R246" s="15" t="str">
        <f>IFERROR(VLOOKUP(B246,'[3]Incoming Transmittals from PDO'!$A$6:$G$20000,2,0),"")</f>
        <v>KHF_AIP_D_EXT_01476</v>
      </c>
      <c r="S246" s="15" t="str">
        <f>IFERROR(VLOOKUP(B246,'[3]Incoming Transmittals from PDO'!$A$6:$G$20000,7,0),"")</f>
        <v>Code A</v>
      </c>
      <c r="T246" s="15">
        <f>IFERROR(VLOOKUP(B246,'[1]Outgoing to JEL'!$A$6:$G$5000,3,0),"")</f>
        <v>43762</v>
      </c>
      <c r="U246" s="15" t="str">
        <f>IFERROR(VLOOKUP(B246,'[1]Outgoing to JEL'!$A$6:$G$5000,2,0),"")</f>
        <v>AIP-YKP-JEL-P1701009-T-0051</v>
      </c>
      <c r="V246" s="15" t="str">
        <f>IFERROR(VLOOKUP(B246,'[1]Outgoing to JEL'!$A$6:$G$5000,7,0),"")</f>
        <v>Code A</v>
      </c>
      <c r="W246" s="3" t="str">
        <f t="shared" si="325"/>
        <v>Approved by PDO</v>
      </c>
    </row>
    <row r="247" spans="1:23" s="16" customFormat="1" x14ac:dyDescent="0.2">
      <c r="A247" s="99"/>
      <c r="B247" s="79" t="str">
        <f t="shared" si="322"/>
        <v>KHF-00-104265-AA-3341-01304-0000-3</v>
      </c>
      <c r="C247" s="31" t="s">
        <v>456</v>
      </c>
      <c r="D247" s="32" t="s">
        <v>457</v>
      </c>
      <c r="E247" s="20">
        <v>3</v>
      </c>
      <c r="F247" s="20"/>
      <c r="G247" s="20"/>
      <c r="H247" s="20" t="str">
        <f t="shared" si="323"/>
        <v/>
      </c>
      <c r="I247" s="3" t="str">
        <f t="shared" si="326"/>
        <v/>
      </c>
      <c r="J247" s="15" t="str">
        <f>IFERROR(VLOOKUP(B247,'[1]Incoming from JEL'!$A$6:$G$5002,3,0),"")</f>
        <v/>
      </c>
      <c r="K247" s="15" t="str">
        <f>IFERROR(VLOOKUP(B247,'[1]Incoming from JEL'!$A$6:$G$5002,2,0),"")</f>
        <v/>
      </c>
      <c r="L247" s="15" t="str">
        <f>IFERROR(VLOOKUP(B247,'[1]Incoming from JEL'!$A$6:$G$5002,7,0),"")</f>
        <v/>
      </c>
      <c r="M247" s="15" t="str">
        <f>IFERROR(VLOOKUP(B247,'[2]Outgoing Transmittals to PDO'!$A$6:$G$20000,3,0),"")</f>
        <v/>
      </c>
      <c r="N247" s="15" t="str">
        <f>IFERROR(VLOOKUP(B247,'[2]Outgoing Transmittals to PDO'!$A$6:$G$20000,2,0),"")</f>
        <v/>
      </c>
      <c r="O247" s="15" t="str">
        <f>IFERROR(VLOOKUP(B247,'[2]Outgoing Transmittals to PDO'!$A$6:$G$20000,7,0),"")</f>
        <v/>
      </c>
      <c r="P247" s="15" t="str">
        <f t="shared" si="324"/>
        <v/>
      </c>
      <c r="Q247" s="15" t="str">
        <f>IFERROR(VLOOKUP(B247,'[3]Incoming Transmittals from PDO'!$A$6:$G$20000,3,0),"")</f>
        <v/>
      </c>
      <c r="R247" s="15" t="str">
        <f>IFERROR(VLOOKUP(B247,'[3]Incoming Transmittals from PDO'!$A$6:$G$20000,2,0),"")</f>
        <v/>
      </c>
      <c r="S247" s="15" t="str">
        <f>IFERROR(VLOOKUP(B247,'[3]Incoming Transmittals from PDO'!$A$6:$G$20000,7,0),"")</f>
        <v/>
      </c>
      <c r="T247" s="15" t="str">
        <f>IFERROR(VLOOKUP(B247,'[1]Outgoing to JEL'!$A$6:$G$5000,3,0),"")</f>
        <v/>
      </c>
      <c r="U247" s="15" t="str">
        <f>IFERROR(VLOOKUP(B247,'[1]Outgoing to JEL'!$A$6:$G$5000,2,0),"")</f>
        <v/>
      </c>
      <c r="V247" s="15" t="str">
        <f>IFERROR(VLOOKUP(B247,'[1]Outgoing to JEL'!$A$6:$G$5000,7,0),"")</f>
        <v/>
      </c>
      <c r="W247" s="3" t="str">
        <f t="shared" si="325"/>
        <v/>
      </c>
    </row>
    <row r="248" spans="1:23" s="16" customFormat="1" x14ac:dyDescent="0.2">
      <c r="A248" s="97">
        <f>A245+1</f>
        <v>77</v>
      </c>
      <c r="B248" s="91" t="str">
        <f t="shared" ref="B248:B250" si="327">CONCATENATE(C248,"-",E248)</f>
        <v>KHF-00-104265-QA-7180-01301-0000-1</v>
      </c>
      <c r="C248" s="31" t="s">
        <v>489</v>
      </c>
      <c r="D248" s="32" t="s">
        <v>490</v>
      </c>
      <c r="E248" s="20">
        <v>1</v>
      </c>
      <c r="F248" s="20"/>
      <c r="G248" s="20"/>
      <c r="H248" s="20" t="str">
        <f t="shared" si="323"/>
        <v>L</v>
      </c>
      <c r="I248" s="3">
        <f>J248</f>
        <v>43795</v>
      </c>
      <c r="J248" s="15">
        <f>IFERROR(VLOOKUP(B248,'[1]Incoming from JEL'!$A$6:$G$5002,3,0),"")</f>
        <v>43795</v>
      </c>
      <c r="K248" s="15" t="str">
        <f>IFERROR(VLOOKUP(B248,'[1]Incoming from JEL'!$A$6:$G$5002,2,0),"")</f>
        <v>AIP-YKP-JEL -T-0087</v>
      </c>
      <c r="L248" s="15" t="str">
        <f>IFERROR(VLOOKUP(B248,'[1]Incoming from JEL'!$A$6:$G$5002,7,0),"")</f>
        <v>IFR</v>
      </c>
      <c r="M248" s="15">
        <f>IFERROR(VLOOKUP(B248,'[2]Outgoing Transmittals to PDO'!$A$6:$G$20000,3,0),"")</f>
        <v>43795</v>
      </c>
      <c r="N248" s="15" t="str">
        <f>IFERROR(VLOOKUP(B248,'[2]Outgoing Transmittals to PDO'!$A$6:$G$20000,2,0),"")</f>
        <v>AIP-PDO-P1701009-T-1513</v>
      </c>
      <c r="O248" s="15" t="str">
        <f>IFERROR(VLOOKUP(B248,'[2]Outgoing Transmittals to PDO'!$A$6:$G$20000,7,0),"")</f>
        <v>IFR</v>
      </c>
      <c r="P248" s="15">
        <f t="shared" ref="P248:P250" si="328">IF(ISNUMBER(M248),SUM(M248+14),"")</f>
        <v>43809</v>
      </c>
      <c r="Q248" s="15" t="str">
        <f>IFERROR(VLOOKUP(B248,'[3]Incoming Transmittals from PDO'!$A$6:$G$20000,3,0),"")</f>
        <v/>
      </c>
      <c r="R248" s="15" t="str">
        <f>IFERROR(VLOOKUP(B248,'[3]Incoming Transmittals from PDO'!$A$6:$G$20000,2,0),"")</f>
        <v/>
      </c>
      <c r="S248" s="15" t="str">
        <f>IFERROR(VLOOKUP(B248,'[3]Incoming Transmittals from PDO'!$A$6:$G$20000,7,0),"")</f>
        <v/>
      </c>
      <c r="T248" s="15" t="str">
        <f>IFERROR(VLOOKUP(B248,'[1]Outgoing to JEL'!$A$6:$G$5000,3,0),"")</f>
        <v/>
      </c>
      <c r="U248" s="15" t="str">
        <f>IFERROR(VLOOKUP(B248,'[1]Outgoing to JEL'!$A$6:$G$5000,2,0),"")</f>
        <v/>
      </c>
      <c r="V248" s="15" t="str">
        <f>IFERROR(VLOOKUP(B248,'[1]Outgoing to JEL'!$A$6:$G$5000,7,0),"")</f>
        <v/>
      </c>
      <c r="W248" s="3" t="str">
        <f t="shared" ref="W248:W250" si="329">IF(S248="Code A","Approved by PDO",IF(S248="Code B","Comments from PDO",IF(S248="Code C","Review not Required",IF(S248="Code D","Rejected by PDO",IF(V248="Code A","Approved by AIP",IF(V248="Code B","Comments from AIP",IF(V248="Code C","Review not Required",IF(V248="Code D","Rejected by AIP",IF(AND(M248="-",Q248="-"),"Pending for AIP review",IF(O248="IFI","Issued for Information",IF(M248&lt;&gt;"","Pending for PDO Approval",IF(L248="IFI","Issued for AIP Information",IF(J248&lt;&gt;"","Pending for PDO submission",IF(I248&lt;&gt;"","Pending from JEL",""))))))))))))))</f>
        <v>Pending for PDO Approval</v>
      </c>
    </row>
    <row r="249" spans="1:23" s="16" customFormat="1" x14ac:dyDescent="0.2">
      <c r="A249" s="98"/>
      <c r="B249" s="91" t="str">
        <f t="shared" si="327"/>
        <v>KHF-00-104265-QA-7180-01301-0000-2</v>
      </c>
      <c r="C249" s="31" t="s">
        <v>489</v>
      </c>
      <c r="D249" s="32" t="s">
        <v>490</v>
      </c>
      <c r="E249" s="20">
        <v>2</v>
      </c>
      <c r="F249" s="20"/>
      <c r="G249" s="20"/>
      <c r="H249" s="20" t="str">
        <f t="shared" si="323"/>
        <v/>
      </c>
      <c r="I249" s="3" t="str">
        <f t="shared" ref="I249:I250" si="330">IFERROR(IF(OR(V248="Code B",V248="Code D",V248="-",ISNUMBER(J249)),T248+14,""),"")</f>
        <v/>
      </c>
      <c r="J249" s="15" t="str">
        <f>IFERROR(VLOOKUP(B249,'[1]Incoming from JEL'!$A$6:$G$5002,3,0),"")</f>
        <v/>
      </c>
      <c r="K249" s="15" t="str">
        <f>IFERROR(VLOOKUP(B249,'[1]Incoming from JEL'!$A$6:$G$5002,2,0),"")</f>
        <v/>
      </c>
      <c r="L249" s="15" t="str">
        <f>IFERROR(VLOOKUP(B249,'[1]Incoming from JEL'!$A$6:$G$5002,7,0),"")</f>
        <v/>
      </c>
      <c r="M249" s="15" t="str">
        <f>IFERROR(VLOOKUP(B249,'[2]Outgoing Transmittals to PDO'!$A$6:$G$20000,3,0),"")</f>
        <v/>
      </c>
      <c r="N249" s="15" t="str">
        <f>IFERROR(VLOOKUP(B249,'[2]Outgoing Transmittals to PDO'!$A$6:$G$20000,2,0),"")</f>
        <v/>
      </c>
      <c r="O249" s="15" t="str">
        <f>IFERROR(VLOOKUP(B249,'[2]Outgoing Transmittals to PDO'!$A$6:$G$20000,7,0),"")</f>
        <v/>
      </c>
      <c r="P249" s="15" t="str">
        <f t="shared" si="328"/>
        <v/>
      </c>
      <c r="Q249" s="15" t="str">
        <f>IFERROR(VLOOKUP(B249,'[3]Incoming Transmittals from PDO'!$A$6:$G$20000,3,0),"")</f>
        <v/>
      </c>
      <c r="R249" s="15" t="str">
        <f>IFERROR(VLOOKUP(B249,'[3]Incoming Transmittals from PDO'!$A$6:$G$20000,2,0),"")</f>
        <v/>
      </c>
      <c r="S249" s="15" t="str">
        <f>IFERROR(VLOOKUP(B249,'[3]Incoming Transmittals from PDO'!$A$6:$G$20000,7,0),"")</f>
        <v/>
      </c>
      <c r="T249" s="15" t="str">
        <f>IFERROR(VLOOKUP(B249,'[1]Outgoing to JEL'!$A$6:$G$5000,3,0),"")</f>
        <v/>
      </c>
      <c r="U249" s="15" t="str">
        <f>IFERROR(VLOOKUP(B249,'[1]Outgoing to JEL'!$A$6:$G$5000,2,0),"")</f>
        <v/>
      </c>
      <c r="V249" s="15" t="str">
        <f>IFERROR(VLOOKUP(B249,'[1]Outgoing to JEL'!$A$6:$G$5000,7,0),"")</f>
        <v/>
      </c>
      <c r="W249" s="3" t="str">
        <f t="shared" si="329"/>
        <v/>
      </c>
    </row>
    <row r="250" spans="1:23" s="16" customFormat="1" x14ac:dyDescent="0.2">
      <c r="A250" s="99"/>
      <c r="B250" s="91" t="str">
        <f t="shared" si="327"/>
        <v>KHF-00-104265-QA-7180-01301-0000-3</v>
      </c>
      <c r="C250" s="31" t="s">
        <v>489</v>
      </c>
      <c r="D250" s="32" t="s">
        <v>490</v>
      </c>
      <c r="E250" s="20">
        <v>3</v>
      </c>
      <c r="F250" s="20"/>
      <c r="G250" s="20"/>
      <c r="H250" s="20" t="str">
        <f t="shared" si="323"/>
        <v/>
      </c>
      <c r="I250" s="3" t="str">
        <f t="shared" si="330"/>
        <v/>
      </c>
      <c r="J250" s="15" t="str">
        <f>IFERROR(VLOOKUP(B250,'[1]Incoming from JEL'!$A$6:$G$5002,3,0),"")</f>
        <v/>
      </c>
      <c r="K250" s="15" t="str">
        <f>IFERROR(VLOOKUP(B250,'[1]Incoming from JEL'!$A$6:$G$5002,2,0),"")</f>
        <v/>
      </c>
      <c r="L250" s="15" t="str">
        <f>IFERROR(VLOOKUP(B250,'[1]Incoming from JEL'!$A$6:$G$5002,7,0),"")</f>
        <v/>
      </c>
      <c r="M250" s="15" t="str">
        <f>IFERROR(VLOOKUP(B250,'[2]Outgoing Transmittals to PDO'!$A$6:$G$20000,3,0),"")</f>
        <v/>
      </c>
      <c r="N250" s="15" t="str">
        <f>IFERROR(VLOOKUP(B250,'[2]Outgoing Transmittals to PDO'!$A$6:$G$20000,2,0),"")</f>
        <v/>
      </c>
      <c r="O250" s="15" t="str">
        <f>IFERROR(VLOOKUP(B250,'[2]Outgoing Transmittals to PDO'!$A$6:$G$20000,7,0),"")</f>
        <v/>
      </c>
      <c r="P250" s="15" t="str">
        <f t="shared" si="328"/>
        <v/>
      </c>
      <c r="Q250" s="15" t="str">
        <f>IFERROR(VLOOKUP(B250,'[3]Incoming Transmittals from PDO'!$A$6:$G$20000,3,0),"")</f>
        <v/>
      </c>
      <c r="R250" s="15" t="str">
        <f>IFERROR(VLOOKUP(B250,'[3]Incoming Transmittals from PDO'!$A$6:$G$20000,2,0),"")</f>
        <v/>
      </c>
      <c r="S250" s="15" t="str">
        <f>IFERROR(VLOOKUP(B250,'[3]Incoming Transmittals from PDO'!$A$6:$G$20000,7,0),"")</f>
        <v/>
      </c>
      <c r="T250" s="15" t="str">
        <f>IFERROR(VLOOKUP(B250,'[1]Outgoing to JEL'!$A$6:$G$5000,3,0),"")</f>
        <v/>
      </c>
      <c r="U250" s="15" t="str">
        <f>IFERROR(VLOOKUP(B250,'[1]Outgoing to JEL'!$A$6:$G$5000,2,0),"")</f>
        <v/>
      </c>
      <c r="V250" s="15" t="str">
        <f>IFERROR(VLOOKUP(B250,'[1]Outgoing to JEL'!$A$6:$G$5000,7,0),"")</f>
        <v/>
      </c>
      <c r="W250" s="3" t="str">
        <f t="shared" si="329"/>
        <v/>
      </c>
    </row>
    <row r="251" spans="1:23" s="16" customFormat="1" x14ac:dyDescent="0.2">
      <c r="A251" s="45"/>
      <c r="B251" s="44"/>
      <c r="C251" s="46" t="s">
        <v>359</v>
      </c>
      <c r="D251" s="32"/>
      <c r="E251" s="20"/>
      <c r="F251" s="20"/>
      <c r="G251" s="20"/>
      <c r="H251" s="20"/>
      <c r="I251" s="3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3"/>
    </row>
    <row r="252" spans="1:23" s="16" customFormat="1" x14ac:dyDescent="0.2">
      <c r="A252" s="97">
        <v>1</v>
      </c>
      <c r="B252" s="41" t="str">
        <f t="shared" ref="B252:B257" si="331">CONCATENATE(C252,"-",E252)</f>
        <v>KHF-00-104265-AA-6944-01301-0000-1</v>
      </c>
      <c r="C252" s="31" t="s">
        <v>346</v>
      </c>
      <c r="D252" s="32" t="s">
        <v>362</v>
      </c>
      <c r="E252" s="20">
        <v>1</v>
      </c>
      <c r="F252" s="20"/>
      <c r="G252" s="20"/>
      <c r="H252" s="20" t="str">
        <f t="shared" ref="H252:H260" si="332">IF(AND(C252=C253,J253="",J252&lt;&gt;""),"L","")</f>
        <v>L</v>
      </c>
      <c r="I252" s="3">
        <f t="shared" ref="I252" si="333">J252</f>
        <v>43540</v>
      </c>
      <c r="J252" s="15">
        <f>IFERROR(VLOOKUP(B252,'[1]Incoming from JEL'!$A$6:$G$5002,3,0),"")</f>
        <v>43540</v>
      </c>
      <c r="K252" s="15" t="str">
        <f>IFERROR(VLOOKUP(B252,'[1]Incoming from JEL'!$A$6:$G$5002,2,0),"")</f>
        <v>AIP-YKP-JEL-T-0023</v>
      </c>
      <c r="L252" s="15" t="str">
        <f>IFERROR(VLOOKUP(B252,'[1]Incoming from JEL'!$A$6:$G$5002,7,0),"")</f>
        <v>IFI</v>
      </c>
      <c r="M252" s="15" t="str">
        <f>IFERROR(VLOOKUP(B252,'[2]Outgoing Transmittals to PDO'!$A$6:$G$20000,3,0),"")</f>
        <v/>
      </c>
      <c r="N252" s="15" t="str">
        <f>IFERROR(VLOOKUP(B252,'[2]Outgoing Transmittals to PDO'!$A$6:$G$20000,2,0),"")</f>
        <v/>
      </c>
      <c r="O252" s="15" t="str">
        <f>IFERROR(VLOOKUP(B252,'[2]Outgoing Transmittals to PDO'!$A$6:$G$20000,7,0),"")</f>
        <v/>
      </c>
      <c r="P252" s="15" t="str">
        <f t="shared" ref="P252:P257" si="334">IF(ISNUMBER(M252),SUM(M252+14),"")</f>
        <v/>
      </c>
      <c r="Q252" s="15" t="str">
        <f>IFERROR(VLOOKUP(B252,'[3]Incoming Transmittals from PDO'!$A$6:$G$20000,3,0),"")</f>
        <v/>
      </c>
      <c r="R252" s="15" t="str">
        <f>IFERROR(VLOOKUP(B252,'[3]Incoming Transmittals from PDO'!$A$6:$G$20000,2,0),"")</f>
        <v/>
      </c>
      <c r="S252" s="15" t="str">
        <f>IFERROR(VLOOKUP(B252,'[3]Incoming Transmittals from PDO'!$A$6:$G$20000,7,0),"")</f>
        <v/>
      </c>
      <c r="T252" s="15" t="str">
        <f>IFERROR(VLOOKUP(B252,'[1]Outgoing to JEL'!$A$6:$G$5000,3,0),"")</f>
        <v/>
      </c>
      <c r="U252" s="15" t="str">
        <f>IFERROR(VLOOKUP(B252,'[1]Outgoing to JEL'!$A$6:$G$5000,2,0),"")</f>
        <v/>
      </c>
      <c r="V252" s="15" t="str">
        <f>IFERROR(VLOOKUP(B252,'[1]Outgoing to JEL'!$A$6:$G$5000,7,0),"")</f>
        <v/>
      </c>
      <c r="W252" s="3" t="str">
        <f t="shared" ref="W252:W257" si="335">IF(S252="Code A","Approved by PDO",IF(S252="Code B","Comments from PDO",IF(S252="Code C","Review not Required",IF(S252="Code D","Rejected by PDO",IF(V252="Code A","Approved by AIP",IF(V252="Code B","Comments from AIP",IF(V252="Code C","Review not Required",IF(V252="Code D","Rejected by AIP",IF(AND(M252="-",Q252="-"),"Pending for AIP review",IF(O252="IFI","Issued for Information",IF(M252&lt;&gt;"","Pending for PDO Approval",IF(L252="IFI","Issued for AIP Information",IF(J252&lt;&gt;"","Pending for PDO submission",IF(I252&lt;&gt;"","Pending from JEL",""))))))))))))))</f>
        <v>Issued for AIP Information</v>
      </c>
    </row>
    <row r="253" spans="1:23" s="16" customFormat="1" x14ac:dyDescent="0.2">
      <c r="A253" s="98"/>
      <c r="B253" s="41" t="str">
        <f t="shared" si="331"/>
        <v>KHF-00-104265-AA-6944-01301-0000-2</v>
      </c>
      <c r="C253" s="31" t="s">
        <v>346</v>
      </c>
      <c r="D253" s="32" t="s">
        <v>362</v>
      </c>
      <c r="E253" s="20">
        <v>2</v>
      </c>
      <c r="F253" s="20"/>
      <c r="G253" s="20"/>
      <c r="H253" s="20" t="str">
        <f t="shared" si="332"/>
        <v/>
      </c>
      <c r="I253" s="3" t="str">
        <f t="shared" ref="I253:I254" si="336">IFERROR(IF(OR(V252="Code B",V252="Code D",V252="-",ISNUMBER(J253)),T252+14,""),"")</f>
        <v/>
      </c>
      <c r="J253" s="15" t="str">
        <f>IFERROR(VLOOKUP(B253,'[1]Incoming from JEL'!$A$6:$G$5002,3,0),"")</f>
        <v/>
      </c>
      <c r="K253" s="15" t="str">
        <f>IFERROR(VLOOKUP(B253,'[1]Incoming from JEL'!$A$6:$G$5002,2,0),"")</f>
        <v/>
      </c>
      <c r="L253" s="15" t="str">
        <f>IFERROR(VLOOKUP(B253,'[1]Incoming from JEL'!$A$6:$G$5002,7,0),"")</f>
        <v/>
      </c>
      <c r="M253" s="15" t="str">
        <f>IFERROR(VLOOKUP(B253,'[2]Outgoing Transmittals to PDO'!$A$6:$G$20000,3,0),"")</f>
        <v/>
      </c>
      <c r="N253" s="15" t="str">
        <f>IFERROR(VLOOKUP(B253,'[2]Outgoing Transmittals to PDO'!$A$6:$G$20000,2,0),"")</f>
        <v/>
      </c>
      <c r="O253" s="15" t="str">
        <f>IFERROR(VLOOKUP(B253,'[2]Outgoing Transmittals to PDO'!$A$6:$G$20000,7,0),"")</f>
        <v/>
      </c>
      <c r="P253" s="15" t="str">
        <f t="shared" si="334"/>
        <v/>
      </c>
      <c r="Q253" s="15" t="str">
        <f>IFERROR(VLOOKUP(B253,'[3]Incoming Transmittals from PDO'!$A$6:$G$20000,3,0),"")</f>
        <v/>
      </c>
      <c r="R253" s="15" t="str">
        <f>IFERROR(VLOOKUP(B253,'[3]Incoming Transmittals from PDO'!$A$6:$G$20000,2,0),"")</f>
        <v/>
      </c>
      <c r="S253" s="15" t="str">
        <f>IFERROR(VLOOKUP(B253,'[3]Incoming Transmittals from PDO'!$A$6:$G$20000,7,0),"")</f>
        <v/>
      </c>
      <c r="T253" s="15" t="str">
        <f>IFERROR(VLOOKUP(B253,'[1]Outgoing to JEL'!$A$6:$G$5000,3,0),"")</f>
        <v/>
      </c>
      <c r="U253" s="15" t="str">
        <f>IFERROR(VLOOKUP(B253,'[1]Outgoing to JEL'!$A$6:$G$5000,2,0),"")</f>
        <v/>
      </c>
      <c r="V253" s="15" t="str">
        <f>IFERROR(VLOOKUP(B253,'[1]Outgoing to JEL'!$A$6:$G$5000,7,0),"")</f>
        <v/>
      </c>
      <c r="W253" s="3" t="str">
        <f t="shared" si="335"/>
        <v/>
      </c>
    </row>
    <row r="254" spans="1:23" s="16" customFormat="1" x14ac:dyDescent="0.2">
      <c r="A254" s="99"/>
      <c r="B254" s="41" t="str">
        <f t="shared" si="331"/>
        <v>KHF-00-104265-AA-6944-01301-0000-3</v>
      </c>
      <c r="C254" s="31" t="s">
        <v>346</v>
      </c>
      <c r="D254" s="32" t="s">
        <v>362</v>
      </c>
      <c r="E254" s="20">
        <v>3</v>
      </c>
      <c r="F254" s="20"/>
      <c r="G254" s="20"/>
      <c r="H254" s="20" t="str">
        <f t="shared" si="332"/>
        <v/>
      </c>
      <c r="I254" s="3" t="str">
        <f t="shared" si="336"/>
        <v/>
      </c>
      <c r="J254" s="15" t="str">
        <f>IFERROR(VLOOKUP(B254,'[1]Incoming from JEL'!$A$6:$G$5002,3,0),"")</f>
        <v/>
      </c>
      <c r="K254" s="15" t="str">
        <f>IFERROR(VLOOKUP(B254,'[1]Incoming from JEL'!$A$6:$G$5002,2,0),"")</f>
        <v/>
      </c>
      <c r="L254" s="15" t="str">
        <f>IFERROR(VLOOKUP(B254,'[1]Incoming from JEL'!$A$6:$G$5002,7,0),"")</f>
        <v/>
      </c>
      <c r="M254" s="15" t="str">
        <f>IFERROR(VLOOKUP(B254,'[2]Outgoing Transmittals to PDO'!$A$6:$G$20000,3,0),"")</f>
        <v/>
      </c>
      <c r="N254" s="15" t="str">
        <f>IFERROR(VLOOKUP(B254,'[2]Outgoing Transmittals to PDO'!$A$6:$G$20000,2,0),"")</f>
        <v/>
      </c>
      <c r="O254" s="15" t="str">
        <f>IFERROR(VLOOKUP(B254,'[2]Outgoing Transmittals to PDO'!$A$6:$G$20000,7,0),"")</f>
        <v/>
      </c>
      <c r="P254" s="15" t="str">
        <f t="shared" si="334"/>
        <v/>
      </c>
      <c r="Q254" s="15" t="str">
        <f>IFERROR(VLOOKUP(B254,'[3]Incoming Transmittals from PDO'!$A$6:$G$20000,3,0),"")</f>
        <v/>
      </c>
      <c r="R254" s="15" t="str">
        <f>IFERROR(VLOOKUP(B254,'[3]Incoming Transmittals from PDO'!$A$6:$G$20000,2,0),"")</f>
        <v/>
      </c>
      <c r="S254" s="15" t="str">
        <f>IFERROR(VLOOKUP(B254,'[3]Incoming Transmittals from PDO'!$A$6:$G$20000,7,0),"")</f>
        <v/>
      </c>
      <c r="T254" s="15" t="str">
        <f>IFERROR(VLOOKUP(B254,'[1]Outgoing to JEL'!$A$6:$G$5000,3,0),"")</f>
        <v/>
      </c>
      <c r="U254" s="15" t="str">
        <f>IFERROR(VLOOKUP(B254,'[1]Outgoing to JEL'!$A$6:$G$5000,2,0),"")</f>
        <v/>
      </c>
      <c r="V254" s="15" t="str">
        <f>IFERROR(VLOOKUP(B254,'[1]Outgoing to JEL'!$A$6:$G$5000,7,0),"")</f>
        <v/>
      </c>
      <c r="W254" s="3" t="str">
        <f t="shared" si="335"/>
        <v/>
      </c>
    </row>
    <row r="255" spans="1:23" s="16" customFormat="1" x14ac:dyDescent="0.2">
      <c r="A255" s="97">
        <f>A252+1</f>
        <v>2</v>
      </c>
      <c r="B255" s="53" t="str">
        <f t="shared" si="331"/>
        <v>KHF-00-104265-AA-6944-01302-0000-1</v>
      </c>
      <c r="C255" s="31" t="s">
        <v>377</v>
      </c>
      <c r="D255" s="32" t="s">
        <v>378</v>
      </c>
      <c r="E255" s="20">
        <v>1</v>
      </c>
      <c r="F255" s="20"/>
      <c r="G255" s="20"/>
      <c r="H255" s="20" t="str">
        <f t="shared" si="332"/>
        <v>L</v>
      </c>
      <c r="I255" s="3">
        <f t="shared" ref="I255" si="337">J255</f>
        <v>43557</v>
      </c>
      <c r="J255" s="15">
        <f>IFERROR(VLOOKUP(B255,'[1]Incoming from JEL'!$A$6:$G$5002,3,0),"")</f>
        <v>43557</v>
      </c>
      <c r="K255" s="15" t="str">
        <f>IFERROR(VLOOKUP(B255,'[1]Incoming from JEL'!$A$6:$G$5002,2,0),"")</f>
        <v>AIP-YKP-JEL-T-0032</v>
      </c>
      <c r="L255" s="15" t="str">
        <f>IFERROR(VLOOKUP(B255,'[1]Incoming from JEL'!$A$6:$G$5002,7,0),"")</f>
        <v>IFI</v>
      </c>
      <c r="M255" s="15" t="str">
        <f>IFERROR(VLOOKUP(B255,'[2]Outgoing Transmittals to PDO'!$A$6:$G$20000,3,0),"")</f>
        <v/>
      </c>
      <c r="N255" s="15" t="str">
        <f>IFERROR(VLOOKUP(B255,'[2]Outgoing Transmittals to PDO'!$A$6:$G$20000,2,0),"")</f>
        <v/>
      </c>
      <c r="O255" s="15" t="str">
        <f>IFERROR(VLOOKUP(B255,'[2]Outgoing Transmittals to PDO'!$A$6:$G$20000,7,0),"")</f>
        <v/>
      </c>
      <c r="P255" s="15" t="str">
        <f t="shared" si="334"/>
        <v/>
      </c>
      <c r="Q255" s="15" t="str">
        <f>IFERROR(VLOOKUP(B255,'[3]Incoming Transmittals from PDO'!$A$6:$G$20000,3,0),"")</f>
        <v/>
      </c>
      <c r="R255" s="15" t="str">
        <f>IFERROR(VLOOKUP(B255,'[3]Incoming Transmittals from PDO'!$A$6:$G$20000,2,0),"")</f>
        <v/>
      </c>
      <c r="S255" s="15" t="str">
        <f>IFERROR(VLOOKUP(B255,'[3]Incoming Transmittals from PDO'!$A$6:$G$20000,7,0),"")</f>
        <v/>
      </c>
      <c r="T255" s="15" t="str">
        <f>IFERROR(VLOOKUP(B255,'[1]Outgoing to JEL'!$A$6:$G$5000,3,0),"")</f>
        <v/>
      </c>
      <c r="U255" s="15" t="str">
        <f>IFERROR(VLOOKUP(B255,'[1]Outgoing to JEL'!$A$6:$G$5000,2,0),"")</f>
        <v/>
      </c>
      <c r="V255" s="15" t="str">
        <f>IFERROR(VLOOKUP(B255,'[1]Outgoing to JEL'!$A$6:$G$5000,7,0),"")</f>
        <v/>
      </c>
      <c r="W255" s="3" t="str">
        <f t="shared" si="335"/>
        <v>Issued for AIP Information</v>
      </c>
    </row>
    <row r="256" spans="1:23" s="16" customFormat="1" x14ac:dyDescent="0.2">
      <c r="A256" s="98"/>
      <c r="B256" s="53" t="str">
        <f t="shared" si="331"/>
        <v>KHF-00-104265-AA-6944-01302-0000-2</v>
      </c>
      <c r="C256" s="31" t="s">
        <v>377</v>
      </c>
      <c r="D256" s="32" t="s">
        <v>378</v>
      </c>
      <c r="E256" s="20">
        <v>2</v>
      </c>
      <c r="F256" s="20"/>
      <c r="G256" s="20"/>
      <c r="H256" s="20" t="str">
        <f t="shared" si="332"/>
        <v/>
      </c>
      <c r="I256" s="3" t="str">
        <f t="shared" ref="I256:I257" si="338">IFERROR(IF(OR(V255="Code B",V255="Code D",V255="-",ISNUMBER(J256)),T255+14,""),"")</f>
        <v/>
      </c>
      <c r="J256" s="15" t="str">
        <f>IFERROR(VLOOKUP(B256,'[1]Incoming from JEL'!$A$6:$G$5002,3,0),"")</f>
        <v/>
      </c>
      <c r="K256" s="15" t="str">
        <f>IFERROR(VLOOKUP(B256,'[1]Incoming from JEL'!$A$6:$G$5002,2,0),"")</f>
        <v/>
      </c>
      <c r="L256" s="15" t="str">
        <f>IFERROR(VLOOKUP(B256,'[1]Incoming from JEL'!$A$6:$G$5002,7,0),"")</f>
        <v/>
      </c>
      <c r="M256" s="15" t="str">
        <f>IFERROR(VLOOKUP(B256,'[2]Outgoing Transmittals to PDO'!$A$6:$G$20000,3,0),"")</f>
        <v/>
      </c>
      <c r="N256" s="15" t="str">
        <f>IFERROR(VLOOKUP(B256,'[2]Outgoing Transmittals to PDO'!$A$6:$G$20000,2,0),"")</f>
        <v/>
      </c>
      <c r="O256" s="15" t="str">
        <f>IFERROR(VLOOKUP(B256,'[2]Outgoing Transmittals to PDO'!$A$6:$G$20000,7,0),"")</f>
        <v/>
      </c>
      <c r="P256" s="15" t="str">
        <f t="shared" si="334"/>
        <v/>
      </c>
      <c r="Q256" s="15" t="str">
        <f>IFERROR(VLOOKUP(B256,'[3]Incoming Transmittals from PDO'!$A$6:$G$20000,3,0),"")</f>
        <v/>
      </c>
      <c r="R256" s="15" t="str">
        <f>IFERROR(VLOOKUP(B256,'[3]Incoming Transmittals from PDO'!$A$6:$G$20000,2,0),"")</f>
        <v/>
      </c>
      <c r="S256" s="15" t="str">
        <f>IFERROR(VLOOKUP(B256,'[3]Incoming Transmittals from PDO'!$A$6:$G$20000,7,0),"")</f>
        <v/>
      </c>
      <c r="T256" s="15" t="str">
        <f>IFERROR(VLOOKUP(B256,'[1]Outgoing to JEL'!$A$6:$G$5000,3,0),"")</f>
        <v/>
      </c>
      <c r="U256" s="15" t="str">
        <f>IFERROR(VLOOKUP(B256,'[1]Outgoing to JEL'!$A$6:$G$5000,2,0),"")</f>
        <v/>
      </c>
      <c r="V256" s="15" t="str">
        <f>IFERROR(VLOOKUP(B256,'[1]Outgoing to JEL'!$A$6:$G$5000,7,0),"")</f>
        <v/>
      </c>
      <c r="W256" s="3" t="str">
        <f t="shared" si="335"/>
        <v/>
      </c>
    </row>
    <row r="257" spans="1:23" s="16" customFormat="1" x14ac:dyDescent="0.2">
      <c r="A257" s="99"/>
      <c r="B257" s="53" t="str">
        <f t="shared" si="331"/>
        <v>KHF-00-104265-AA-6944-01302-0000-3</v>
      </c>
      <c r="C257" s="31" t="s">
        <v>377</v>
      </c>
      <c r="D257" s="32" t="s">
        <v>378</v>
      </c>
      <c r="E257" s="20">
        <v>3</v>
      </c>
      <c r="F257" s="20"/>
      <c r="G257" s="20"/>
      <c r="H257" s="20" t="str">
        <f t="shared" si="332"/>
        <v/>
      </c>
      <c r="I257" s="3" t="str">
        <f t="shared" si="338"/>
        <v/>
      </c>
      <c r="J257" s="15" t="str">
        <f>IFERROR(VLOOKUP(B257,'[1]Incoming from JEL'!$A$6:$G$5002,3,0),"")</f>
        <v/>
      </c>
      <c r="K257" s="15" t="str">
        <f>IFERROR(VLOOKUP(B257,'[1]Incoming from JEL'!$A$6:$G$5002,2,0),"")</f>
        <v/>
      </c>
      <c r="L257" s="15" t="str">
        <f>IFERROR(VLOOKUP(B257,'[1]Incoming from JEL'!$A$6:$G$5002,7,0),"")</f>
        <v/>
      </c>
      <c r="M257" s="15" t="str">
        <f>IFERROR(VLOOKUP(B257,'[2]Outgoing Transmittals to PDO'!$A$6:$G$20000,3,0),"")</f>
        <v/>
      </c>
      <c r="N257" s="15" t="str">
        <f>IFERROR(VLOOKUP(B257,'[2]Outgoing Transmittals to PDO'!$A$6:$G$20000,2,0),"")</f>
        <v/>
      </c>
      <c r="O257" s="15" t="str">
        <f>IFERROR(VLOOKUP(B257,'[2]Outgoing Transmittals to PDO'!$A$6:$G$20000,7,0),"")</f>
        <v/>
      </c>
      <c r="P257" s="15" t="str">
        <f t="shared" si="334"/>
        <v/>
      </c>
      <c r="Q257" s="15" t="str">
        <f>IFERROR(VLOOKUP(B257,'[3]Incoming Transmittals from PDO'!$A$6:$G$20000,3,0),"")</f>
        <v/>
      </c>
      <c r="R257" s="15" t="str">
        <f>IFERROR(VLOOKUP(B257,'[3]Incoming Transmittals from PDO'!$A$6:$G$20000,2,0),"")</f>
        <v/>
      </c>
      <c r="S257" s="15" t="str">
        <f>IFERROR(VLOOKUP(B257,'[3]Incoming Transmittals from PDO'!$A$6:$G$20000,7,0),"")</f>
        <v/>
      </c>
      <c r="T257" s="15" t="str">
        <f>IFERROR(VLOOKUP(B257,'[1]Outgoing to JEL'!$A$6:$G$5000,3,0),"")</f>
        <v/>
      </c>
      <c r="U257" s="15" t="str">
        <f>IFERROR(VLOOKUP(B257,'[1]Outgoing to JEL'!$A$6:$G$5000,2,0),"")</f>
        <v/>
      </c>
      <c r="V257" s="15" t="str">
        <f>IFERROR(VLOOKUP(B257,'[1]Outgoing to JEL'!$A$6:$G$5000,7,0),"")</f>
        <v/>
      </c>
      <c r="W257" s="3" t="str">
        <f t="shared" si="335"/>
        <v/>
      </c>
    </row>
    <row r="258" spans="1:23" s="16" customFormat="1" x14ac:dyDescent="0.2">
      <c r="A258" s="97">
        <f>A255+1</f>
        <v>3</v>
      </c>
      <c r="B258" s="60" t="str">
        <f t="shared" ref="B258:B260" si="339">CONCATENATE(C258,"-",E258)</f>
        <v>KHF-00-104265-AA-6944-01303-0000-1</v>
      </c>
      <c r="C258" s="31" t="s">
        <v>408</v>
      </c>
      <c r="D258" s="32" t="s">
        <v>409</v>
      </c>
      <c r="E258" s="20">
        <v>1</v>
      </c>
      <c r="F258" s="20"/>
      <c r="G258" s="20"/>
      <c r="H258" s="20" t="str">
        <f t="shared" si="332"/>
        <v>L</v>
      </c>
      <c r="I258" s="3">
        <f t="shared" ref="I258" si="340">J258</f>
        <v>43585</v>
      </c>
      <c r="J258" s="15">
        <f>IFERROR(VLOOKUP(B258,'[1]Incoming from JEL'!$A$6:$G$5002,3,0),"")</f>
        <v>43585</v>
      </c>
      <c r="K258" s="15" t="str">
        <f>IFERROR(VLOOKUP(B258,'[1]Incoming from JEL'!$A$6:$G$5002,2,0),"")</f>
        <v>AIP-YKP-JEL -T-0045</v>
      </c>
      <c r="L258" s="15" t="str">
        <f>IFERROR(VLOOKUP(B258,'[1]Incoming from JEL'!$A$6:$G$5002,7,0),"")</f>
        <v>IFI</v>
      </c>
      <c r="M258" s="15" t="str">
        <f>IFERROR(VLOOKUP(B258,'[2]Outgoing Transmittals to PDO'!$A$6:$G$20000,3,0),"")</f>
        <v/>
      </c>
      <c r="N258" s="15" t="str">
        <f>IFERROR(VLOOKUP(B258,'[2]Outgoing Transmittals to PDO'!$A$6:$G$20000,2,0),"")</f>
        <v/>
      </c>
      <c r="O258" s="15" t="str">
        <f>IFERROR(VLOOKUP(B258,'[2]Outgoing Transmittals to PDO'!$A$6:$G$20000,7,0),"")</f>
        <v/>
      </c>
      <c r="P258" s="15" t="str">
        <f t="shared" ref="P258:P260" si="341">IF(ISNUMBER(M258),SUM(M258+14),"")</f>
        <v/>
      </c>
      <c r="Q258" s="15" t="str">
        <f>IFERROR(VLOOKUP(B258,'[3]Incoming Transmittals from PDO'!$A$6:$G$20000,3,0),"")</f>
        <v/>
      </c>
      <c r="R258" s="15" t="str">
        <f>IFERROR(VLOOKUP(B258,'[3]Incoming Transmittals from PDO'!$A$6:$G$20000,2,0),"")</f>
        <v/>
      </c>
      <c r="S258" s="15" t="str">
        <f>IFERROR(VLOOKUP(B258,'[3]Incoming Transmittals from PDO'!$A$6:$G$20000,7,0),"")</f>
        <v/>
      </c>
      <c r="T258" s="15" t="str">
        <f>IFERROR(VLOOKUP(B258,'[1]Outgoing to JEL'!$A$6:$G$5000,3,0),"")</f>
        <v/>
      </c>
      <c r="U258" s="15" t="str">
        <f>IFERROR(VLOOKUP(B258,'[1]Outgoing to JEL'!$A$6:$G$5000,2,0),"")</f>
        <v/>
      </c>
      <c r="V258" s="15" t="str">
        <f>IFERROR(VLOOKUP(B258,'[1]Outgoing to JEL'!$A$6:$G$5000,7,0),"")</f>
        <v/>
      </c>
      <c r="W258" s="3" t="str">
        <f t="shared" ref="W258:W260" si="342">IF(S258="Code A","Approved by PDO",IF(S258="Code B","Comments from PDO",IF(S258="Code C","Review not Required",IF(S258="Code D","Rejected by PDO",IF(V258="Code A","Approved by AIP",IF(V258="Code B","Comments from AIP",IF(V258="Code C","Review not Required",IF(V258="Code D","Rejected by AIP",IF(AND(M258="-",Q258="-"),"Pending for AIP review",IF(O258="IFI","Issued for Information",IF(M258&lt;&gt;"","Pending for PDO Approval",IF(L258="IFI","Issued for AIP Information",IF(J258&lt;&gt;"","Pending for PDO submission",IF(I258&lt;&gt;"","Pending from JEL",""))))))))))))))</f>
        <v>Issued for AIP Information</v>
      </c>
    </row>
    <row r="259" spans="1:23" s="16" customFormat="1" x14ac:dyDescent="0.2">
      <c r="A259" s="98"/>
      <c r="B259" s="60" t="str">
        <f t="shared" si="339"/>
        <v>KHF-00-104265-AA-6944-01303-0000-2</v>
      </c>
      <c r="C259" s="31" t="s">
        <v>408</v>
      </c>
      <c r="D259" s="32" t="s">
        <v>409</v>
      </c>
      <c r="E259" s="20">
        <v>2</v>
      </c>
      <c r="F259" s="20"/>
      <c r="G259" s="20"/>
      <c r="H259" s="20" t="str">
        <f t="shared" si="332"/>
        <v/>
      </c>
      <c r="I259" s="3" t="str">
        <f t="shared" ref="I259:I260" si="343">IFERROR(IF(OR(V258="Code B",V258="Code D",V258="-",ISNUMBER(J259)),T258+14,""),"")</f>
        <v/>
      </c>
      <c r="J259" s="15" t="str">
        <f>IFERROR(VLOOKUP(B259,'[1]Incoming from JEL'!$A$6:$G$5002,3,0),"")</f>
        <v/>
      </c>
      <c r="K259" s="15" t="str">
        <f>IFERROR(VLOOKUP(B259,'[1]Incoming from JEL'!$A$6:$G$5002,2,0),"")</f>
        <v/>
      </c>
      <c r="L259" s="15" t="str">
        <f>IFERROR(VLOOKUP(B259,'[1]Incoming from JEL'!$A$6:$G$5002,7,0),"")</f>
        <v/>
      </c>
      <c r="M259" s="15" t="str">
        <f>IFERROR(VLOOKUP(B259,'[2]Outgoing Transmittals to PDO'!$A$6:$G$20000,3,0),"")</f>
        <v/>
      </c>
      <c r="N259" s="15" t="str">
        <f>IFERROR(VLOOKUP(B259,'[2]Outgoing Transmittals to PDO'!$A$6:$G$20000,2,0),"")</f>
        <v/>
      </c>
      <c r="O259" s="15" t="str">
        <f>IFERROR(VLOOKUP(B259,'[2]Outgoing Transmittals to PDO'!$A$6:$G$20000,7,0),"")</f>
        <v/>
      </c>
      <c r="P259" s="15" t="str">
        <f t="shared" si="341"/>
        <v/>
      </c>
      <c r="Q259" s="15" t="str">
        <f>IFERROR(VLOOKUP(B259,'[3]Incoming Transmittals from PDO'!$A$6:$G$20000,3,0),"")</f>
        <v/>
      </c>
      <c r="R259" s="15" t="str">
        <f>IFERROR(VLOOKUP(B259,'[3]Incoming Transmittals from PDO'!$A$6:$G$20000,2,0),"")</f>
        <v/>
      </c>
      <c r="S259" s="15" t="str">
        <f>IFERROR(VLOOKUP(B259,'[3]Incoming Transmittals from PDO'!$A$6:$G$20000,7,0),"")</f>
        <v/>
      </c>
      <c r="T259" s="15" t="str">
        <f>IFERROR(VLOOKUP(B259,'[1]Outgoing to JEL'!$A$6:$G$5000,3,0),"")</f>
        <v/>
      </c>
      <c r="U259" s="15" t="str">
        <f>IFERROR(VLOOKUP(B259,'[1]Outgoing to JEL'!$A$6:$G$5000,2,0),"")</f>
        <v/>
      </c>
      <c r="V259" s="15" t="str">
        <f>IFERROR(VLOOKUP(B259,'[1]Outgoing to JEL'!$A$6:$G$5000,7,0),"")</f>
        <v/>
      </c>
      <c r="W259" s="3" t="str">
        <f t="shared" si="342"/>
        <v/>
      </c>
    </row>
    <row r="260" spans="1:23" s="16" customFormat="1" x14ac:dyDescent="0.2">
      <c r="A260" s="99"/>
      <c r="B260" s="60" t="str">
        <f t="shared" si="339"/>
        <v>KHF-00-104265-AA-6944-01303-0000-3</v>
      </c>
      <c r="C260" s="31" t="s">
        <v>408</v>
      </c>
      <c r="D260" s="32" t="s">
        <v>409</v>
      </c>
      <c r="E260" s="20">
        <v>3</v>
      </c>
      <c r="F260" s="20"/>
      <c r="G260" s="20"/>
      <c r="H260" s="20" t="str">
        <f t="shared" si="332"/>
        <v/>
      </c>
      <c r="I260" s="3" t="str">
        <f t="shared" si="343"/>
        <v/>
      </c>
      <c r="J260" s="15" t="str">
        <f>IFERROR(VLOOKUP(B260,'[1]Incoming from JEL'!$A$6:$G$5002,3,0),"")</f>
        <v/>
      </c>
      <c r="K260" s="15" t="str">
        <f>IFERROR(VLOOKUP(B260,'[1]Incoming from JEL'!$A$6:$G$5002,2,0),"")</f>
        <v/>
      </c>
      <c r="L260" s="15" t="str">
        <f>IFERROR(VLOOKUP(B260,'[1]Incoming from JEL'!$A$6:$G$5002,7,0),"")</f>
        <v/>
      </c>
      <c r="M260" s="15" t="str">
        <f>IFERROR(VLOOKUP(B260,'[2]Outgoing Transmittals to PDO'!$A$6:$G$20000,3,0),"")</f>
        <v/>
      </c>
      <c r="N260" s="15" t="str">
        <f>IFERROR(VLOOKUP(B260,'[2]Outgoing Transmittals to PDO'!$A$6:$G$20000,2,0),"")</f>
        <v/>
      </c>
      <c r="O260" s="15" t="str">
        <f>IFERROR(VLOOKUP(B260,'[2]Outgoing Transmittals to PDO'!$A$6:$G$20000,7,0),"")</f>
        <v/>
      </c>
      <c r="P260" s="15" t="str">
        <f t="shared" si="341"/>
        <v/>
      </c>
      <c r="Q260" s="15" t="str">
        <f>IFERROR(VLOOKUP(B260,'[3]Incoming Transmittals from PDO'!$A$6:$G$20000,3,0),"")</f>
        <v/>
      </c>
      <c r="R260" s="15" t="str">
        <f>IFERROR(VLOOKUP(B260,'[3]Incoming Transmittals from PDO'!$A$6:$G$20000,2,0),"")</f>
        <v/>
      </c>
      <c r="S260" s="15" t="str">
        <f>IFERROR(VLOOKUP(B260,'[3]Incoming Transmittals from PDO'!$A$6:$G$20000,7,0),"")</f>
        <v/>
      </c>
      <c r="T260" s="15" t="str">
        <f>IFERROR(VLOOKUP(B260,'[1]Outgoing to JEL'!$A$6:$G$5000,3,0),"")</f>
        <v/>
      </c>
      <c r="U260" s="15" t="str">
        <f>IFERROR(VLOOKUP(B260,'[1]Outgoing to JEL'!$A$6:$G$5000,2,0),"")</f>
        <v/>
      </c>
      <c r="V260" s="15" t="str">
        <f>IFERROR(VLOOKUP(B260,'[1]Outgoing to JEL'!$A$6:$G$5000,7,0),"")</f>
        <v/>
      </c>
      <c r="W260" s="3" t="str">
        <f t="shared" si="342"/>
        <v/>
      </c>
    </row>
    <row r="261" spans="1:23" s="16" customFormat="1" x14ac:dyDescent="0.2">
      <c r="A261" s="97">
        <f>A258+1</f>
        <v>4</v>
      </c>
      <c r="B261" s="69" t="str">
        <f t="shared" ref="B261:B263" si="344">CONCATENATE(C261,"-",E261)</f>
        <v>KHF-00-104265-AA-6944-01304-0000-1</v>
      </c>
      <c r="C261" s="31" t="s">
        <v>434</v>
      </c>
      <c r="D261" s="32" t="s">
        <v>435</v>
      </c>
      <c r="E261" s="20">
        <v>1</v>
      </c>
      <c r="F261" s="20"/>
      <c r="G261" s="20"/>
      <c r="H261" s="20" t="str">
        <f t="shared" ref="H261:H263" si="345">IF(AND(C261=C262,J262="",J261&lt;&gt;""),"L","")</f>
        <v>L</v>
      </c>
      <c r="I261" s="3">
        <f t="shared" ref="I261" si="346">J261</f>
        <v>43620</v>
      </c>
      <c r="J261" s="15">
        <f>IFERROR(VLOOKUP(B261,'[1]Incoming from JEL'!$A$6:$G$5002,3,0),"")</f>
        <v>43620</v>
      </c>
      <c r="K261" s="15" t="str">
        <f>IFERROR(VLOOKUP(B261,'[1]Incoming from JEL'!$A$6:$G$5002,2,0),"")</f>
        <v>AIP-YKP-JEL -T-0052</v>
      </c>
      <c r="L261" s="15" t="str">
        <f>IFERROR(VLOOKUP(B261,'[1]Incoming from JEL'!$A$6:$G$5002,7,0),"")</f>
        <v>IFI</v>
      </c>
      <c r="M261" s="15" t="str">
        <f>IFERROR(VLOOKUP(B261,'[2]Outgoing Transmittals to PDO'!$A$6:$G$20000,3,0),"")</f>
        <v/>
      </c>
      <c r="N261" s="15" t="str">
        <f>IFERROR(VLOOKUP(B261,'[2]Outgoing Transmittals to PDO'!$A$6:$G$20000,2,0),"")</f>
        <v/>
      </c>
      <c r="O261" s="15" t="str">
        <f>IFERROR(VLOOKUP(B261,'[2]Outgoing Transmittals to PDO'!$A$6:$G$20000,7,0),"")</f>
        <v/>
      </c>
      <c r="P261" s="15" t="str">
        <f t="shared" ref="P261:P263" si="347">IF(ISNUMBER(M261),SUM(M261+14),"")</f>
        <v/>
      </c>
      <c r="Q261" s="15" t="str">
        <f>IFERROR(VLOOKUP(B261,'[3]Incoming Transmittals from PDO'!$A$6:$G$20000,3,0),"")</f>
        <v/>
      </c>
      <c r="R261" s="15" t="str">
        <f>IFERROR(VLOOKUP(B261,'[3]Incoming Transmittals from PDO'!$A$6:$G$20000,2,0),"")</f>
        <v/>
      </c>
      <c r="S261" s="15" t="str">
        <f>IFERROR(VLOOKUP(B261,'[3]Incoming Transmittals from PDO'!$A$6:$G$20000,7,0),"")</f>
        <v/>
      </c>
      <c r="T261" s="15" t="str">
        <f>IFERROR(VLOOKUP(B261,'[1]Outgoing to JEL'!$A$6:$G$5000,3,0),"")</f>
        <v/>
      </c>
      <c r="U261" s="15" t="str">
        <f>IFERROR(VLOOKUP(B261,'[1]Outgoing to JEL'!$A$6:$G$5000,2,0),"")</f>
        <v/>
      </c>
      <c r="V261" s="15" t="str">
        <f>IFERROR(VLOOKUP(B261,'[1]Outgoing to JEL'!$A$6:$G$5000,7,0),"")</f>
        <v/>
      </c>
      <c r="W261" s="3" t="str">
        <f t="shared" ref="W261:W263" si="348">IF(S261="Code A","Approved by PDO",IF(S261="Code B","Comments from PDO",IF(S261="Code C","Review not Required",IF(S261="Code D","Rejected by PDO",IF(V261="Code A","Approved by AIP",IF(V261="Code B","Comments from AIP",IF(V261="Code C","Review not Required",IF(V261="Code D","Rejected by AIP",IF(AND(M261="-",Q261="-"),"Pending for AIP review",IF(O261="IFI","Issued for Information",IF(M261&lt;&gt;"","Pending for PDO Approval",IF(L261="IFI","Issued for AIP Information",IF(J261&lt;&gt;"","Pending for PDO submission",IF(I261&lt;&gt;"","Pending from JEL",""))))))))))))))</f>
        <v>Issued for AIP Information</v>
      </c>
    </row>
    <row r="262" spans="1:23" s="16" customFormat="1" x14ac:dyDescent="0.2">
      <c r="A262" s="98"/>
      <c r="B262" s="69" t="str">
        <f t="shared" si="344"/>
        <v>KHF-00-104265-AA-6944-01304-0000-2</v>
      </c>
      <c r="C262" s="31" t="s">
        <v>434</v>
      </c>
      <c r="D262" s="32" t="s">
        <v>435</v>
      </c>
      <c r="E262" s="20">
        <v>2</v>
      </c>
      <c r="F262" s="20"/>
      <c r="G262" s="20"/>
      <c r="H262" s="20" t="str">
        <f t="shared" si="345"/>
        <v/>
      </c>
      <c r="I262" s="3" t="str">
        <f t="shared" ref="I262:I263" si="349">IFERROR(IF(OR(V261="Code B",V261="Code D",V261="-",ISNUMBER(J262)),T261+14,""),"")</f>
        <v/>
      </c>
      <c r="J262" s="15" t="str">
        <f>IFERROR(VLOOKUP(B262,'[1]Incoming from JEL'!$A$6:$G$5002,3,0),"")</f>
        <v/>
      </c>
      <c r="K262" s="15" t="str">
        <f>IFERROR(VLOOKUP(B262,'[1]Incoming from JEL'!$A$6:$G$5002,2,0),"")</f>
        <v/>
      </c>
      <c r="L262" s="15" t="str">
        <f>IFERROR(VLOOKUP(B262,'[1]Incoming from JEL'!$A$6:$G$5002,7,0),"")</f>
        <v/>
      </c>
      <c r="M262" s="15" t="str">
        <f>IFERROR(VLOOKUP(B262,'[2]Outgoing Transmittals to PDO'!$A$6:$G$20000,3,0),"")</f>
        <v/>
      </c>
      <c r="N262" s="15" t="str">
        <f>IFERROR(VLOOKUP(B262,'[2]Outgoing Transmittals to PDO'!$A$6:$G$20000,2,0),"")</f>
        <v/>
      </c>
      <c r="O262" s="15" t="str">
        <f>IFERROR(VLOOKUP(B262,'[2]Outgoing Transmittals to PDO'!$A$6:$G$20000,7,0),"")</f>
        <v/>
      </c>
      <c r="P262" s="15" t="str">
        <f t="shared" si="347"/>
        <v/>
      </c>
      <c r="Q262" s="15" t="str">
        <f>IFERROR(VLOOKUP(B262,'[3]Incoming Transmittals from PDO'!$A$6:$G$20000,3,0),"")</f>
        <v/>
      </c>
      <c r="R262" s="15" t="str">
        <f>IFERROR(VLOOKUP(B262,'[3]Incoming Transmittals from PDO'!$A$6:$G$20000,2,0),"")</f>
        <v/>
      </c>
      <c r="S262" s="15" t="str">
        <f>IFERROR(VLOOKUP(B262,'[3]Incoming Transmittals from PDO'!$A$6:$G$20000,7,0),"")</f>
        <v/>
      </c>
      <c r="T262" s="15" t="str">
        <f>IFERROR(VLOOKUP(B262,'[1]Outgoing to JEL'!$A$6:$G$5000,3,0),"")</f>
        <v/>
      </c>
      <c r="U262" s="15" t="str">
        <f>IFERROR(VLOOKUP(B262,'[1]Outgoing to JEL'!$A$6:$G$5000,2,0),"")</f>
        <v/>
      </c>
      <c r="V262" s="15" t="str">
        <f>IFERROR(VLOOKUP(B262,'[1]Outgoing to JEL'!$A$6:$G$5000,7,0),"")</f>
        <v/>
      </c>
      <c r="W262" s="3" t="str">
        <f t="shared" si="348"/>
        <v/>
      </c>
    </row>
    <row r="263" spans="1:23" s="16" customFormat="1" x14ac:dyDescent="0.2">
      <c r="A263" s="99"/>
      <c r="B263" s="69" t="str">
        <f t="shared" si="344"/>
        <v>KHF-00-104265-AA-6944-01304-0000-3</v>
      </c>
      <c r="C263" s="31" t="s">
        <v>434</v>
      </c>
      <c r="D263" s="32" t="s">
        <v>435</v>
      </c>
      <c r="E263" s="20">
        <v>3</v>
      </c>
      <c r="F263" s="20"/>
      <c r="G263" s="20"/>
      <c r="H263" s="20" t="str">
        <f t="shared" si="345"/>
        <v/>
      </c>
      <c r="I263" s="3" t="str">
        <f t="shared" si="349"/>
        <v/>
      </c>
      <c r="J263" s="15" t="str">
        <f>IFERROR(VLOOKUP(B263,'[1]Incoming from JEL'!$A$6:$G$5002,3,0),"")</f>
        <v/>
      </c>
      <c r="K263" s="15" t="str">
        <f>IFERROR(VLOOKUP(B263,'[1]Incoming from JEL'!$A$6:$G$5002,2,0),"")</f>
        <v/>
      </c>
      <c r="L263" s="15" t="str">
        <f>IFERROR(VLOOKUP(B263,'[1]Incoming from JEL'!$A$6:$G$5002,7,0),"")</f>
        <v/>
      </c>
      <c r="M263" s="15" t="str">
        <f>IFERROR(VLOOKUP(B263,'[2]Outgoing Transmittals to PDO'!$A$6:$G$20000,3,0),"")</f>
        <v/>
      </c>
      <c r="N263" s="15" t="str">
        <f>IFERROR(VLOOKUP(B263,'[2]Outgoing Transmittals to PDO'!$A$6:$G$20000,2,0),"")</f>
        <v/>
      </c>
      <c r="O263" s="15" t="str">
        <f>IFERROR(VLOOKUP(B263,'[2]Outgoing Transmittals to PDO'!$A$6:$G$20000,7,0),"")</f>
        <v/>
      </c>
      <c r="P263" s="15" t="str">
        <f t="shared" si="347"/>
        <v/>
      </c>
      <c r="Q263" s="15" t="str">
        <f>IFERROR(VLOOKUP(B263,'[3]Incoming Transmittals from PDO'!$A$6:$G$20000,3,0),"")</f>
        <v/>
      </c>
      <c r="R263" s="15" t="str">
        <f>IFERROR(VLOOKUP(B263,'[3]Incoming Transmittals from PDO'!$A$6:$G$20000,2,0),"")</f>
        <v/>
      </c>
      <c r="S263" s="15" t="str">
        <f>IFERROR(VLOOKUP(B263,'[3]Incoming Transmittals from PDO'!$A$6:$G$20000,7,0),"")</f>
        <v/>
      </c>
      <c r="T263" s="15" t="str">
        <f>IFERROR(VLOOKUP(B263,'[1]Outgoing to JEL'!$A$6:$G$5000,3,0),"")</f>
        <v/>
      </c>
      <c r="U263" s="15" t="str">
        <f>IFERROR(VLOOKUP(B263,'[1]Outgoing to JEL'!$A$6:$G$5000,2,0),"")</f>
        <v/>
      </c>
      <c r="V263" s="15" t="str">
        <f>IFERROR(VLOOKUP(B263,'[1]Outgoing to JEL'!$A$6:$G$5000,7,0),"")</f>
        <v/>
      </c>
      <c r="W263" s="3" t="str">
        <f t="shared" si="348"/>
        <v/>
      </c>
    </row>
    <row r="264" spans="1:23" s="16" customFormat="1" x14ac:dyDescent="0.2">
      <c r="A264" s="97">
        <f>A261+1</f>
        <v>5</v>
      </c>
      <c r="B264" s="75" t="str">
        <f t="shared" ref="B264:B269" si="350">CONCATENATE(C264,"-",E264)</f>
        <v>KHF-00-104265-AA-6944-01305-0000-1</v>
      </c>
      <c r="C264" s="31" t="s">
        <v>448</v>
      </c>
      <c r="D264" s="32" t="s">
        <v>449</v>
      </c>
      <c r="E264" s="20">
        <v>1</v>
      </c>
      <c r="F264" s="20"/>
      <c r="G264" s="20"/>
      <c r="H264" s="20" t="str">
        <f t="shared" ref="H264:H272" si="351">IF(AND(C264=C265,J265="",J264&lt;&gt;""),"L","")</f>
        <v>L</v>
      </c>
      <c r="I264" s="3">
        <f t="shared" ref="I264" si="352">J264</f>
        <v>43648</v>
      </c>
      <c r="J264" s="15">
        <f>IFERROR(VLOOKUP(B264,'[1]Incoming from JEL'!$A$6:$G$5002,3,0),"")</f>
        <v>43648</v>
      </c>
      <c r="K264" s="15" t="str">
        <f>IFERROR(VLOOKUP(B264,'[1]Incoming from JEL'!$A$6:$G$5002,2,0),"")</f>
        <v>AIP-YKP-JEL -T-0061</v>
      </c>
      <c r="L264" s="15" t="str">
        <f>IFERROR(VLOOKUP(B264,'[1]Incoming from JEL'!$A$6:$G$5002,7,0),"")</f>
        <v>IFI</v>
      </c>
      <c r="M264" s="15" t="str">
        <f>IFERROR(VLOOKUP(B264,'[2]Outgoing Transmittals to PDO'!$A$6:$G$20000,3,0),"")</f>
        <v/>
      </c>
      <c r="N264" s="15" t="str">
        <f>IFERROR(VLOOKUP(B264,'[2]Outgoing Transmittals to PDO'!$A$6:$G$20000,2,0),"")</f>
        <v/>
      </c>
      <c r="O264" s="15" t="str">
        <f>IFERROR(VLOOKUP(B264,'[2]Outgoing Transmittals to PDO'!$A$6:$G$20000,7,0),"")</f>
        <v/>
      </c>
      <c r="P264" s="15" t="str">
        <f t="shared" ref="P264:P269" si="353">IF(ISNUMBER(M264),SUM(M264+14),"")</f>
        <v/>
      </c>
      <c r="Q264" s="15" t="str">
        <f>IFERROR(VLOOKUP(B264,'[3]Incoming Transmittals from PDO'!$A$6:$G$20000,3,0),"")</f>
        <v/>
      </c>
      <c r="R264" s="15" t="str">
        <f>IFERROR(VLOOKUP(B264,'[3]Incoming Transmittals from PDO'!$A$6:$G$20000,2,0),"")</f>
        <v/>
      </c>
      <c r="S264" s="15" t="str">
        <f>IFERROR(VLOOKUP(B264,'[3]Incoming Transmittals from PDO'!$A$6:$G$20000,7,0),"")</f>
        <v/>
      </c>
      <c r="T264" s="15" t="str">
        <f>IFERROR(VLOOKUP(B264,'[1]Outgoing to JEL'!$A$6:$G$5000,3,0),"")</f>
        <v/>
      </c>
      <c r="U264" s="15" t="str">
        <f>IFERROR(VLOOKUP(B264,'[1]Outgoing to JEL'!$A$6:$G$5000,2,0),"")</f>
        <v/>
      </c>
      <c r="V264" s="15" t="str">
        <f>IFERROR(VLOOKUP(B264,'[1]Outgoing to JEL'!$A$6:$G$5000,7,0),"")</f>
        <v/>
      </c>
      <c r="W264" s="3" t="str">
        <f t="shared" ref="W264:W269" si="354">IF(S264="Code A","Approved by PDO",IF(S264="Code B","Comments from PDO",IF(S264="Code C","Review not Required",IF(S264="Code D","Rejected by PDO",IF(V264="Code A","Approved by AIP",IF(V264="Code B","Comments from AIP",IF(V264="Code C","Review not Required",IF(V264="Code D","Rejected by AIP",IF(AND(M264="-",Q264="-"),"Pending for AIP review",IF(O264="IFI","Issued for Information",IF(M264&lt;&gt;"","Pending for PDO Approval",IF(L264="IFI","Issued for AIP Information",IF(J264&lt;&gt;"","Pending for PDO submission",IF(I264&lt;&gt;"","Pending from JEL",""))))))))))))))</f>
        <v>Issued for AIP Information</v>
      </c>
    </row>
    <row r="265" spans="1:23" s="16" customFormat="1" x14ac:dyDescent="0.2">
      <c r="A265" s="98"/>
      <c r="B265" s="75" t="str">
        <f t="shared" si="350"/>
        <v>KHF-00-104265-AA-6944-01305-0000-2</v>
      </c>
      <c r="C265" s="31" t="s">
        <v>448</v>
      </c>
      <c r="D265" s="32" t="s">
        <v>449</v>
      </c>
      <c r="E265" s="20">
        <v>2</v>
      </c>
      <c r="F265" s="20"/>
      <c r="G265" s="20"/>
      <c r="H265" s="20" t="str">
        <f t="shared" si="351"/>
        <v/>
      </c>
      <c r="I265" s="3" t="str">
        <f t="shared" ref="I265:I266" si="355">IFERROR(IF(OR(V264="Code B",V264="Code D",V264="-",ISNUMBER(J265)),T264+14,""),"")</f>
        <v/>
      </c>
      <c r="J265" s="15" t="str">
        <f>IFERROR(VLOOKUP(B265,'[1]Incoming from JEL'!$A$6:$G$5002,3,0),"")</f>
        <v/>
      </c>
      <c r="K265" s="15" t="str">
        <f>IFERROR(VLOOKUP(B265,'[1]Incoming from JEL'!$A$6:$G$5002,2,0),"")</f>
        <v/>
      </c>
      <c r="L265" s="15" t="str">
        <f>IFERROR(VLOOKUP(B265,'[1]Incoming from JEL'!$A$6:$G$5002,7,0),"")</f>
        <v/>
      </c>
      <c r="M265" s="15" t="str">
        <f>IFERROR(VLOOKUP(B265,'[2]Outgoing Transmittals to PDO'!$A$6:$G$20000,3,0),"")</f>
        <v/>
      </c>
      <c r="N265" s="15" t="str">
        <f>IFERROR(VLOOKUP(B265,'[2]Outgoing Transmittals to PDO'!$A$6:$G$20000,2,0),"")</f>
        <v/>
      </c>
      <c r="O265" s="15" t="str">
        <f>IFERROR(VLOOKUP(B265,'[2]Outgoing Transmittals to PDO'!$A$6:$G$20000,7,0),"")</f>
        <v/>
      </c>
      <c r="P265" s="15" t="str">
        <f t="shared" si="353"/>
        <v/>
      </c>
      <c r="Q265" s="15" t="str">
        <f>IFERROR(VLOOKUP(B265,'[3]Incoming Transmittals from PDO'!$A$6:$G$20000,3,0),"")</f>
        <v/>
      </c>
      <c r="R265" s="15" t="str">
        <f>IFERROR(VLOOKUP(B265,'[3]Incoming Transmittals from PDO'!$A$6:$G$20000,2,0),"")</f>
        <v/>
      </c>
      <c r="S265" s="15" t="str">
        <f>IFERROR(VLOOKUP(B265,'[3]Incoming Transmittals from PDO'!$A$6:$G$20000,7,0),"")</f>
        <v/>
      </c>
      <c r="T265" s="15" t="str">
        <f>IFERROR(VLOOKUP(B265,'[1]Outgoing to JEL'!$A$6:$G$5000,3,0),"")</f>
        <v/>
      </c>
      <c r="U265" s="15" t="str">
        <f>IFERROR(VLOOKUP(B265,'[1]Outgoing to JEL'!$A$6:$G$5000,2,0),"")</f>
        <v/>
      </c>
      <c r="V265" s="15" t="str">
        <f>IFERROR(VLOOKUP(B265,'[1]Outgoing to JEL'!$A$6:$G$5000,7,0),"")</f>
        <v/>
      </c>
      <c r="W265" s="3" t="str">
        <f t="shared" si="354"/>
        <v/>
      </c>
    </row>
    <row r="266" spans="1:23" s="16" customFormat="1" x14ac:dyDescent="0.2">
      <c r="A266" s="99"/>
      <c r="B266" s="75" t="str">
        <f t="shared" si="350"/>
        <v>KHF-00-104265-AA-6944-01305-0000-3</v>
      </c>
      <c r="C266" s="31" t="s">
        <v>448</v>
      </c>
      <c r="D266" s="32" t="s">
        <v>449</v>
      </c>
      <c r="E266" s="20">
        <v>3</v>
      </c>
      <c r="F266" s="20"/>
      <c r="G266" s="20"/>
      <c r="H266" s="20" t="str">
        <f t="shared" si="351"/>
        <v/>
      </c>
      <c r="I266" s="3" t="str">
        <f t="shared" si="355"/>
        <v/>
      </c>
      <c r="J266" s="15" t="str">
        <f>IFERROR(VLOOKUP(B266,'[1]Incoming from JEL'!$A$6:$G$5002,3,0),"")</f>
        <v/>
      </c>
      <c r="K266" s="15" t="str">
        <f>IFERROR(VLOOKUP(B266,'[1]Incoming from JEL'!$A$6:$G$5002,2,0),"")</f>
        <v/>
      </c>
      <c r="L266" s="15" t="str">
        <f>IFERROR(VLOOKUP(B266,'[1]Incoming from JEL'!$A$6:$G$5002,7,0),"")</f>
        <v/>
      </c>
      <c r="M266" s="15" t="str">
        <f>IFERROR(VLOOKUP(B266,'[2]Outgoing Transmittals to PDO'!$A$6:$G$20000,3,0),"")</f>
        <v/>
      </c>
      <c r="N266" s="15" t="str">
        <f>IFERROR(VLOOKUP(B266,'[2]Outgoing Transmittals to PDO'!$A$6:$G$20000,2,0),"")</f>
        <v/>
      </c>
      <c r="O266" s="15" t="str">
        <f>IFERROR(VLOOKUP(B266,'[2]Outgoing Transmittals to PDO'!$A$6:$G$20000,7,0),"")</f>
        <v/>
      </c>
      <c r="P266" s="15" t="str">
        <f t="shared" si="353"/>
        <v/>
      </c>
      <c r="Q266" s="15" t="str">
        <f>IFERROR(VLOOKUP(B266,'[3]Incoming Transmittals from PDO'!$A$6:$G$20000,3,0),"")</f>
        <v/>
      </c>
      <c r="R266" s="15" t="str">
        <f>IFERROR(VLOOKUP(B266,'[3]Incoming Transmittals from PDO'!$A$6:$G$20000,2,0),"")</f>
        <v/>
      </c>
      <c r="S266" s="15" t="str">
        <f>IFERROR(VLOOKUP(B266,'[3]Incoming Transmittals from PDO'!$A$6:$G$20000,7,0),"")</f>
        <v/>
      </c>
      <c r="T266" s="15" t="str">
        <f>IFERROR(VLOOKUP(B266,'[1]Outgoing to JEL'!$A$6:$G$5000,3,0),"")</f>
        <v/>
      </c>
      <c r="U266" s="15" t="str">
        <f>IFERROR(VLOOKUP(B266,'[1]Outgoing to JEL'!$A$6:$G$5000,2,0),"")</f>
        <v/>
      </c>
      <c r="V266" s="15" t="str">
        <f>IFERROR(VLOOKUP(B266,'[1]Outgoing to JEL'!$A$6:$G$5000,7,0),"")</f>
        <v/>
      </c>
      <c r="W266" s="3" t="str">
        <f t="shared" si="354"/>
        <v/>
      </c>
    </row>
    <row r="267" spans="1:23" s="16" customFormat="1" x14ac:dyDescent="0.2">
      <c r="A267" s="97">
        <f>A264+1</f>
        <v>6</v>
      </c>
      <c r="B267" s="82" t="str">
        <f t="shared" si="350"/>
        <v>KHF-00-104265-AA-6944-01306-0000-1</v>
      </c>
      <c r="C267" s="31" t="s">
        <v>463</v>
      </c>
      <c r="D267" s="32" t="s">
        <v>465</v>
      </c>
      <c r="E267" s="20">
        <v>1</v>
      </c>
      <c r="F267" s="20"/>
      <c r="G267" s="20"/>
      <c r="H267" s="20" t="str">
        <f t="shared" si="351"/>
        <v>L</v>
      </c>
      <c r="I267" s="3">
        <f t="shared" ref="I267" si="356">J267</f>
        <v>43677</v>
      </c>
      <c r="J267" s="15">
        <f>IFERROR(VLOOKUP(B267,'[1]Incoming from JEL'!$A$6:$G$5002,3,0),"")</f>
        <v>43677</v>
      </c>
      <c r="K267" s="15" t="str">
        <f>IFERROR(VLOOKUP(B267,'[1]Incoming from JEL'!$A$6:$G$5002,2,0),"")</f>
        <v>AIP-YKP-JEL -T-0068</v>
      </c>
      <c r="L267" s="15" t="str">
        <f>IFERROR(VLOOKUP(B267,'[1]Incoming from JEL'!$A$6:$G$5002,7,0),"")</f>
        <v>IFI</v>
      </c>
      <c r="M267" s="15" t="str">
        <f>IFERROR(VLOOKUP(B267,'[2]Outgoing Transmittals to PDO'!$A$6:$G$20000,3,0),"")</f>
        <v/>
      </c>
      <c r="N267" s="15" t="str">
        <f>IFERROR(VLOOKUP(B267,'[2]Outgoing Transmittals to PDO'!$A$6:$G$20000,2,0),"")</f>
        <v/>
      </c>
      <c r="O267" s="15" t="str">
        <f>IFERROR(VLOOKUP(B267,'[2]Outgoing Transmittals to PDO'!$A$6:$G$20000,7,0),"")</f>
        <v/>
      </c>
      <c r="P267" s="15" t="str">
        <f t="shared" si="353"/>
        <v/>
      </c>
      <c r="Q267" s="15" t="str">
        <f>IFERROR(VLOOKUP(B267,'[3]Incoming Transmittals from PDO'!$A$6:$G$20000,3,0),"")</f>
        <v/>
      </c>
      <c r="R267" s="15" t="str">
        <f>IFERROR(VLOOKUP(B267,'[3]Incoming Transmittals from PDO'!$A$6:$G$20000,2,0),"")</f>
        <v/>
      </c>
      <c r="S267" s="15" t="str">
        <f>IFERROR(VLOOKUP(B267,'[3]Incoming Transmittals from PDO'!$A$6:$G$20000,7,0),"")</f>
        <v/>
      </c>
      <c r="T267" s="15" t="str">
        <f>IFERROR(VLOOKUP(B267,'[1]Outgoing to JEL'!$A$6:$G$5000,3,0),"")</f>
        <v/>
      </c>
      <c r="U267" s="15" t="str">
        <f>IFERROR(VLOOKUP(B267,'[1]Outgoing to JEL'!$A$6:$G$5000,2,0),"")</f>
        <v/>
      </c>
      <c r="V267" s="15" t="str">
        <f>IFERROR(VLOOKUP(B267,'[1]Outgoing to JEL'!$A$6:$G$5000,7,0),"")</f>
        <v/>
      </c>
      <c r="W267" s="3" t="str">
        <f t="shared" si="354"/>
        <v>Issued for AIP Information</v>
      </c>
    </row>
    <row r="268" spans="1:23" s="16" customFormat="1" x14ac:dyDescent="0.2">
      <c r="A268" s="98"/>
      <c r="B268" s="82" t="str">
        <f t="shared" si="350"/>
        <v>KHF-00-104265-AA-6944-01306-0000-2</v>
      </c>
      <c r="C268" s="31" t="s">
        <v>463</v>
      </c>
      <c r="D268" s="32" t="s">
        <v>465</v>
      </c>
      <c r="E268" s="20">
        <v>2</v>
      </c>
      <c r="F268" s="20"/>
      <c r="G268" s="20"/>
      <c r="H268" s="20" t="str">
        <f t="shared" si="351"/>
        <v/>
      </c>
      <c r="I268" s="3" t="str">
        <f t="shared" ref="I268:I269" si="357">IFERROR(IF(OR(V267="Code B",V267="Code D",V267="-",ISNUMBER(J268)),T267+14,""),"")</f>
        <v/>
      </c>
      <c r="J268" s="15" t="str">
        <f>IFERROR(VLOOKUP(B268,'[1]Incoming from JEL'!$A$6:$G$5002,3,0),"")</f>
        <v/>
      </c>
      <c r="K268" s="15" t="str">
        <f>IFERROR(VLOOKUP(B268,'[1]Incoming from JEL'!$A$6:$G$5002,2,0),"")</f>
        <v/>
      </c>
      <c r="L268" s="15" t="str">
        <f>IFERROR(VLOOKUP(B268,'[1]Incoming from JEL'!$A$6:$G$5002,7,0),"")</f>
        <v/>
      </c>
      <c r="M268" s="15" t="str">
        <f>IFERROR(VLOOKUP(B268,'[2]Outgoing Transmittals to PDO'!$A$6:$G$20000,3,0),"")</f>
        <v/>
      </c>
      <c r="N268" s="15" t="str">
        <f>IFERROR(VLOOKUP(B268,'[2]Outgoing Transmittals to PDO'!$A$6:$G$20000,2,0),"")</f>
        <v/>
      </c>
      <c r="O268" s="15" t="str">
        <f>IFERROR(VLOOKUP(B268,'[2]Outgoing Transmittals to PDO'!$A$6:$G$20000,7,0),"")</f>
        <v/>
      </c>
      <c r="P268" s="15" t="str">
        <f t="shared" si="353"/>
        <v/>
      </c>
      <c r="Q268" s="15" t="str">
        <f>IFERROR(VLOOKUP(B268,'[3]Incoming Transmittals from PDO'!$A$6:$G$20000,3,0),"")</f>
        <v/>
      </c>
      <c r="R268" s="15" t="str">
        <f>IFERROR(VLOOKUP(B268,'[3]Incoming Transmittals from PDO'!$A$6:$G$20000,2,0),"")</f>
        <v/>
      </c>
      <c r="S268" s="15" t="str">
        <f>IFERROR(VLOOKUP(B268,'[3]Incoming Transmittals from PDO'!$A$6:$G$20000,7,0),"")</f>
        <v/>
      </c>
      <c r="T268" s="15" t="str">
        <f>IFERROR(VLOOKUP(B268,'[1]Outgoing to JEL'!$A$6:$G$5000,3,0),"")</f>
        <v/>
      </c>
      <c r="U268" s="15" t="str">
        <f>IFERROR(VLOOKUP(B268,'[1]Outgoing to JEL'!$A$6:$G$5000,2,0),"")</f>
        <v/>
      </c>
      <c r="V268" s="15" t="str">
        <f>IFERROR(VLOOKUP(B268,'[1]Outgoing to JEL'!$A$6:$G$5000,7,0),"")</f>
        <v/>
      </c>
      <c r="W268" s="3" t="str">
        <f t="shared" si="354"/>
        <v/>
      </c>
    </row>
    <row r="269" spans="1:23" s="16" customFormat="1" x14ac:dyDescent="0.2">
      <c r="A269" s="99"/>
      <c r="B269" s="82" t="str">
        <f t="shared" si="350"/>
        <v>KHF-00-104265-AA-6944-01306-0000-3</v>
      </c>
      <c r="C269" s="31" t="s">
        <v>463</v>
      </c>
      <c r="D269" s="32" t="s">
        <v>465</v>
      </c>
      <c r="E269" s="20">
        <v>3</v>
      </c>
      <c r="F269" s="20"/>
      <c r="G269" s="20"/>
      <c r="H269" s="20" t="str">
        <f t="shared" si="351"/>
        <v/>
      </c>
      <c r="I269" s="3" t="str">
        <f t="shared" si="357"/>
        <v/>
      </c>
      <c r="J269" s="15" t="str">
        <f>IFERROR(VLOOKUP(B269,'[1]Incoming from JEL'!$A$6:$G$5002,3,0),"")</f>
        <v/>
      </c>
      <c r="K269" s="15" t="str">
        <f>IFERROR(VLOOKUP(B269,'[1]Incoming from JEL'!$A$6:$G$5002,2,0),"")</f>
        <v/>
      </c>
      <c r="L269" s="15" t="str">
        <f>IFERROR(VLOOKUP(B269,'[1]Incoming from JEL'!$A$6:$G$5002,7,0),"")</f>
        <v/>
      </c>
      <c r="M269" s="15" t="str">
        <f>IFERROR(VLOOKUP(B269,'[2]Outgoing Transmittals to PDO'!$A$6:$G$20000,3,0),"")</f>
        <v/>
      </c>
      <c r="N269" s="15" t="str">
        <f>IFERROR(VLOOKUP(B269,'[2]Outgoing Transmittals to PDO'!$A$6:$G$20000,2,0),"")</f>
        <v/>
      </c>
      <c r="O269" s="15" t="str">
        <f>IFERROR(VLOOKUP(B269,'[2]Outgoing Transmittals to PDO'!$A$6:$G$20000,7,0),"")</f>
        <v/>
      </c>
      <c r="P269" s="15" t="str">
        <f t="shared" si="353"/>
        <v/>
      </c>
      <c r="Q269" s="15" t="str">
        <f>IFERROR(VLOOKUP(B269,'[3]Incoming Transmittals from PDO'!$A$6:$G$20000,3,0),"")</f>
        <v/>
      </c>
      <c r="R269" s="15" t="str">
        <f>IFERROR(VLOOKUP(B269,'[3]Incoming Transmittals from PDO'!$A$6:$G$20000,2,0),"")</f>
        <v/>
      </c>
      <c r="S269" s="15" t="str">
        <f>IFERROR(VLOOKUP(B269,'[3]Incoming Transmittals from PDO'!$A$6:$G$20000,7,0),"")</f>
        <v/>
      </c>
      <c r="T269" s="15" t="str">
        <f>IFERROR(VLOOKUP(B269,'[1]Outgoing to JEL'!$A$6:$G$5000,3,0),"")</f>
        <v/>
      </c>
      <c r="U269" s="15" t="str">
        <f>IFERROR(VLOOKUP(B269,'[1]Outgoing to JEL'!$A$6:$G$5000,2,0),"")</f>
        <v/>
      </c>
      <c r="V269" s="15" t="str">
        <f>IFERROR(VLOOKUP(B269,'[1]Outgoing to JEL'!$A$6:$G$5000,7,0),"")</f>
        <v/>
      </c>
      <c r="W269" s="3" t="str">
        <f t="shared" si="354"/>
        <v/>
      </c>
    </row>
    <row r="270" spans="1:23" s="16" customFormat="1" x14ac:dyDescent="0.2">
      <c r="A270" s="97">
        <f>A267+1</f>
        <v>7</v>
      </c>
      <c r="B270" s="82" t="str">
        <f t="shared" ref="B270:B272" si="358">CONCATENATE(C270,"-",E270)</f>
        <v>KHF-00-104265-AA-6944-01307-0000-1</v>
      </c>
      <c r="C270" s="31" t="s">
        <v>464</v>
      </c>
      <c r="D270" s="32" t="s">
        <v>477</v>
      </c>
      <c r="E270" s="20">
        <v>1</v>
      </c>
      <c r="F270" s="20"/>
      <c r="G270" s="20"/>
      <c r="H270" s="20" t="str">
        <f t="shared" si="351"/>
        <v>L</v>
      </c>
      <c r="I270" s="3">
        <f t="shared" ref="I270" si="359">J270</f>
        <v>43712</v>
      </c>
      <c r="J270" s="15">
        <f>IFERROR(VLOOKUP(B270,'[1]Incoming from JEL'!$A$6:$G$5002,3,0),"")</f>
        <v>43712</v>
      </c>
      <c r="K270" s="15" t="str">
        <f>IFERROR(VLOOKUP(B270,'[1]Incoming from JEL'!$A$6:$G$5002,2,0),"")</f>
        <v>AIP-YKP-JEL -T-0076</v>
      </c>
      <c r="L270" s="15" t="str">
        <f>IFERROR(VLOOKUP(B270,'[1]Incoming from JEL'!$A$6:$G$5002,7,0),"")</f>
        <v>IFI</v>
      </c>
      <c r="M270" s="15" t="str">
        <f>IFERROR(VLOOKUP(B270,'[2]Outgoing Transmittals to PDO'!$A$6:$G$20000,3,0),"")</f>
        <v/>
      </c>
      <c r="N270" s="15" t="str">
        <f>IFERROR(VLOOKUP(B270,'[2]Outgoing Transmittals to PDO'!$A$6:$G$20000,2,0),"")</f>
        <v/>
      </c>
      <c r="O270" s="15" t="str">
        <f>IFERROR(VLOOKUP(B270,'[2]Outgoing Transmittals to PDO'!$A$6:$G$20000,7,0),"")</f>
        <v/>
      </c>
      <c r="P270" s="15" t="str">
        <f t="shared" ref="P270:P272" si="360">IF(ISNUMBER(M270),SUM(M270+14),"")</f>
        <v/>
      </c>
      <c r="Q270" s="15" t="str">
        <f>IFERROR(VLOOKUP(B270,'[3]Incoming Transmittals from PDO'!$A$6:$G$20000,3,0),"")</f>
        <v/>
      </c>
      <c r="R270" s="15" t="str">
        <f>IFERROR(VLOOKUP(B270,'[3]Incoming Transmittals from PDO'!$A$6:$G$20000,2,0),"")</f>
        <v/>
      </c>
      <c r="S270" s="15" t="str">
        <f>IFERROR(VLOOKUP(B270,'[3]Incoming Transmittals from PDO'!$A$6:$G$20000,7,0),"")</f>
        <v/>
      </c>
      <c r="T270" s="15" t="str">
        <f>IFERROR(VLOOKUP(B270,'[1]Outgoing to JEL'!$A$6:$G$5000,3,0),"")</f>
        <v/>
      </c>
      <c r="U270" s="15" t="str">
        <f>IFERROR(VLOOKUP(B270,'[1]Outgoing to JEL'!$A$6:$G$5000,2,0),"")</f>
        <v/>
      </c>
      <c r="V270" s="15" t="str">
        <f>IFERROR(VLOOKUP(B270,'[1]Outgoing to JEL'!$A$6:$G$5000,7,0),"")</f>
        <v/>
      </c>
      <c r="W270" s="3" t="str">
        <f t="shared" ref="W270:W272" si="361">IF(S270="Code A","Approved by PDO",IF(S270="Code B","Comments from PDO",IF(S270="Code C","Review not Required",IF(S270="Code D","Rejected by PDO",IF(V270="Code A","Approved by AIP",IF(V270="Code B","Comments from AIP",IF(V270="Code C","Review not Required",IF(V270="Code D","Rejected by AIP",IF(AND(M270="-",Q270="-"),"Pending for AIP review",IF(O270="IFI","Issued for Information",IF(M270&lt;&gt;"","Pending for PDO Approval",IF(L270="IFI","Issued for AIP Information",IF(J270&lt;&gt;"","Pending for PDO submission",IF(I270&lt;&gt;"","Pending from JEL",""))))))))))))))</f>
        <v>Issued for AIP Information</v>
      </c>
    </row>
    <row r="271" spans="1:23" s="16" customFormat="1" x14ac:dyDescent="0.2">
      <c r="A271" s="98"/>
      <c r="B271" s="82" t="str">
        <f t="shared" si="358"/>
        <v>KHF-00-104265-AA-6944-01307-0000-2</v>
      </c>
      <c r="C271" s="31" t="s">
        <v>464</v>
      </c>
      <c r="D271" s="32" t="s">
        <v>477</v>
      </c>
      <c r="E271" s="20">
        <v>2</v>
      </c>
      <c r="F271" s="20"/>
      <c r="G271" s="20"/>
      <c r="H271" s="20" t="str">
        <f t="shared" si="351"/>
        <v/>
      </c>
      <c r="I271" s="3" t="str">
        <f t="shared" ref="I271:I272" si="362">IFERROR(IF(OR(V270="Code B",V270="Code D",V270="-",ISNUMBER(J271)),T270+14,""),"")</f>
        <v/>
      </c>
      <c r="J271" s="15" t="str">
        <f>IFERROR(VLOOKUP(B271,'[1]Incoming from JEL'!$A$6:$G$5002,3,0),"")</f>
        <v/>
      </c>
      <c r="K271" s="15" t="str">
        <f>IFERROR(VLOOKUP(B271,'[1]Incoming from JEL'!$A$6:$G$5002,2,0),"")</f>
        <v/>
      </c>
      <c r="L271" s="15" t="str">
        <f>IFERROR(VLOOKUP(B271,'[1]Incoming from JEL'!$A$6:$G$5002,7,0),"")</f>
        <v/>
      </c>
      <c r="M271" s="15" t="str">
        <f>IFERROR(VLOOKUP(B271,'[2]Outgoing Transmittals to PDO'!$A$6:$G$20000,3,0),"")</f>
        <v/>
      </c>
      <c r="N271" s="15" t="str">
        <f>IFERROR(VLOOKUP(B271,'[2]Outgoing Transmittals to PDO'!$A$6:$G$20000,2,0),"")</f>
        <v/>
      </c>
      <c r="O271" s="15" t="str">
        <f>IFERROR(VLOOKUP(B271,'[2]Outgoing Transmittals to PDO'!$A$6:$G$20000,7,0),"")</f>
        <v/>
      </c>
      <c r="P271" s="15" t="str">
        <f t="shared" si="360"/>
        <v/>
      </c>
      <c r="Q271" s="15" t="str">
        <f>IFERROR(VLOOKUP(B271,'[3]Incoming Transmittals from PDO'!$A$6:$G$20000,3,0),"")</f>
        <v/>
      </c>
      <c r="R271" s="15" t="str">
        <f>IFERROR(VLOOKUP(B271,'[3]Incoming Transmittals from PDO'!$A$6:$G$20000,2,0),"")</f>
        <v/>
      </c>
      <c r="S271" s="15" t="str">
        <f>IFERROR(VLOOKUP(B271,'[3]Incoming Transmittals from PDO'!$A$6:$G$20000,7,0),"")</f>
        <v/>
      </c>
      <c r="T271" s="15" t="str">
        <f>IFERROR(VLOOKUP(B271,'[1]Outgoing to JEL'!$A$6:$G$5000,3,0),"")</f>
        <v/>
      </c>
      <c r="U271" s="15" t="str">
        <f>IFERROR(VLOOKUP(B271,'[1]Outgoing to JEL'!$A$6:$G$5000,2,0),"")</f>
        <v/>
      </c>
      <c r="V271" s="15" t="str">
        <f>IFERROR(VLOOKUP(B271,'[1]Outgoing to JEL'!$A$6:$G$5000,7,0),"")</f>
        <v/>
      </c>
      <c r="W271" s="3" t="str">
        <f t="shared" si="361"/>
        <v/>
      </c>
    </row>
    <row r="272" spans="1:23" s="16" customFormat="1" x14ac:dyDescent="0.2">
      <c r="A272" s="99"/>
      <c r="B272" s="82" t="str">
        <f t="shared" si="358"/>
        <v>KHF-00-104265-AA-6944-01307-0000-3</v>
      </c>
      <c r="C272" s="31" t="s">
        <v>464</v>
      </c>
      <c r="D272" s="32" t="s">
        <v>477</v>
      </c>
      <c r="E272" s="20">
        <v>3</v>
      </c>
      <c r="F272" s="20"/>
      <c r="G272" s="20"/>
      <c r="H272" s="20" t="str">
        <f t="shared" si="351"/>
        <v/>
      </c>
      <c r="I272" s="3" t="str">
        <f t="shared" si="362"/>
        <v/>
      </c>
      <c r="J272" s="15" t="str">
        <f>IFERROR(VLOOKUP(B272,'[1]Incoming from JEL'!$A$6:$G$5002,3,0),"")</f>
        <v/>
      </c>
      <c r="K272" s="15" t="str">
        <f>IFERROR(VLOOKUP(B272,'[1]Incoming from JEL'!$A$6:$G$5002,2,0),"")</f>
        <v/>
      </c>
      <c r="L272" s="15" t="str">
        <f>IFERROR(VLOOKUP(B272,'[1]Incoming from JEL'!$A$6:$G$5002,7,0),"")</f>
        <v/>
      </c>
      <c r="M272" s="15" t="str">
        <f>IFERROR(VLOOKUP(B272,'[2]Outgoing Transmittals to PDO'!$A$6:$G$20000,3,0),"")</f>
        <v/>
      </c>
      <c r="N272" s="15" t="str">
        <f>IFERROR(VLOOKUP(B272,'[2]Outgoing Transmittals to PDO'!$A$6:$G$20000,2,0),"")</f>
        <v/>
      </c>
      <c r="O272" s="15" t="str">
        <f>IFERROR(VLOOKUP(B272,'[2]Outgoing Transmittals to PDO'!$A$6:$G$20000,7,0),"")</f>
        <v/>
      </c>
      <c r="P272" s="15" t="str">
        <f t="shared" si="360"/>
        <v/>
      </c>
      <c r="Q272" s="15" t="str">
        <f>IFERROR(VLOOKUP(B272,'[3]Incoming Transmittals from PDO'!$A$6:$G$20000,3,0),"")</f>
        <v/>
      </c>
      <c r="R272" s="15" t="str">
        <f>IFERROR(VLOOKUP(B272,'[3]Incoming Transmittals from PDO'!$A$6:$G$20000,2,0),"")</f>
        <v/>
      </c>
      <c r="S272" s="15" t="str">
        <f>IFERROR(VLOOKUP(B272,'[3]Incoming Transmittals from PDO'!$A$6:$G$20000,7,0),"")</f>
        <v/>
      </c>
      <c r="T272" s="15" t="str">
        <f>IFERROR(VLOOKUP(B272,'[1]Outgoing to JEL'!$A$6:$G$5000,3,0),"")</f>
        <v/>
      </c>
      <c r="U272" s="15" t="str">
        <f>IFERROR(VLOOKUP(B272,'[1]Outgoing to JEL'!$A$6:$G$5000,2,0),"")</f>
        <v/>
      </c>
      <c r="V272" s="15" t="str">
        <f>IFERROR(VLOOKUP(B272,'[1]Outgoing to JEL'!$A$6:$G$5000,7,0),"")</f>
        <v/>
      </c>
      <c r="W272" s="3" t="str">
        <f t="shared" si="361"/>
        <v/>
      </c>
    </row>
    <row r="273" spans="1:23" s="16" customFormat="1" x14ac:dyDescent="0.2">
      <c r="A273" s="45"/>
      <c r="B273" s="44"/>
      <c r="C273" s="46" t="s">
        <v>360</v>
      </c>
      <c r="D273" s="32"/>
      <c r="E273" s="20"/>
      <c r="F273" s="20"/>
      <c r="G273" s="20"/>
      <c r="H273" s="20"/>
      <c r="I273" s="3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3"/>
    </row>
    <row r="274" spans="1:23" s="16" customFormat="1" x14ac:dyDescent="0.2">
      <c r="A274" s="97">
        <f>A154+1</f>
        <v>1</v>
      </c>
      <c r="B274" s="44" t="str">
        <f t="shared" ref="B274:B279" si="363">CONCATENATE(C274,"-",E274)</f>
        <v>KHF-00-104265-AA-6944-01321-0000-1</v>
      </c>
      <c r="C274" s="31" t="s">
        <v>361</v>
      </c>
      <c r="D274" s="32" t="s">
        <v>363</v>
      </c>
      <c r="E274" s="20">
        <v>1</v>
      </c>
      <c r="F274" s="20"/>
      <c r="G274" s="20"/>
      <c r="H274" s="20" t="str">
        <f t="shared" ref="H274:H282" si="364">IF(AND(C274=C275,J275="",J274&lt;&gt;""),"L","")</f>
        <v>L</v>
      </c>
      <c r="I274" s="3">
        <f t="shared" ref="I274" si="365">J274</f>
        <v>43541</v>
      </c>
      <c r="J274" s="15">
        <f>IFERROR(VLOOKUP(B274,'[1]Incoming from JEL'!$A$6:$G$5002,3,0),"")</f>
        <v>43541</v>
      </c>
      <c r="K274" s="15" t="str">
        <f>IFERROR(VLOOKUP(B274,'[1]Incoming from JEL'!$A$6:$G$5002,2,0),"")</f>
        <v>AIP-YKP-JEL-T-0024</v>
      </c>
      <c r="L274" s="15" t="str">
        <f>IFERROR(VLOOKUP(B274,'[1]Incoming from JEL'!$A$6:$G$5002,7,0),"")</f>
        <v>IFI</v>
      </c>
      <c r="M274" s="15" t="str">
        <f>IFERROR(VLOOKUP(B274,'[2]Outgoing Transmittals to PDO'!$A$6:$G$20000,3,0),"")</f>
        <v/>
      </c>
      <c r="N274" s="15" t="str">
        <f>IFERROR(VLOOKUP(B274,'[2]Outgoing Transmittals to PDO'!$A$6:$G$20000,2,0),"")</f>
        <v/>
      </c>
      <c r="O274" s="15" t="str">
        <f>IFERROR(VLOOKUP(B274,'[2]Outgoing Transmittals to PDO'!$A$6:$G$20000,7,0),"")</f>
        <v/>
      </c>
      <c r="P274" s="15" t="str">
        <f t="shared" ref="P274:P279" si="366">IF(ISNUMBER(M274),SUM(M274+14),"")</f>
        <v/>
      </c>
      <c r="Q274" s="15" t="str">
        <f>IFERROR(VLOOKUP(B274,'[3]Incoming Transmittals from PDO'!$A$6:$G$20000,3,0),"")</f>
        <v/>
      </c>
      <c r="R274" s="15" t="str">
        <f>IFERROR(VLOOKUP(B274,'[3]Incoming Transmittals from PDO'!$A$6:$G$20000,2,0),"")</f>
        <v/>
      </c>
      <c r="S274" s="15" t="str">
        <f>IFERROR(VLOOKUP(B274,'[3]Incoming Transmittals from PDO'!$A$6:$G$20000,7,0),"")</f>
        <v/>
      </c>
      <c r="T274" s="15" t="str">
        <f>IFERROR(VLOOKUP(B274,'[1]Outgoing to JEL'!$A$6:$G$5000,3,0),"")</f>
        <v/>
      </c>
      <c r="U274" s="15" t="str">
        <f>IFERROR(VLOOKUP(B274,'[1]Outgoing to JEL'!$A$6:$G$5000,2,0),"")</f>
        <v/>
      </c>
      <c r="V274" s="15" t="str">
        <f>IFERROR(VLOOKUP(B274,'[1]Outgoing to JEL'!$A$6:$G$5000,7,0),"")</f>
        <v/>
      </c>
      <c r="W274" s="3" t="str">
        <f t="shared" ref="W274:W279" si="367">IF(S274="Code A","Approved by PDO",IF(S274="Code B","Comments from PDO",IF(S274="Code C","Review not Required",IF(S274="Code D","Rejected by PDO",IF(V274="Code A","Approved by AIP",IF(V274="Code B","Comments from AIP",IF(V274="Code C","Review not Required",IF(V274="Code D","Rejected by AIP",IF(AND(M274="-",Q274="-"),"Pending for AIP review",IF(O274="IFI","Issued for Information",IF(M274&lt;&gt;"","Pending for PDO Approval",IF(L274="IFI","Issued for AIP Information",IF(J274&lt;&gt;"","Pending for PDO submission",IF(I274&lt;&gt;"","Pending from JEL",""))))))))))))))</f>
        <v>Issued for AIP Information</v>
      </c>
    </row>
    <row r="275" spans="1:23" s="16" customFormat="1" x14ac:dyDescent="0.2">
      <c r="A275" s="98"/>
      <c r="B275" s="44" t="str">
        <f t="shared" si="363"/>
        <v>KHF-00-104265-AA-6944-01321-0000-2</v>
      </c>
      <c r="C275" s="31" t="s">
        <v>361</v>
      </c>
      <c r="D275" s="32" t="s">
        <v>363</v>
      </c>
      <c r="E275" s="20">
        <v>2</v>
      </c>
      <c r="F275" s="20"/>
      <c r="G275" s="20"/>
      <c r="H275" s="20" t="str">
        <f t="shared" si="364"/>
        <v/>
      </c>
      <c r="I275" s="3" t="str">
        <f t="shared" ref="I275:I276" si="368">IFERROR(IF(OR(V274="Code B",V274="Code D",V274="-",ISNUMBER(J275)),T274+14,""),"")</f>
        <v/>
      </c>
      <c r="J275" s="15" t="str">
        <f>IFERROR(VLOOKUP(B275,'[1]Incoming from JEL'!$A$6:$G$5002,3,0),"")</f>
        <v/>
      </c>
      <c r="K275" s="15" t="str">
        <f>IFERROR(VLOOKUP(B275,'[1]Incoming from JEL'!$A$6:$G$5002,2,0),"")</f>
        <v/>
      </c>
      <c r="L275" s="15" t="str">
        <f>IFERROR(VLOOKUP(B275,'[1]Incoming from JEL'!$A$6:$G$5002,7,0),"")</f>
        <v/>
      </c>
      <c r="M275" s="15" t="str">
        <f>IFERROR(VLOOKUP(B275,'[2]Outgoing Transmittals to PDO'!$A$6:$G$20000,3,0),"")</f>
        <v/>
      </c>
      <c r="N275" s="15" t="str">
        <f>IFERROR(VLOOKUP(B275,'[2]Outgoing Transmittals to PDO'!$A$6:$G$20000,2,0),"")</f>
        <v/>
      </c>
      <c r="O275" s="15" t="str">
        <f>IFERROR(VLOOKUP(B275,'[2]Outgoing Transmittals to PDO'!$A$6:$G$20000,7,0),"")</f>
        <v/>
      </c>
      <c r="P275" s="15" t="str">
        <f t="shared" si="366"/>
        <v/>
      </c>
      <c r="Q275" s="15" t="str">
        <f>IFERROR(VLOOKUP(B275,'[3]Incoming Transmittals from PDO'!$A$6:$G$20000,3,0),"")</f>
        <v/>
      </c>
      <c r="R275" s="15" t="str">
        <f>IFERROR(VLOOKUP(B275,'[3]Incoming Transmittals from PDO'!$A$6:$G$20000,2,0),"")</f>
        <v/>
      </c>
      <c r="S275" s="15" t="str">
        <f>IFERROR(VLOOKUP(B275,'[3]Incoming Transmittals from PDO'!$A$6:$G$20000,7,0),"")</f>
        <v/>
      </c>
      <c r="T275" s="15" t="str">
        <f>IFERROR(VLOOKUP(B275,'[1]Outgoing to JEL'!$A$6:$G$5000,3,0),"")</f>
        <v/>
      </c>
      <c r="U275" s="15" t="str">
        <f>IFERROR(VLOOKUP(B275,'[1]Outgoing to JEL'!$A$6:$G$5000,2,0),"")</f>
        <v/>
      </c>
      <c r="V275" s="15" t="str">
        <f>IFERROR(VLOOKUP(B275,'[1]Outgoing to JEL'!$A$6:$G$5000,7,0),"")</f>
        <v/>
      </c>
      <c r="W275" s="3" t="str">
        <f t="shared" si="367"/>
        <v/>
      </c>
    </row>
    <row r="276" spans="1:23" s="16" customFormat="1" x14ac:dyDescent="0.2">
      <c r="A276" s="99"/>
      <c r="B276" s="44" t="str">
        <f t="shared" si="363"/>
        <v>KHF-00-104265-AA-6944-01321-0000-3</v>
      </c>
      <c r="C276" s="31" t="s">
        <v>361</v>
      </c>
      <c r="D276" s="32" t="s">
        <v>363</v>
      </c>
      <c r="E276" s="20">
        <v>3</v>
      </c>
      <c r="F276" s="20"/>
      <c r="G276" s="20"/>
      <c r="H276" s="20" t="str">
        <f t="shared" si="364"/>
        <v/>
      </c>
      <c r="I276" s="3" t="str">
        <f t="shared" si="368"/>
        <v/>
      </c>
      <c r="J276" s="15" t="str">
        <f>IFERROR(VLOOKUP(B276,'[1]Incoming from JEL'!$A$6:$G$5002,3,0),"")</f>
        <v/>
      </c>
      <c r="K276" s="15" t="str">
        <f>IFERROR(VLOOKUP(B276,'[1]Incoming from JEL'!$A$6:$G$5002,2,0),"")</f>
        <v/>
      </c>
      <c r="L276" s="15" t="str">
        <f>IFERROR(VLOOKUP(B276,'[1]Incoming from JEL'!$A$6:$G$5002,7,0),"")</f>
        <v/>
      </c>
      <c r="M276" s="15" t="str">
        <f>IFERROR(VLOOKUP(B276,'[2]Outgoing Transmittals to PDO'!$A$6:$G$20000,3,0),"")</f>
        <v/>
      </c>
      <c r="N276" s="15" t="str">
        <f>IFERROR(VLOOKUP(B276,'[2]Outgoing Transmittals to PDO'!$A$6:$G$20000,2,0),"")</f>
        <v/>
      </c>
      <c r="O276" s="15" t="str">
        <f>IFERROR(VLOOKUP(B276,'[2]Outgoing Transmittals to PDO'!$A$6:$G$20000,7,0),"")</f>
        <v/>
      </c>
      <c r="P276" s="15" t="str">
        <f t="shared" si="366"/>
        <v/>
      </c>
      <c r="Q276" s="15" t="str">
        <f>IFERROR(VLOOKUP(B276,'[3]Incoming Transmittals from PDO'!$A$6:$G$20000,3,0),"")</f>
        <v/>
      </c>
      <c r="R276" s="15" t="str">
        <f>IFERROR(VLOOKUP(B276,'[3]Incoming Transmittals from PDO'!$A$6:$G$20000,2,0),"")</f>
        <v/>
      </c>
      <c r="S276" s="15" t="str">
        <f>IFERROR(VLOOKUP(B276,'[3]Incoming Transmittals from PDO'!$A$6:$G$20000,7,0),"")</f>
        <v/>
      </c>
      <c r="T276" s="15" t="str">
        <f>IFERROR(VLOOKUP(B276,'[1]Outgoing to JEL'!$A$6:$G$5000,3,0),"")</f>
        <v/>
      </c>
      <c r="U276" s="15" t="str">
        <f>IFERROR(VLOOKUP(B276,'[1]Outgoing to JEL'!$A$6:$G$5000,2,0),"")</f>
        <v/>
      </c>
      <c r="V276" s="15" t="str">
        <f>IFERROR(VLOOKUP(B276,'[1]Outgoing to JEL'!$A$6:$G$5000,7,0),"")</f>
        <v/>
      </c>
      <c r="W276" s="3" t="str">
        <f t="shared" si="367"/>
        <v/>
      </c>
    </row>
    <row r="277" spans="1:23" s="16" customFormat="1" x14ac:dyDescent="0.2">
      <c r="A277" s="97">
        <f>A274+1</f>
        <v>2</v>
      </c>
      <c r="B277" s="48" t="str">
        <f t="shared" si="363"/>
        <v>KHF-00-104265-AA-6944-01322-0000-1</v>
      </c>
      <c r="C277" s="31" t="s">
        <v>366</v>
      </c>
      <c r="D277" s="32" t="s">
        <v>365</v>
      </c>
      <c r="E277" s="20">
        <v>1</v>
      </c>
      <c r="F277" s="20"/>
      <c r="G277" s="20"/>
      <c r="H277" s="20" t="str">
        <f t="shared" si="364"/>
        <v>L</v>
      </c>
      <c r="I277" s="3">
        <f>J277</f>
        <v>43548</v>
      </c>
      <c r="J277" s="15">
        <f>IFERROR(VLOOKUP(B277,'[1]Incoming from JEL'!$A$6:$G$5002,3,0),"")</f>
        <v>43548</v>
      </c>
      <c r="K277" s="15" t="str">
        <f>IFERROR(VLOOKUP(B277,'[1]Incoming from JEL'!$A$6:$G$5002,2,0),"")</f>
        <v>AIP-YKP-JEL-T-0026</v>
      </c>
      <c r="L277" s="15" t="str">
        <f>IFERROR(VLOOKUP(B277,'[1]Incoming from JEL'!$A$6:$G$5002,7,0),"")</f>
        <v>IFI</v>
      </c>
      <c r="M277" s="15" t="str">
        <f>IFERROR(VLOOKUP(B277,'[2]Outgoing Transmittals to PDO'!$A$6:$G$20000,3,0),"")</f>
        <v/>
      </c>
      <c r="N277" s="15" t="str">
        <f>IFERROR(VLOOKUP(B277,'[2]Outgoing Transmittals to PDO'!$A$6:$G$20000,2,0),"")</f>
        <v/>
      </c>
      <c r="O277" s="15" t="str">
        <f>IFERROR(VLOOKUP(B277,'[2]Outgoing Transmittals to PDO'!$A$6:$G$20000,7,0),"")</f>
        <v/>
      </c>
      <c r="P277" s="15" t="str">
        <f t="shared" si="366"/>
        <v/>
      </c>
      <c r="Q277" s="15" t="str">
        <f>IFERROR(VLOOKUP(B277,'[3]Incoming Transmittals from PDO'!$A$6:$G$20000,3,0),"")</f>
        <v/>
      </c>
      <c r="R277" s="15" t="str">
        <f>IFERROR(VLOOKUP(B277,'[3]Incoming Transmittals from PDO'!$A$6:$G$20000,2,0),"")</f>
        <v/>
      </c>
      <c r="S277" s="15" t="str">
        <f>IFERROR(VLOOKUP(B277,'[3]Incoming Transmittals from PDO'!$A$6:$G$20000,7,0),"")</f>
        <v/>
      </c>
      <c r="T277" s="15" t="str">
        <f>IFERROR(VLOOKUP(B277,'[1]Outgoing to JEL'!$A$6:$G$5000,3,0),"")</f>
        <v/>
      </c>
      <c r="U277" s="15" t="str">
        <f>IFERROR(VLOOKUP(B277,'[1]Outgoing to JEL'!$A$6:$G$5000,2,0),"")</f>
        <v/>
      </c>
      <c r="V277" s="15" t="str">
        <f>IFERROR(VLOOKUP(B277,'[1]Outgoing to JEL'!$A$6:$G$5000,7,0),"")</f>
        <v/>
      </c>
      <c r="W277" s="3" t="str">
        <f t="shared" si="367"/>
        <v>Issued for AIP Information</v>
      </c>
    </row>
    <row r="278" spans="1:23" s="16" customFormat="1" x14ac:dyDescent="0.2">
      <c r="A278" s="98"/>
      <c r="B278" s="48" t="str">
        <f t="shared" si="363"/>
        <v>KHF-00-104265-AA-6944-01322-0000-2</v>
      </c>
      <c r="C278" s="31" t="s">
        <v>366</v>
      </c>
      <c r="D278" s="32" t="s">
        <v>365</v>
      </c>
      <c r="E278" s="20">
        <v>2</v>
      </c>
      <c r="F278" s="20"/>
      <c r="G278" s="20"/>
      <c r="H278" s="20" t="str">
        <f t="shared" si="364"/>
        <v/>
      </c>
      <c r="I278" s="3" t="str">
        <f t="shared" ref="I278:I279" si="369">IFERROR(IF(OR(V277="Code B",V277="Code D",V277="-",ISNUMBER(J278)),T277+14,""),"")</f>
        <v/>
      </c>
      <c r="J278" s="15" t="str">
        <f>IFERROR(VLOOKUP(B278,'[1]Incoming from JEL'!$A$6:$G$5002,3,0),"")</f>
        <v/>
      </c>
      <c r="K278" s="15" t="str">
        <f>IFERROR(VLOOKUP(B278,'[1]Incoming from JEL'!$A$6:$G$5002,2,0),"")</f>
        <v/>
      </c>
      <c r="L278" s="15" t="str">
        <f>IFERROR(VLOOKUP(B278,'[1]Incoming from JEL'!$A$6:$G$5002,7,0),"")</f>
        <v/>
      </c>
      <c r="M278" s="15" t="str">
        <f>IFERROR(VLOOKUP(B278,'[2]Outgoing Transmittals to PDO'!$A$6:$G$20000,3,0),"")</f>
        <v/>
      </c>
      <c r="N278" s="15" t="str">
        <f>IFERROR(VLOOKUP(B278,'[2]Outgoing Transmittals to PDO'!$A$6:$G$20000,2,0),"")</f>
        <v/>
      </c>
      <c r="O278" s="15" t="str">
        <f>IFERROR(VLOOKUP(B278,'[2]Outgoing Transmittals to PDO'!$A$6:$G$20000,7,0),"")</f>
        <v/>
      </c>
      <c r="P278" s="15" t="str">
        <f t="shared" si="366"/>
        <v/>
      </c>
      <c r="Q278" s="15" t="str">
        <f>IFERROR(VLOOKUP(B278,'[3]Incoming Transmittals from PDO'!$A$6:$G$20000,3,0),"")</f>
        <v/>
      </c>
      <c r="R278" s="15" t="str">
        <f>IFERROR(VLOOKUP(B278,'[3]Incoming Transmittals from PDO'!$A$6:$G$20000,2,0),"")</f>
        <v/>
      </c>
      <c r="S278" s="15" t="str">
        <f>IFERROR(VLOOKUP(B278,'[3]Incoming Transmittals from PDO'!$A$6:$G$20000,7,0),"")</f>
        <v/>
      </c>
      <c r="T278" s="15" t="str">
        <f>IFERROR(VLOOKUP(B278,'[1]Outgoing to JEL'!$A$6:$G$5000,3,0),"")</f>
        <v/>
      </c>
      <c r="U278" s="15" t="str">
        <f>IFERROR(VLOOKUP(B278,'[1]Outgoing to JEL'!$A$6:$G$5000,2,0),"")</f>
        <v/>
      </c>
      <c r="V278" s="15" t="str">
        <f>IFERROR(VLOOKUP(B278,'[1]Outgoing to JEL'!$A$6:$G$5000,7,0),"")</f>
        <v/>
      </c>
      <c r="W278" s="3" t="str">
        <f t="shared" si="367"/>
        <v/>
      </c>
    </row>
    <row r="279" spans="1:23" s="16" customFormat="1" x14ac:dyDescent="0.2">
      <c r="A279" s="99"/>
      <c r="B279" s="48" t="str">
        <f t="shared" si="363"/>
        <v>KHF-00-104265-AA-6944-01322-0000-3</v>
      </c>
      <c r="C279" s="31" t="s">
        <v>366</v>
      </c>
      <c r="D279" s="32" t="s">
        <v>365</v>
      </c>
      <c r="E279" s="20">
        <v>3</v>
      </c>
      <c r="F279" s="20"/>
      <c r="G279" s="20"/>
      <c r="H279" s="20" t="str">
        <f t="shared" si="364"/>
        <v/>
      </c>
      <c r="I279" s="3" t="str">
        <f t="shared" si="369"/>
        <v/>
      </c>
      <c r="J279" s="15" t="str">
        <f>IFERROR(VLOOKUP(B279,'[1]Incoming from JEL'!$A$6:$G$5002,3,0),"")</f>
        <v/>
      </c>
      <c r="K279" s="15" t="str">
        <f>IFERROR(VLOOKUP(B279,'[1]Incoming from JEL'!$A$6:$G$5002,2,0),"")</f>
        <v/>
      </c>
      <c r="L279" s="15" t="str">
        <f>IFERROR(VLOOKUP(B279,'[1]Incoming from JEL'!$A$6:$G$5002,7,0),"")</f>
        <v/>
      </c>
      <c r="M279" s="15" t="str">
        <f>IFERROR(VLOOKUP(B279,'[2]Outgoing Transmittals to PDO'!$A$6:$G$20000,3,0),"")</f>
        <v/>
      </c>
      <c r="N279" s="15" t="str">
        <f>IFERROR(VLOOKUP(B279,'[2]Outgoing Transmittals to PDO'!$A$6:$G$20000,2,0),"")</f>
        <v/>
      </c>
      <c r="O279" s="15" t="str">
        <f>IFERROR(VLOOKUP(B279,'[2]Outgoing Transmittals to PDO'!$A$6:$G$20000,7,0),"")</f>
        <v/>
      </c>
      <c r="P279" s="15" t="str">
        <f t="shared" si="366"/>
        <v/>
      </c>
      <c r="Q279" s="15" t="str">
        <f>IFERROR(VLOOKUP(B279,'[3]Incoming Transmittals from PDO'!$A$6:$G$20000,3,0),"")</f>
        <v/>
      </c>
      <c r="R279" s="15" t="str">
        <f>IFERROR(VLOOKUP(B279,'[3]Incoming Transmittals from PDO'!$A$6:$G$20000,2,0),"")</f>
        <v/>
      </c>
      <c r="S279" s="15" t="str">
        <f>IFERROR(VLOOKUP(B279,'[3]Incoming Transmittals from PDO'!$A$6:$G$20000,7,0),"")</f>
        <v/>
      </c>
      <c r="T279" s="15" t="str">
        <f>IFERROR(VLOOKUP(B279,'[1]Outgoing to JEL'!$A$6:$G$5000,3,0),"")</f>
        <v/>
      </c>
      <c r="U279" s="15" t="str">
        <f>IFERROR(VLOOKUP(B279,'[1]Outgoing to JEL'!$A$6:$G$5000,2,0),"")</f>
        <v/>
      </c>
      <c r="V279" s="15" t="str">
        <f>IFERROR(VLOOKUP(B279,'[1]Outgoing to JEL'!$A$6:$G$5000,7,0),"")</f>
        <v/>
      </c>
      <c r="W279" s="3" t="str">
        <f t="shared" si="367"/>
        <v/>
      </c>
    </row>
    <row r="280" spans="1:23" s="16" customFormat="1" x14ac:dyDescent="0.2">
      <c r="A280" s="97">
        <f>A277+1</f>
        <v>3</v>
      </c>
      <c r="B280" s="51" t="str">
        <f t="shared" ref="B280:B282" si="370">CONCATENATE(C280,"-",E280)</f>
        <v>KHF-00-104265-AA-6944-01323-0000-1</v>
      </c>
      <c r="C280" s="31" t="s">
        <v>373</v>
      </c>
      <c r="D280" s="32" t="s">
        <v>374</v>
      </c>
      <c r="E280" s="20">
        <v>1</v>
      </c>
      <c r="F280" s="20"/>
      <c r="G280" s="20"/>
      <c r="H280" s="20" t="str">
        <f t="shared" si="364"/>
        <v>L</v>
      </c>
      <c r="I280" s="3">
        <f>J280</f>
        <v>43555</v>
      </c>
      <c r="J280" s="15">
        <f>IFERROR(VLOOKUP(B280,'[1]Incoming from JEL'!$A$6:$G$5002,3,0),"")</f>
        <v>43555</v>
      </c>
      <c r="K280" s="15" t="str">
        <f>IFERROR(VLOOKUP(B280,'[1]Incoming from JEL'!$A$6:$G$5002,2,0),"")</f>
        <v>AIP-YKP-JEL-T-0030</v>
      </c>
      <c r="L280" s="15" t="str">
        <f>IFERROR(VLOOKUP(B280,'[1]Incoming from JEL'!$A$6:$G$5002,7,0),"")</f>
        <v>IFI</v>
      </c>
      <c r="M280" s="15" t="str">
        <f>IFERROR(VLOOKUP(B280,'[2]Outgoing Transmittals to PDO'!$A$6:$G$20000,3,0),"")</f>
        <v/>
      </c>
      <c r="N280" s="15" t="str">
        <f>IFERROR(VLOOKUP(B280,'[2]Outgoing Transmittals to PDO'!$A$6:$G$20000,2,0),"")</f>
        <v/>
      </c>
      <c r="O280" s="15" t="str">
        <f>IFERROR(VLOOKUP(B280,'[2]Outgoing Transmittals to PDO'!$A$6:$G$20000,7,0),"")</f>
        <v/>
      </c>
      <c r="P280" s="15" t="str">
        <f t="shared" ref="P280:P282" si="371">IF(ISNUMBER(M280),SUM(M280+14),"")</f>
        <v/>
      </c>
      <c r="Q280" s="15" t="str">
        <f>IFERROR(VLOOKUP(B280,'[3]Incoming Transmittals from PDO'!$A$6:$G$20000,3,0),"")</f>
        <v/>
      </c>
      <c r="R280" s="15" t="str">
        <f>IFERROR(VLOOKUP(B280,'[3]Incoming Transmittals from PDO'!$A$6:$G$20000,2,0),"")</f>
        <v/>
      </c>
      <c r="S280" s="15" t="str">
        <f>IFERROR(VLOOKUP(B280,'[3]Incoming Transmittals from PDO'!$A$6:$G$20000,7,0),"")</f>
        <v/>
      </c>
      <c r="T280" s="15" t="str">
        <f>IFERROR(VLOOKUP(B280,'[1]Outgoing to JEL'!$A$6:$G$5000,3,0),"")</f>
        <v/>
      </c>
      <c r="U280" s="15" t="str">
        <f>IFERROR(VLOOKUP(B280,'[1]Outgoing to JEL'!$A$6:$G$5000,2,0),"")</f>
        <v/>
      </c>
      <c r="V280" s="15" t="str">
        <f>IFERROR(VLOOKUP(B280,'[1]Outgoing to JEL'!$A$6:$G$5000,7,0),"")</f>
        <v/>
      </c>
      <c r="W280" s="3" t="str">
        <f t="shared" ref="W280:W282" si="372">IF(S280="Code A","Approved by PDO",IF(S280="Code B","Comments from PDO",IF(S280="Code C","Review not Required",IF(S280="Code D","Rejected by PDO",IF(V280="Code A","Approved by AIP",IF(V280="Code B","Comments from AIP",IF(V280="Code C","Review not Required",IF(V280="Code D","Rejected by AIP",IF(AND(M280="-",Q280="-"),"Pending for AIP review",IF(O280="IFI","Issued for Information",IF(M280&lt;&gt;"","Pending for PDO Approval",IF(L280="IFI","Issued for AIP Information",IF(J280&lt;&gt;"","Pending for PDO submission",IF(I280&lt;&gt;"","Pending from JEL",""))))))))))))))</f>
        <v>Issued for AIP Information</v>
      </c>
    </row>
    <row r="281" spans="1:23" s="16" customFormat="1" x14ac:dyDescent="0.2">
      <c r="A281" s="98"/>
      <c r="B281" s="51" t="str">
        <f t="shared" si="370"/>
        <v>KHF-00-104265-AA-6944-01323-0000-2</v>
      </c>
      <c r="C281" s="31" t="s">
        <v>373</v>
      </c>
      <c r="D281" s="32" t="s">
        <v>374</v>
      </c>
      <c r="E281" s="20">
        <v>2</v>
      </c>
      <c r="F281" s="20"/>
      <c r="G281" s="20"/>
      <c r="H281" s="20" t="str">
        <f t="shared" si="364"/>
        <v/>
      </c>
      <c r="I281" s="3" t="str">
        <f t="shared" ref="I281:I282" si="373">IFERROR(IF(OR(V280="Code B",V280="Code D",V280="-",ISNUMBER(J281)),T280+14,""),"")</f>
        <v/>
      </c>
      <c r="J281" s="15" t="str">
        <f>IFERROR(VLOOKUP(B281,'[1]Incoming from JEL'!$A$6:$G$5002,3,0),"")</f>
        <v/>
      </c>
      <c r="K281" s="15" t="str">
        <f>IFERROR(VLOOKUP(B281,'[1]Incoming from JEL'!$A$6:$G$5002,2,0),"")</f>
        <v/>
      </c>
      <c r="L281" s="15" t="str">
        <f>IFERROR(VLOOKUP(B281,'[1]Incoming from JEL'!$A$6:$G$5002,7,0),"")</f>
        <v/>
      </c>
      <c r="M281" s="15" t="str">
        <f>IFERROR(VLOOKUP(B281,'[2]Outgoing Transmittals to PDO'!$A$6:$G$20000,3,0),"")</f>
        <v/>
      </c>
      <c r="N281" s="15" t="str">
        <f>IFERROR(VLOOKUP(B281,'[2]Outgoing Transmittals to PDO'!$A$6:$G$20000,2,0),"")</f>
        <v/>
      </c>
      <c r="O281" s="15" t="str">
        <f>IFERROR(VLOOKUP(B281,'[2]Outgoing Transmittals to PDO'!$A$6:$G$20000,7,0),"")</f>
        <v/>
      </c>
      <c r="P281" s="15" t="str">
        <f t="shared" si="371"/>
        <v/>
      </c>
      <c r="Q281" s="15" t="str">
        <f>IFERROR(VLOOKUP(B281,'[3]Incoming Transmittals from PDO'!$A$6:$G$20000,3,0),"")</f>
        <v/>
      </c>
      <c r="R281" s="15" t="str">
        <f>IFERROR(VLOOKUP(B281,'[3]Incoming Transmittals from PDO'!$A$6:$G$20000,2,0),"")</f>
        <v/>
      </c>
      <c r="S281" s="15" t="str">
        <f>IFERROR(VLOOKUP(B281,'[3]Incoming Transmittals from PDO'!$A$6:$G$20000,7,0),"")</f>
        <v/>
      </c>
      <c r="T281" s="15" t="str">
        <f>IFERROR(VLOOKUP(B281,'[1]Outgoing to JEL'!$A$6:$G$5000,3,0),"")</f>
        <v/>
      </c>
      <c r="U281" s="15" t="str">
        <f>IFERROR(VLOOKUP(B281,'[1]Outgoing to JEL'!$A$6:$G$5000,2,0),"")</f>
        <v/>
      </c>
      <c r="V281" s="15" t="str">
        <f>IFERROR(VLOOKUP(B281,'[1]Outgoing to JEL'!$A$6:$G$5000,7,0),"")</f>
        <v/>
      </c>
      <c r="W281" s="3" t="str">
        <f t="shared" si="372"/>
        <v/>
      </c>
    </row>
    <row r="282" spans="1:23" s="16" customFormat="1" x14ac:dyDescent="0.2">
      <c r="A282" s="99"/>
      <c r="B282" s="51" t="str">
        <f t="shared" si="370"/>
        <v>KHF-00-104265-AA-6944-01323-0000-3</v>
      </c>
      <c r="C282" s="31" t="s">
        <v>373</v>
      </c>
      <c r="D282" s="32" t="s">
        <v>374</v>
      </c>
      <c r="E282" s="20">
        <v>3</v>
      </c>
      <c r="F282" s="20"/>
      <c r="G282" s="20"/>
      <c r="H282" s="20" t="str">
        <f t="shared" si="364"/>
        <v/>
      </c>
      <c r="I282" s="3" t="str">
        <f t="shared" si="373"/>
        <v/>
      </c>
      <c r="J282" s="15" t="str">
        <f>IFERROR(VLOOKUP(B282,'[1]Incoming from JEL'!$A$6:$G$5002,3,0),"")</f>
        <v/>
      </c>
      <c r="K282" s="15" t="str">
        <f>IFERROR(VLOOKUP(B282,'[1]Incoming from JEL'!$A$6:$G$5002,2,0),"")</f>
        <v/>
      </c>
      <c r="L282" s="15" t="str">
        <f>IFERROR(VLOOKUP(B282,'[1]Incoming from JEL'!$A$6:$G$5002,7,0),"")</f>
        <v/>
      </c>
      <c r="M282" s="15" t="str">
        <f>IFERROR(VLOOKUP(B282,'[2]Outgoing Transmittals to PDO'!$A$6:$G$20000,3,0),"")</f>
        <v/>
      </c>
      <c r="N282" s="15" t="str">
        <f>IFERROR(VLOOKUP(B282,'[2]Outgoing Transmittals to PDO'!$A$6:$G$20000,2,0),"")</f>
        <v/>
      </c>
      <c r="O282" s="15" t="str">
        <f>IFERROR(VLOOKUP(B282,'[2]Outgoing Transmittals to PDO'!$A$6:$G$20000,7,0),"")</f>
        <v/>
      </c>
      <c r="P282" s="15" t="str">
        <f t="shared" si="371"/>
        <v/>
      </c>
      <c r="Q282" s="15" t="str">
        <f>IFERROR(VLOOKUP(B282,'[3]Incoming Transmittals from PDO'!$A$6:$G$20000,3,0),"")</f>
        <v/>
      </c>
      <c r="R282" s="15" t="str">
        <f>IFERROR(VLOOKUP(B282,'[3]Incoming Transmittals from PDO'!$A$6:$G$20000,2,0),"")</f>
        <v/>
      </c>
      <c r="S282" s="15" t="str">
        <f>IFERROR(VLOOKUP(B282,'[3]Incoming Transmittals from PDO'!$A$6:$G$20000,7,0),"")</f>
        <v/>
      </c>
      <c r="T282" s="15" t="str">
        <f>IFERROR(VLOOKUP(B282,'[1]Outgoing to JEL'!$A$6:$G$5000,3,0),"")</f>
        <v/>
      </c>
      <c r="U282" s="15" t="str">
        <f>IFERROR(VLOOKUP(B282,'[1]Outgoing to JEL'!$A$6:$G$5000,2,0),"")</f>
        <v/>
      </c>
      <c r="V282" s="15" t="str">
        <f>IFERROR(VLOOKUP(B282,'[1]Outgoing to JEL'!$A$6:$G$5000,7,0),"")</f>
        <v/>
      </c>
      <c r="W282" s="3" t="str">
        <f t="shared" si="372"/>
        <v/>
      </c>
    </row>
    <row r="283" spans="1:23" s="16" customFormat="1" x14ac:dyDescent="0.2">
      <c r="A283" s="97">
        <f>A280+1</f>
        <v>4</v>
      </c>
      <c r="B283" s="54" t="str">
        <f t="shared" ref="B283:B288" si="374">CONCATENATE(C283,"-",E283)</f>
        <v>KHF-00-104265-AA-6944-01324-0000-1</v>
      </c>
      <c r="C283" s="31" t="s">
        <v>379</v>
      </c>
      <c r="D283" s="32" t="s">
        <v>380</v>
      </c>
      <c r="E283" s="20">
        <v>1</v>
      </c>
      <c r="F283" s="20"/>
      <c r="G283" s="20"/>
      <c r="H283" s="20" t="str">
        <f t="shared" ref="H283:H285" si="375">IF(AND(C283=C284,J284="",J283&lt;&gt;""),"L","")</f>
        <v>L</v>
      </c>
      <c r="I283" s="3">
        <f>J283</f>
        <v>43562</v>
      </c>
      <c r="J283" s="15">
        <f>IFERROR(VLOOKUP(B283,'[1]Incoming from JEL'!$A$6:$G$5002,3,0),"")</f>
        <v>43562</v>
      </c>
      <c r="K283" s="15" t="str">
        <f>IFERROR(VLOOKUP(B283,'[1]Incoming from JEL'!$A$6:$G$5002,2,0),"")</f>
        <v>AIP-YKP-JEL-T-0034</v>
      </c>
      <c r="L283" s="15" t="str">
        <f>IFERROR(VLOOKUP(B283,'[1]Incoming from JEL'!$A$6:$G$5002,7,0),"")</f>
        <v>IFI</v>
      </c>
      <c r="M283" s="15" t="str">
        <f>IFERROR(VLOOKUP(B283,'[2]Outgoing Transmittals to PDO'!$A$6:$G$20000,3,0),"")</f>
        <v/>
      </c>
      <c r="N283" s="15" t="str">
        <f>IFERROR(VLOOKUP(B283,'[2]Outgoing Transmittals to PDO'!$A$6:$G$20000,2,0),"")</f>
        <v/>
      </c>
      <c r="O283" s="15" t="str">
        <f>IFERROR(VLOOKUP(B283,'[2]Outgoing Transmittals to PDO'!$A$6:$G$20000,7,0),"")</f>
        <v/>
      </c>
      <c r="P283" s="15" t="str">
        <f t="shared" ref="P283:P288" si="376">IF(ISNUMBER(M283),SUM(M283+14),"")</f>
        <v/>
      </c>
      <c r="Q283" s="15" t="str">
        <f>IFERROR(VLOOKUP(B283,'[3]Incoming Transmittals from PDO'!$A$6:$G$20000,3,0),"")</f>
        <v/>
      </c>
      <c r="R283" s="15" t="str">
        <f>IFERROR(VLOOKUP(B283,'[3]Incoming Transmittals from PDO'!$A$6:$G$20000,2,0),"")</f>
        <v/>
      </c>
      <c r="S283" s="15" t="str">
        <f>IFERROR(VLOOKUP(B283,'[3]Incoming Transmittals from PDO'!$A$6:$G$20000,7,0),"")</f>
        <v/>
      </c>
      <c r="T283" s="15" t="str">
        <f>IFERROR(VLOOKUP(B283,'[1]Outgoing to JEL'!$A$6:$G$5000,3,0),"")</f>
        <v/>
      </c>
      <c r="U283" s="15" t="str">
        <f>IFERROR(VLOOKUP(B283,'[1]Outgoing to JEL'!$A$6:$G$5000,2,0),"")</f>
        <v/>
      </c>
      <c r="V283" s="15" t="str">
        <f>IFERROR(VLOOKUP(B283,'[1]Outgoing to JEL'!$A$6:$G$5000,7,0),"")</f>
        <v/>
      </c>
      <c r="W283" s="3" t="str">
        <f t="shared" ref="W283:W288" si="377">IF(S283="Code A","Approved by PDO",IF(S283="Code B","Comments from PDO",IF(S283="Code C","Review not Required",IF(S283="Code D","Rejected by PDO",IF(V283="Code A","Approved by AIP",IF(V283="Code B","Comments from AIP",IF(V283="Code C","Review not Required",IF(V283="Code D","Rejected by AIP",IF(AND(M283="-",Q283="-"),"Pending for AIP review",IF(O283="IFI","Issued for Information",IF(M283&lt;&gt;"","Pending for PDO Approval",IF(L283="IFI","Issued for AIP Information",IF(J283&lt;&gt;"","Pending for PDO submission",IF(I283&lt;&gt;"","Pending from JEL",""))))))))))))))</f>
        <v>Issued for AIP Information</v>
      </c>
    </row>
    <row r="284" spans="1:23" s="16" customFormat="1" x14ac:dyDescent="0.2">
      <c r="A284" s="98"/>
      <c r="B284" s="54" t="str">
        <f t="shared" si="374"/>
        <v>KHF-00-104265-AA-6944-01324-0000-2</v>
      </c>
      <c r="C284" s="31" t="s">
        <v>379</v>
      </c>
      <c r="D284" s="32" t="s">
        <v>380</v>
      </c>
      <c r="E284" s="20">
        <v>2</v>
      </c>
      <c r="F284" s="20"/>
      <c r="G284" s="20"/>
      <c r="H284" s="20" t="str">
        <f t="shared" si="375"/>
        <v/>
      </c>
      <c r="I284" s="3" t="str">
        <f t="shared" ref="I284:I285" si="378">IFERROR(IF(OR(V283="Code B",V283="Code D",V283="-",ISNUMBER(J284)),T283+14,""),"")</f>
        <v/>
      </c>
      <c r="J284" s="15" t="str">
        <f>IFERROR(VLOOKUP(B284,'[1]Incoming from JEL'!$A$6:$G$5002,3,0),"")</f>
        <v/>
      </c>
      <c r="K284" s="15" t="str">
        <f>IFERROR(VLOOKUP(B284,'[1]Incoming from JEL'!$A$6:$G$5002,2,0),"")</f>
        <v/>
      </c>
      <c r="L284" s="15" t="str">
        <f>IFERROR(VLOOKUP(B284,'[1]Incoming from JEL'!$A$6:$G$5002,7,0),"")</f>
        <v/>
      </c>
      <c r="M284" s="15" t="str">
        <f>IFERROR(VLOOKUP(B284,'[2]Outgoing Transmittals to PDO'!$A$6:$G$20000,3,0),"")</f>
        <v/>
      </c>
      <c r="N284" s="15" t="str">
        <f>IFERROR(VLOOKUP(B284,'[2]Outgoing Transmittals to PDO'!$A$6:$G$20000,2,0),"")</f>
        <v/>
      </c>
      <c r="O284" s="15" t="str">
        <f>IFERROR(VLOOKUP(B284,'[2]Outgoing Transmittals to PDO'!$A$6:$G$20000,7,0),"")</f>
        <v/>
      </c>
      <c r="P284" s="15" t="str">
        <f t="shared" si="376"/>
        <v/>
      </c>
      <c r="Q284" s="15" t="str">
        <f>IFERROR(VLOOKUP(B284,'[3]Incoming Transmittals from PDO'!$A$6:$G$20000,3,0),"")</f>
        <v/>
      </c>
      <c r="R284" s="15" t="str">
        <f>IFERROR(VLOOKUP(B284,'[3]Incoming Transmittals from PDO'!$A$6:$G$20000,2,0),"")</f>
        <v/>
      </c>
      <c r="S284" s="15" t="str">
        <f>IFERROR(VLOOKUP(B284,'[3]Incoming Transmittals from PDO'!$A$6:$G$20000,7,0),"")</f>
        <v/>
      </c>
      <c r="T284" s="15" t="str">
        <f>IFERROR(VLOOKUP(B284,'[1]Outgoing to JEL'!$A$6:$G$5000,3,0),"")</f>
        <v/>
      </c>
      <c r="U284" s="15" t="str">
        <f>IFERROR(VLOOKUP(B284,'[1]Outgoing to JEL'!$A$6:$G$5000,2,0),"")</f>
        <v/>
      </c>
      <c r="V284" s="15" t="str">
        <f>IFERROR(VLOOKUP(B284,'[1]Outgoing to JEL'!$A$6:$G$5000,7,0),"")</f>
        <v/>
      </c>
      <c r="W284" s="3" t="str">
        <f t="shared" si="377"/>
        <v/>
      </c>
    </row>
    <row r="285" spans="1:23" s="16" customFormat="1" x14ac:dyDescent="0.2">
      <c r="A285" s="99"/>
      <c r="B285" s="54" t="str">
        <f t="shared" si="374"/>
        <v>KHF-00-104265-AA-6944-01324-0000-3</v>
      </c>
      <c r="C285" s="31" t="s">
        <v>379</v>
      </c>
      <c r="D285" s="32" t="s">
        <v>380</v>
      </c>
      <c r="E285" s="20">
        <v>3</v>
      </c>
      <c r="F285" s="20"/>
      <c r="G285" s="20"/>
      <c r="H285" s="20" t="str">
        <f t="shared" si="375"/>
        <v/>
      </c>
      <c r="I285" s="3" t="str">
        <f t="shared" si="378"/>
        <v/>
      </c>
      <c r="J285" s="15" t="str">
        <f>IFERROR(VLOOKUP(B285,'[1]Incoming from JEL'!$A$6:$G$5002,3,0),"")</f>
        <v/>
      </c>
      <c r="K285" s="15" t="str">
        <f>IFERROR(VLOOKUP(B285,'[1]Incoming from JEL'!$A$6:$G$5002,2,0),"")</f>
        <v/>
      </c>
      <c r="L285" s="15" t="str">
        <f>IFERROR(VLOOKUP(B285,'[1]Incoming from JEL'!$A$6:$G$5002,7,0),"")</f>
        <v/>
      </c>
      <c r="M285" s="15" t="str">
        <f>IFERROR(VLOOKUP(B285,'[2]Outgoing Transmittals to PDO'!$A$6:$G$20000,3,0),"")</f>
        <v/>
      </c>
      <c r="N285" s="15" t="str">
        <f>IFERROR(VLOOKUP(B285,'[2]Outgoing Transmittals to PDO'!$A$6:$G$20000,2,0),"")</f>
        <v/>
      </c>
      <c r="O285" s="15" t="str">
        <f>IFERROR(VLOOKUP(B285,'[2]Outgoing Transmittals to PDO'!$A$6:$G$20000,7,0),"")</f>
        <v/>
      </c>
      <c r="P285" s="15" t="str">
        <f t="shared" si="376"/>
        <v/>
      </c>
      <c r="Q285" s="15" t="str">
        <f>IFERROR(VLOOKUP(B285,'[3]Incoming Transmittals from PDO'!$A$6:$G$20000,3,0),"")</f>
        <v/>
      </c>
      <c r="R285" s="15" t="str">
        <f>IFERROR(VLOOKUP(B285,'[3]Incoming Transmittals from PDO'!$A$6:$G$20000,2,0),"")</f>
        <v/>
      </c>
      <c r="S285" s="15" t="str">
        <f>IFERROR(VLOOKUP(B285,'[3]Incoming Transmittals from PDO'!$A$6:$G$20000,7,0),"")</f>
        <v/>
      </c>
      <c r="T285" s="15" t="str">
        <f>IFERROR(VLOOKUP(B285,'[1]Outgoing to JEL'!$A$6:$G$5000,3,0),"")</f>
        <v/>
      </c>
      <c r="U285" s="15" t="str">
        <f>IFERROR(VLOOKUP(B285,'[1]Outgoing to JEL'!$A$6:$G$5000,2,0),"")</f>
        <v/>
      </c>
      <c r="V285" s="15" t="str">
        <f>IFERROR(VLOOKUP(B285,'[1]Outgoing to JEL'!$A$6:$G$5000,7,0),"")</f>
        <v/>
      </c>
      <c r="W285" s="3" t="str">
        <f t="shared" si="377"/>
        <v/>
      </c>
    </row>
    <row r="286" spans="1:23" s="16" customFormat="1" x14ac:dyDescent="0.2">
      <c r="A286" s="97">
        <f>A283+1</f>
        <v>5</v>
      </c>
      <c r="B286" s="55" t="str">
        <f t="shared" si="374"/>
        <v>KHF-00-104265-AA-6944-01325-0000-1</v>
      </c>
      <c r="C286" s="31" t="s">
        <v>383</v>
      </c>
      <c r="D286" s="32" t="s">
        <v>385</v>
      </c>
      <c r="E286" s="20">
        <v>1</v>
      </c>
      <c r="F286" s="20"/>
      <c r="G286" s="20"/>
      <c r="H286" s="20" t="str">
        <f t="shared" ref="H286:H291" si="379">IF(AND(C286=C287,J287="",J286&lt;&gt;""),"L","")</f>
        <v>L</v>
      </c>
      <c r="I286" s="3">
        <f>J286</f>
        <v>43569</v>
      </c>
      <c r="J286" s="15">
        <f>IFERROR(VLOOKUP(B286,'[1]Incoming from JEL'!$A$6:$G$5002,3,0),"")</f>
        <v>43569</v>
      </c>
      <c r="K286" s="15" t="str">
        <f>IFERROR(VLOOKUP(B286,'[1]Incoming from JEL'!$A$6:$G$5002,2,0),"")</f>
        <v>AIP-YKP-JEL-T-0035</v>
      </c>
      <c r="L286" s="15" t="str">
        <f>IFERROR(VLOOKUP(B286,'[1]Incoming from JEL'!$A$6:$G$5002,7,0),"")</f>
        <v>IFI</v>
      </c>
      <c r="M286" s="15" t="str">
        <f>IFERROR(VLOOKUP(B286,'[2]Outgoing Transmittals to PDO'!$A$6:$G$20000,3,0),"")</f>
        <v/>
      </c>
      <c r="N286" s="15" t="str">
        <f>IFERROR(VLOOKUP(B286,'[2]Outgoing Transmittals to PDO'!$A$6:$G$20000,2,0),"")</f>
        <v/>
      </c>
      <c r="O286" s="15" t="str">
        <f>IFERROR(VLOOKUP(B286,'[2]Outgoing Transmittals to PDO'!$A$6:$G$20000,7,0),"")</f>
        <v/>
      </c>
      <c r="P286" s="15" t="str">
        <f t="shared" si="376"/>
        <v/>
      </c>
      <c r="Q286" s="15" t="str">
        <f>IFERROR(VLOOKUP(B286,'[3]Incoming Transmittals from PDO'!$A$6:$G$20000,3,0),"")</f>
        <v/>
      </c>
      <c r="R286" s="15" t="str">
        <f>IFERROR(VLOOKUP(B286,'[3]Incoming Transmittals from PDO'!$A$6:$G$20000,2,0),"")</f>
        <v/>
      </c>
      <c r="S286" s="15" t="str">
        <f>IFERROR(VLOOKUP(B286,'[3]Incoming Transmittals from PDO'!$A$6:$G$20000,7,0),"")</f>
        <v/>
      </c>
      <c r="T286" s="15" t="str">
        <f>IFERROR(VLOOKUP(B286,'[1]Outgoing to JEL'!$A$6:$G$5000,3,0),"")</f>
        <v/>
      </c>
      <c r="U286" s="15" t="str">
        <f>IFERROR(VLOOKUP(B286,'[1]Outgoing to JEL'!$A$6:$G$5000,2,0),"")</f>
        <v/>
      </c>
      <c r="V286" s="15" t="str">
        <f>IFERROR(VLOOKUP(B286,'[1]Outgoing to JEL'!$A$6:$G$5000,7,0),"")</f>
        <v/>
      </c>
      <c r="W286" s="3" t="str">
        <f t="shared" si="377"/>
        <v>Issued for AIP Information</v>
      </c>
    </row>
    <row r="287" spans="1:23" s="16" customFormat="1" x14ac:dyDescent="0.2">
      <c r="A287" s="98"/>
      <c r="B287" s="55" t="str">
        <f t="shared" si="374"/>
        <v>KHF-00-104265-AA-6944-01325-0000-2</v>
      </c>
      <c r="C287" s="31" t="s">
        <v>383</v>
      </c>
      <c r="D287" s="32" t="s">
        <v>385</v>
      </c>
      <c r="E287" s="20">
        <v>2</v>
      </c>
      <c r="F287" s="20"/>
      <c r="G287" s="20"/>
      <c r="H287" s="20" t="str">
        <f t="shared" si="379"/>
        <v/>
      </c>
      <c r="I287" s="3" t="str">
        <f t="shared" ref="I287:I288" si="380">IFERROR(IF(OR(V286="Code B",V286="Code D",V286="-",ISNUMBER(J287)),T286+14,""),"")</f>
        <v/>
      </c>
      <c r="J287" s="15" t="str">
        <f>IFERROR(VLOOKUP(B287,'[1]Incoming from JEL'!$A$6:$G$5002,3,0),"")</f>
        <v/>
      </c>
      <c r="K287" s="15" t="str">
        <f>IFERROR(VLOOKUP(B287,'[1]Incoming from JEL'!$A$6:$G$5002,2,0),"")</f>
        <v/>
      </c>
      <c r="L287" s="15" t="str">
        <f>IFERROR(VLOOKUP(B287,'[1]Incoming from JEL'!$A$6:$G$5002,7,0),"")</f>
        <v/>
      </c>
      <c r="M287" s="15" t="str">
        <f>IFERROR(VLOOKUP(B287,'[2]Outgoing Transmittals to PDO'!$A$6:$G$20000,3,0),"")</f>
        <v/>
      </c>
      <c r="N287" s="15" t="str">
        <f>IFERROR(VLOOKUP(B287,'[2]Outgoing Transmittals to PDO'!$A$6:$G$20000,2,0),"")</f>
        <v/>
      </c>
      <c r="O287" s="15" t="str">
        <f>IFERROR(VLOOKUP(B287,'[2]Outgoing Transmittals to PDO'!$A$6:$G$20000,7,0),"")</f>
        <v/>
      </c>
      <c r="P287" s="15" t="str">
        <f t="shared" si="376"/>
        <v/>
      </c>
      <c r="Q287" s="15" t="str">
        <f>IFERROR(VLOOKUP(B287,'[3]Incoming Transmittals from PDO'!$A$6:$G$20000,3,0),"")</f>
        <v/>
      </c>
      <c r="R287" s="15" t="str">
        <f>IFERROR(VLOOKUP(B287,'[3]Incoming Transmittals from PDO'!$A$6:$G$20000,2,0),"")</f>
        <v/>
      </c>
      <c r="S287" s="15" t="str">
        <f>IFERROR(VLOOKUP(B287,'[3]Incoming Transmittals from PDO'!$A$6:$G$20000,7,0),"")</f>
        <v/>
      </c>
      <c r="T287" s="15" t="str">
        <f>IFERROR(VLOOKUP(B287,'[1]Outgoing to JEL'!$A$6:$G$5000,3,0),"")</f>
        <v/>
      </c>
      <c r="U287" s="15" t="str">
        <f>IFERROR(VLOOKUP(B287,'[1]Outgoing to JEL'!$A$6:$G$5000,2,0),"")</f>
        <v/>
      </c>
      <c r="V287" s="15" t="str">
        <f>IFERROR(VLOOKUP(B287,'[1]Outgoing to JEL'!$A$6:$G$5000,7,0),"")</f>
        <v/>
      </c>
      <c r="W287" s="3" t="str">
        <f t="shared" si="377"/>
        <v/>
      </c>
    </row>
    <row r="288" spans="1:23" s="16" customFormat="1" x14ac:dyDescent="0.2">
      <c r="A288" s="99"/>
      <c r="B288" s="55" t="str">
        <f t="shared" si="374"/>
        <v>KHF-00-104265-AA-6944-01325-0000-3</v>
      </c>
      <c r="C288" s="31" t="s">
        <v>383</v>
      </c>
      <c r="D288" s="32" t="s">
        <v>385</v>
      </c>
      <c r="E288" s="20">
        <v>3</v>
      </c>
      <c r="F288" s="20"/>
      <c r="G288" s="20"/>
      <c r="H288" s="20" t="str">
        <f t="shared" si="379"/>
        <v/>
      </c>
      <c r="I288" s="3" t="str">
        <f t="shared" si="380"/>
        <v/>
      </c>
      <c r="J288" s="15" t="str">
        <f>IFERROR(VLOOKUP(B288,'[1]Incoming from JEL'!$A$6:$G$5002,3,0),"")</f>
        <v/>
      </c>
      <c r="K288" s="15" t="str">
        <f>IFERROR(VLOOKUP(B288,'[1]Incoming from JEL'!$A$6:$G$5002,2,0),"")</f>
        <v/>
      </c>
      <c r="L288" s="15" t="str">
        <f>IFERROR(VLOOKUP(B288,'[1]Incoming from JEL'!$A$6:$G$5002,7,0),"")</f>
        <v/>
      </c>
      <c r="M288" s="15" t="str">
        <f>IFERROR(VLOOKUP(B288,'[2]Outgoing Transmittals to PDO'!$A$6:$G$20000,3,0),"")</f>
        <v/>
      </c>
      <c r="N288" s="15" t="str">
        <f>IFERROR(VLOOKUP(B288,'[2]Outgoing Transmittals to PDO'!$A$6:$G$20000,2,0),"")</f>
        <v/>
      </c>
      <c r="O288" s="15" t="str">
        <f>IFERROR(VLOOKUP(B288,'[2]Outgoing Transmittals to PDO'!$A$6:$G$20000,7,0),"")</f>
        <v/>
      </c>
      <c r="P288" s="15" t="str">
        <f t="shared" si="376"/>
        <v/>
      </c>
      <c r="Q288" s="15" t="str">
        <f>IFERROR(VLOOKUP(B288,'[3]Incoming Transmittals from PDO'!$A$6:$G$20000,3,0),"")</f>
        <v/>
      </c>
      <c r="R288" s="15" t="str">
        <f>IFERROR(VLOOKUP(B288,'[3]Incoming Transmittals from PDO'!$A$6:$G$20000,2,0),"")</f>
        <v/>
      </c>
      <c r="S288" s="15" t="str">
        <f>IFERROR(VLOOKUP(B288,'[3]Incoming Transmittals from PDO'!$A$6:$G$20000,7,0),"")</f>
        <v/>
      </c>
      <c r="T288" s="15" t="str">
        <f>IFERROR(VLOOKUP(B288,'[1]Outgoing to JEL'!$A$6:$G$5000,3,0),"")</f>
        <v/>
      </c>
      <c r="U288" s="15" t="str">
        <f>IFERROR(VLOOKUP(B288,'[1]Outgoing to JEL'!$A$6:$G$5000,2,0),"")</f>
        <v/>
      </c>
      <c r="V288" s="15" t="str">
        <f>IFERROR(VLOOKUP(B288,'[1]Outgoing to JEL'!$A$6:$G$5000,7,0),"")</f>
        <v/>
      </c>
      <c r="W288" s="3" t="str">
        <f t="shared" si="377"/>
        <v/>
      </c>
    </row>
    <row r="289" spans="1:23" s="16" customFormat="1" x14ac:dyDescent="0.2">
      <c r="A289" s="97">
        <f>A286+1</f>
        <v>6</v>
      </c>
      <c r="B289" s="55" t="str">
        <f t="shared" ref="B289:B291" si="381">CONCATENATE(C289,"-",E289)</f>
        <v>KHF-00-104265-AA-6944-01326-0000-1</v>
      </c>
      <c r="C289" s="31" t="s">
        <v>384</v>
      </c>
      <c r="D289" s="32" t="s">
        <v>389</v>
      </c>
      <c r="E289" s="20">
        <v>1</v>
      </c>
      <c r="F289" s="20"/>
      <c r="G289" s="20"/>
      <c r="H289" s="20" t="str">
        <f t="shared" si="379"/>
        <v>L</v>
      </c>
      <c r="I289" s="3">
        <f>J289</f>
        <v>43576</v>
      </c>
      <c r="J289" s="15">
        <f>IFERROR(VLOOKUP(B289,'[1]Incoming from JEL'!$A$6:$G$5002,3,0),"")</f>
        <v>43576</v>
      </c>
      <c r="K289" s="15" t="str">
        <f>IFERROR(VLOOKUP(B289,'[1]Incoming from JEL'!$A$6:$G$5002,2,0),"")</f>
        <v>AIP-YKP-JEL-T-0038</v>
      </c>
      <c r="L289" s="15" t="str">
        <f>IFERROR(VLOOKUP(B289,'[1]Incoming from JEL'!$A$6:$G$5002,7,0),"")</f>
        <v>IFI</v>
      </c>
      <c r="M289" s="15" t="str">
        <f>IFERROR(VLOOKUP(B289,'[2]Outgoing Transmittals to PDO'!$A$6:$G$20000,3,0),"")</f>
        <v/>
      </c>
      <c r="N289" s="15" t="str">
        <f>IFERROR(VLOOKUP(B289,'[2]Outgoing Transmittals to PDO'!$A$6:$G$20000,2,0),"")</f>
        <v/>
      </c>
      <c r="O289" s="15" t="str">
        <f>IFERROR(VLOOKUP(B289,'[2]Outgoing Transmittals to PDO'!$A$6:$G$20000,7,0),"")</f>
        <v/>
      </c>
      <c r="P289" s="15" t="str">
        <f t="shared" ref="P289:P291" si="382">IF(ISNUMBER(M289),SUM(M289+14),"")</f>
        <v/>
      </c>
      <c r="Q289" s="15" t="str">
        <f>IFERROR(VLOOKUP(B289,'[3]Incoming Transmittals from PDO'!$A$6:$G$20000,3,0),"")</f>
        <v/>
      </c>
      <c r="R289" s="15" t="str">
        <f>IFERROR(VLOOKUP(B289,'[3]Incoming Transmittals from PDO'!$A$6:$G$20000,2,0),"")</f>
        <v/>
      </c>
      <c r="S289" s="15" t="str">
        <f>IFERROR(VLOOKUP(B289,'[3]Incoming Transmittals from PDO'!$A$6:$G$20000,7,0),"")</f>
        <v/>
      </c>
      <c r="T289" s="15" t="str">
        <f>IFERROR(VLOOKUP(B289,'[1]Outgoing to JEL'!$A$6:$G$5000,3,0),"")</f>
        <v/>
      </c>
      <c r="U289" s="15" t="str">
        <f>IFERROR(VLOOKUP(B289,'[1]Outgoing to JEL'!$A$6:$G$5000,2,0),"")</f>
        <v/>
      </c>
      <c r="V289" s="15" t="str">
        <f>IFERROR(VLOOKUP(B289,'[1]Outgoing to JEL'!$A$6:$G$5000,7,0),"")</f>
        <v/>
      </c>
      <c r="W289" s="3" t="str">
        <f t="shared" ref="W289:W291" si="383">IF(S289="Code A","Approved by PDO",IF(S289="Code B","Comments from PDO",IF(S289="Code C","Review not Required",IF(S289="Code D","Rejected by PDO",IF(V289="Code A","Approved by AIP",IF(V289="Code B","Comments from AIP",IF(V289="Code C","Review not Required",IF(V289="Code D","Rejected by AIP",IF(AND(M289="-",Q289="-"),"Pending for AIP review",IF(O289="IFI","Issued for Information",IF(M289&lt;&gt;"","Pending for PDO Approval",IF(L289="IFI","Issued for AIP Information",IF(J289&lt;&gt;"","Pending for PDO submission",IF(I289&lt;&gt;"","Pending from JEL",""))))))))))))))</f>
        <v>Issued for AIP Information</v>
      </c>
    </row>
    <row r="290" spans="1:23" s="16" customFormat="1" x14ac:dyDescent="0.2">
      <c r="A290" s="98"/>
      <c r="B290" s="55" t="str">
        <f t="shared" si="381"/>
        <v>KHF-00-104265-AA-6944-01326-0000-2</v>
      </c>
      <c r="C290" s="31" t="s">
        <v>384</v>
      </c>
      <c r="D290" s="32" t="s">
        <v>389</v>
      </c>
      <c r="E290" s="20">
        <v>2</v>
      </c>
      <c r="F290" s="20"/>
      <c r="G290" s="20"/>
      <c r="H290" s="20" t="str">
        <f t="shared" si="379"/>
        <v/>
      </c>
      <c r="I290" s="3" t="str">
        <f t="shared" ref="I290:I291" si="384">IFERROR(IF(OR(V289="Code B",V289="Code D",V289="-",ISNUMBER(J290)),T289+14,""),"")</f>
        <v/>
      </c>
      <c r="J290" s="15" t="str">
        <f>IFERROR(VLOOKUP(B290,'[1]Incoming from JEL'!$A$6:$G$5002,3,0),"")</f>
        <v/>
      </c>
      <c r="K290" s="15" t="str">
        <f>IFERROR(VLOOKUP(B290,'[1]Incoming from JEL'!$A$6:$G$5002,2,0),"")</f>
        <v/>
      </c>
      <c r="L290" s="15" t="str">
        <f>IFERROR(VLOOKUP(B290,'[1]Incoming from JEL'!$A$6:$G$5002,7,0),"")</f>
        <v/>
      </c>
      <c r="M290" s="15" t="str">
        <f>IFERROR(VLOOKUP(B290,'[2]Outgoing Transmittals to PDO'!$A$6:$G$20000,3,0),"")</f>
        <v/>
      </c>
      <c r="N290" s="15" t="str">
        <f>IFERROR(VLOOKUP(B290,'[2]Outgoing Transmittals to PDO'!$A$6:$G$20000,2,0),"")</f>
        <v/>
      </c>
      <c r="O290" s="15" t="str">
        <f>IFERROR(VLOOKUP(B290,'[2]Outgoing Transmittals to PDO'!$A$6:$G$20000,7,0),"")</f>
        <v/>
      </c>
      <c r="P290" s="15" t="str">
        <f t="shared" si="382"/>
        <v/>
      </c>
      <c r="Q290" s="15" t="str">
        <f>IFERROR(VLOOKUP(B290,'[3]Incoming Transmittals from PDO'!$A$6:$G$20000,3,0),"")</f>
        <v/>
      </c>
      <c r="R290" s="15" t="str">
        <f>IFERROR(VLOOKUP(B290,'[3]Incoming Transmittals from PDO'!$A$6:$G$20000,2,0),"")</f>
        <v/>
      </c>
      <c r="S290" s="15" t="str">
        <f>IFERROR(VLOOKUP(B290,'[3]Incoming Transmittals from PDO'!$A$6:$G$20000,7,0),"")</f>
        <v/>
      </c>
      <c r="T290" s="15" t="str">
        <f>IFERROR(VLOOKUP(B290,'[1]Outgoing to JEL'!$A$6:$G$5000,3,0),"")</f>
        <v/>
      </c>
      <c r="U290" s="15" t="str">
        <f>IFERROR(VLOOKUP(B290,'[1]Outgoing to JEL'!$A$6:$G$5000,2,0),"")</f>
        <v/>
      </c>
      <c r="V290" s="15" t="str">
        <f>IFERROR(VLOOKUP(B290,'[1]Outgoing to JEL'!$A$6:$G$5000,7,0),"")</f>
        <v/>
      </c>
      <c r="W290" s="3" t="str">
        <f t="shared" si="383"/>
        <v/>
      </c>
    </row>
    <row r="291" spans="1:23" s="16" customFormat="1" x14ac:dyDescent="0.2">
      <c r="A291" s="99"/>
      <c r="B291" s="55" t="str">
        <f t="shared" si="381"/>
        <v>KHF-00-104265-AA-6944-01326-0000-3</v>
      </c>
      <c r="C291" s="31" t="s">
        <v>384</v>
      </c>
      <c r="D291" s="32" t="s">
        <v>389</v>
      </c>
      <c r="E291" s="20">
        <v>3</v>
      </c>
      <c r="F291" s="20"/>
      <c r="G291" s="20"/>
      <c r="H291" s="20" t="str">
        <f t="shared" si="379"/>
        <v/>
      </c>
      <c r="I291" s="3" t="str">
        <f t="shared" si="384"/>
        <v/>
      </c>
      <c r="J291" s="15" t="str">
        <f>IFERROR(VLOOKUP(B291,'[1]Incoming from JEL'!$A$6:$G$5002,3,0),"")</f>
        <v/>
      </c>
      <c r="K291" s="15" t="str">
        <f>IFERROR(VLOOKUP(B291,'[1]Incoming from JEL'!$A$6:$G$5002,2,0),"")</f>
        <v/>
      </c>
      <c r="L291" s="15" t="str">
        <f>IFERROR(VLOOKUP(B291,'[1]Incoming from JEL'!$A$6:$G$5002,7,0),"")</f>
        <v/>
      </c>
      <c r="M291" s="15" t="str">
        <f>IFERROR(VLOOKUP(B291,'[2]Outgoing Transmittals to PDO'!$A$6:$G$20000,3,0),"")</f>
        <v/>
      </c>
      <c r="N291" s="15" t="str">
        <f>IFERROR(VLOOKUP(B291,'[2]Outgoing Transmittals to PDO'!$A$6:$G$20000,2,0),"")</f>
        <v/>
      </c>
      <c r="O291" s="15" t="str">
        <f>IFERROR(VLOOKUP(B291,'[2]Outgoing Transmittals to PDO'!$A$6:$G$20000,7,0),"")</f>
        <v/>
      </c>
      <c r="P291" s="15" t="str">
        <f t="shared" si="382"/>
        <v/>
      </c>
      <c r="Q291" s="15" t="str">
        <f>IFERROR(VLOOKUP(B291,'[3]Incoming Transmittals from PDO'!$A$6:$G$20000,3,0),"")</f>
        <v/>
      </c>
      <c r="R291" s="15" t="str">
        <f>IFERROR(VLOOKUP(B291,'[3]Incoming Transmittals from PDO'!$A$6:$G$20000,2,0),"")</f>
        <v/>
      </c>
      <c r="S291" s="15" t="str">
        <f>IFERROR(VLOOKUP(B291,'[3]Incoming Transmittals from PDO'!$A$6:$G$20000,7,0),"")</f>
        <v/>
      </c>
      <c r="T291" s="15" t="str">
        <f>IFERROR(VLOOKUP(B291,'[1]Outgoing to JEL'!$A$6:$G$5000,3,0),"")</f>
        <v/>
      </c>
      <c r="U291" s="15" t="str">
        <f>IFERROR(VLOOKUP(B291,'[1]Outgoing to JEL'!$A$6:$G$5000,2,0),"")</f>
        <v/>
      </c>
      <c r="V291" s="15" t="str">
        <f>IFERROR(VLOOKUP(B291,'[1]Outgoing to JEL'!$A$6:$G$5000,7,0),"")</f>
        <v/>
      </c>
      <c r="W291" s="3" t="str">
        <f t="shared" si="383"/>
        <v/>
      </c>
    </row>
    <row r="292" spans="1:23" s="16" customFormat="1" x14ac:dyDescent="0.2">
      <c r="A292" s="97">
        <f>A289+1</f>
        <v>7</v>
      </c>
      <c r="B292" s="59" t="str">
        <f t="shared" ref="B292:B294" si="385">CONCATENATE(C292,"-",E292)</f>
        <v>KHF-00-104265-AA-6944-01327-0000-1</v>
      </c>
      <c r="C292" s="31" t="s">
        <v>404</v>
      </c>
      <c r="D292" s="32" t="s">
        <v>405</v>
      </c>
      <c r="E292" s="20">
        <v>1</v>
      </c>
      <c r="F292" s="20"/>
      <c r="G292" s="20"/>
      <c r="H292" s="20" t="str">
        <f t="shared" ref="H292:H294" si="386">IF(AND(C292=C293,J293="",J292&lt;&gt;""),"L","")</f>
        <v>L</v>
      </c>
      <c r="I292" s="3">
        <f>J292</f>
        <v>43583</v>
      </c>
      <c r="J292" s="15">
        <f>IFERROR(VLOOKUP(B292,'[1]Incoming from JEL'!$A$6:$G$5002,3,0),"")</f>
        <v>43583</v>
      </c>
      <c r="K292" s="15" t="str">
        <f>IFERROR(VLOOKUP(B292,'[1]Incoming from JEL'!$A$6:$G$5002,2,0),"")</f>
        <v>AIP-YKP-JEL -T-0043</v>
      </c>
      <c r="L292" s="15" t="str">
        <f>IFERROR(VLOOKUP(B292,'[1]Incoming from JEL'!$A$6:$G$5002,7,0),"")</f>
        <v>IFI</v>
      </c>
      <c r="M292" s="15" t="str">
        <f>IFERROR(VLOOKUP(B292,'[2]Outgoing Transmittals to PDO'!$A$6:$G$20000,3,0),"")</f>
        <v/>
      </c>
      <c r="N292" s="15" t="str">
        <f>IFERROR(VLOOKUP(B292,'[2]Outgoing Transmittals to PDO'!$A$6:$G$20000,2,0),"")</f>
        <v/>
      </c>
      <c r="O292" s="15" t="str">
        <f>IFERROR(VLOOKUP(B292,'[2]Outgoing Transmittals to PDO'!$A$6:$G$20000,7,0),"")</f>
        <v/>
      </c>
      <c r="P292" s="15" t="str">
        <f t="shared" ref="P292:P294" si="387">IF(ISNUMBER(M292),SUM(M292+14),"")</f>
        <v/>
      </c>
      <c r="Q292" s="15" t="str">
        <f>IFERROR(VLOOKUP(B292,'[3]Incoming Transmittals from PDO'!$A$6:$G$20000,3,0),"")</f>
        <v/>
      </c>
      <c r="R292" s="15" t="str">
        <f>IFERROR(VLOOKUP(B292,'[3]Incoming Transmittals from PDO'!$A$6:$G$20000,2,0),"")</f>
        <v/>
      </c>
      <c r="S292" s="15" t="str">
        <f>IFERROR(VLOOKUP(B292,'[3]Incoming Transmittals from PDO'!$A$6:$G$20000,7,0),"")</f>
        <v/>
      </c>
      <c r="T292" s="15" t="str">
        <f>IFERROR(VLOOKUP(B292,'[1]Outgoing to JEL'!$A$6:$G$5000,3,0),"")</f>
        <v/>
      </c>
      <c r="U292" s="15" t="str">
        <f>IFERROR(VLOOKUP(B292,'[1]Outgoing to JEL'!$A$6:$G$5000,2,0),"")</f>
        <v/>
      </c>
      <c r="V292" s="15" t="str">
        <f>IFERROR(VLOOKUP(B292,'[1]Outgoing to JEL'!$A$6:$G$5000,7,0),"")</f>
        <v/>
      </c>
      <c r="W292" s="3" t="str">
        <f t="shared" ref="W292:W294" si="388">IF(S292="Code A","Approved by PDO",IF(S292="Code B","Comments from PDO",IF(S292="Code C","Review not Required",IF(S292="Code D","Rejected by PDO",IF(V292="Code A","Approved by AIP",IF(V292="Code B","Comments from AIP",IF(V292="Code C","Review not Required",IF(V292="Code D","Rejected by AIP",IF(AND(M292="-",Q292="-"),"Pending for AIP review",IF(O292="IFI","Issued for Information",IF(M292&lt;&gt;"","Pending for PDO Approval",IF(L292="IFI","Issued for AIP Information",IF(J292&lt;&gt;"","Pending for PDO submission",IF(I292&lt;&gt;"","Pending from JEL",""))))))))))))))</f>
        <v>Issued for AIP Information</v>
      </c>
    </row>
    <row r="293" spans="1:23" s="16" customFormat="1" x14ac:dyDescent="0.2">
      <c r="A293" s="98"/>
      <c r="B293" s="59" t="str">
        <f t="shared" si="385"/>
        <v>KHF-00-104265-AA-6944-01327-0000-2</v>
      </c>
      <c r="C293" s="31" t="s">
        <v>404</v>
      </c>
      <c r="D293" s="32" t="s">
        <v>405</v>
      </c>
      <c r="E293" s="20">
        <v>2</v>
      </c>
      <c r="F293" s="20"/>
      <c r="G293" s="20"/>
      <c r="H293" s="20" t="str">
        <f t="shared" si="386"/>
        <v/>
      </c>
      <c r="I293" s="3" t="str">
        <f t="shared" ref="I293:I294" si="389">IFERROR(IF(OR(V292="Code B",V292="Code D",V292="-",ISNUMBER(J293)),T292+14,""),"")</f>
        <v/>
      </c>
      <c r="J293" s="15" t="str">
        <f>IFERROR(VLOOKUP(B293,'[1]Incoming from JEL'!$A$6:$G$5002,3,0),"")</f>
        <v/>
      </c>
      <c r="K293" s="15" t="str">
        <f>IFERROR(VLOOKUP(B293,'[1]Incoming from JEL'!$A$6:$G$5002,2,0),"")</f>
        <v/>
      </c>
      <c r="L293" s="15" t="str">
        <f>IFERROR(VLOOKUP(B293,'[1]Incoming from JEL'!$A$6:$G$5002,7,0),"")</f>
        <v/>
      </c>
      <c r="M293" s="15" t="str">
        <f>IFERROR(VLOOKUP(B293,'[2]Outgoing Transmittals to PDO'!$A$6:$G$20000,3,0),"")</f>
        <v/>
      </c>
      <c r="N293" s="15" t="str">
        <f>IFERROR(VLOOKUP(B293,'[2]Outgoing Transmittals to PDO'!$A$6:$G$20000,2,0),"")</f>
        <v/>
      </c>
      <c r="O293" s="15" t="str">
        <f>IFERROR(VLOOKUP(B293,'[2]Outgoing Transmittals to PDO'!$A$6:$G$20000,7,0),"")</f>
        <v/>
      </c>
      <c r="P293" s="15" t="str">
        <f t="shared" si="387"/>
        <v/>
      </c>
      <c r="Q293" s="15" t="str">
        <f>IFERROR(VLOOKUP(B293,'[3]Incoming Transmittals from PDO'!$A$6:$G$20000,3,0),"")</f>
        <v/>
      </c>
      <c r="R293" s="15" t="str">
        <f>IFERROR(VLOOKUP(B293,'[3]Incoming Transmittals from PDO'!$A$6:$G$20000,2,0),"")</f>
        <v/>
      </c>
      <c r="S293" s="15" t="str">
        <f>IFERROR(VLOOKUP(B293,'[3]Incoming Transmittals from PDO'!$A$6:$G$20000,7,0),"")</f>
        <v/>
      </c>
      <c r="T293" s="15" t="str">
        <f>IFERROR(VLOOKUP(B293,'[1]Outgoing to JEL'!$A$6:$G$5000,3,0),"")</f>
        <v/>
      </c>
      <c r="U293" s="15" t="str">
        <f>IFERROR(VLOOKUP(B293,'[1]Outgoing to JEL'!$A$6:$G$5000,2,0),"")</f>
        <v/>
      </c>
      <c r="V293" s="15" t="str">
        <f>IFERROR(VLOOKUP(B293,'[1]Outgoing to JEL'!$A$6:$G$5000,7,0),"")</f>
        <v/>
      </c>
      <c r="W293" s="3" t="str">
        <f t="shared" si="388"/>
        <v/>
      </c>
    </row>
    <row r="294" spans="1:23" s="16" customFormat="1" x14ac:dyDescent="0.2">
      <c r="A294" s="99"/>
      <c r="B294" s="59" t="str">
        <f t="shared" si="385"/>
        <v>KHF-00-104265-AA-6944-01327-0000-3</v>
      </c>
      <c r="C294" s="31" t="s">
        <v>404</v>
      </c>
      <c r="D294" s="32" t="s">
        <v>405</v>
      </c>
      <c r="E294" s="20">
        <v>3</v>
      </c>
      <c r="F294" s="20"/>
      <c r="G294" s="20"/>
      <c r="H294" s="20" t="str">
        <f t="shared" si="386"/>
        <v/>
      </c>
      <c r="I294" s="3" t="str">
        <f t="shared" si="389"/>
        <v/>
      </c>
      <c r="J294" s="15" t="str">
        <f>IFERROR(VLOOKUP(B294,'[1]Incoming from JEL'!$A$6:$G$5002,3,0),"")</f>
        <v/>
      </c>
      <c r="K294" s="15" t="str">
        <f>IFERROR(VLOOKUP(B294,'[1]Incoming from JEL'!$A$6:$G$5002,2,0),"")</f>
        <v/>
      </c>
      <c r="L294" s="15" t="str">
        <f>IFERROR(VLOOKUP(B294,'[1]Incoming from JEL'!$A$6:$G$5002,7,0),"")</f>
        <v/>
      </c>
      <c r="M294" s="15" t="str">
        <f>IFERROR(VLOOKUP(B294,'[2]Outgoing Transmittals to PDO'!$A$6:$G$20000,3,0),"")</f>
        <v/>
      </c>
      <c r="N294" s="15" t="str">
        <f>IFERROR(VLOOKUP(B294,'[2]Outgoing Transmittals to PDO'!$A$6:$G$20000,2,0),"")</f>
        <v/>
      </c>
      <c r="O294" s="15" t="str">
        <f>IFERROR(VLOOKUP(B294,'[2]Outgoing Transmittals to PDO'!$A$6:$G$20000,7,0),"")</f>
        <v/>
      </c>
      <c r="P294" s="15" t="str">
        <f t="shared" si="387"/>
        <v/>
      </c>
      <c r="Q294" s="15" t="str">
        <f>IFERROR(VLOOKUP(B294,'[3]Incoming Transmittals from PDO'!$A$6:$G$20000,3,0),"")</f>
        <v/>
      </c>
      <c r="R294" s="15" t="str">
        <f>IFERROR(VLOOKUP(B294,'[3]Incoming Transmittals from PDO'!$A$6:$G$20000,2,0),"")</f>
        <v/>
      </c>
      <c r="S294" s="15" t="str">
        <f>IFERROR(VLOOKUP(B294,'[3]Incoming Transmittals from PDO'!$A$6:$G$20000,7,0),"")</f>
        <v/>
      </c>
      <c r="T294" s="15" t="str">
        <f>IFERROR(VLOOKUP(B294,'[1]Outgoing to JEL'!$A$6:$G$5000,3,0),"")</f>
        <v/>
      </c>
      <c r="U294" s="15" t="str">
        <f>IFERROR(VLOOKUP(B294,'[1]Outgoing to JEL'!$A$6:$G$5000,2,0),"")</f>
        <v/>
      </c>
      <c r="V294" s="15" t="str">
        <f>IFERROR(VLOOKUP(B294,'[1]Outgoing to JEL'!$A$6:$G$5000,7,0),"")</f>
        <v/>
      </c>
      <c r="W294" s="3" t="str">
        <f t="shared" si="388"/>
        <v/>
      </c>
    </row>
    <row r="295" spans="1:23" s="16" customFormat="1" x14ac:dyDescent="0.2">
      <c r="A295" s="97">
        <f>A292+1</f>
        <v>8</v>
      </c>
      <c r="B295" s="61" t="str">
        <f t="shared" ref="B295:B297" si="390">CONCATENATE(C295,"-",E295)</f>
        <v>KHF-00-104265-AA-6944-01328-0000-1</v>
      </c>
      <c r="C295" s="31" t="s">
        <v>412</v>
      </c>
      <c r="D295" s="32" t="s">
        <v>421</v>
      </c>
      <c r="E295" s="20">
        <v>1</v>
      </c>
      <c r="F295" s="20"/>
      <c r="G295" s="20"/>
      <c r="H295" s="20" t="str">
        <f t="shared" ref="H295:H297" si="391">IF(AND(C295=C296,J296="",J295&lt;&gt;""),"L","")</f>
        <v>L</v>
      </c>
      <c r="I295" s="3">
        <f>J295</f>
        <v>43590</v>
      </c>
      <c r="J295" s="15">
        <f>IFERROR(VLOOKUP(B295,'[1]Incoming from JEL'!$A$6:$G$5002,3,0),"")</f>
        <v>43590</v>
      </c>
      <c r="K295" s="15" t="str">
        <f>IFERROR(VLOOKUP(B295,'[1]Incoming from JEL'!$A$6:$G$5002,2,0),"")</f>
        <v>AIP-YKP-JEL -T-0046</v>
      </c>
      <c r="L295" s="15" t="str">
        <f>IFERROR(VLOOKUP(B295,'[1]Incoming from JEL'!$A$6:$G$5002,7,0),"")</f>
        <v>IFI</v>
      </c>
      <c r="M295" s="15" t="str">
        <f>IFERROR(VLOOKUP(B295,'[2]Outgoing Transmittals to PDO'!$A$6:$G$20000,3,0),"")</f>
        <v/>
      </c>
      <c r="N295" s="15" t="str">
        <f>IFERROR(VLOOKUP(B295,'[2]Outgoing Transmittals to PDO'!$A$6:$G$20000,2,0),"")</f>
        <v/>
      </c>
      <c r="O295" s="15" t="str">
        <f>IFERROR(VLOOKUP(B295,'[2]Outgoing Transmittals to PDO'!$A$6:$G$20000,7,0),"")</f>
        <v/>
      </c>
      <c r="P295" s="15" t="str">
        <f t="shared" ref="P295:P297" si="392">IF(ISNUMBER(M295),SUM(M295+14),"")</f>
        <v/>
      </c>
      <c r="Q295" s="15" t="str">
        <f>IFERROR(VLOOKUP(B295,'[3]Incoming Transmittals from PDO'!$A$6:$G$20000,3,0),"")</f>
        <v/>
      </c>
      <c r="R295" s="15" t="str">
        <f>IFERROR(VLOOKUP(B295,'[3]Incoming Transmittals from PDO'!$A$6:$G$20000,2,0),"")</f>
        <v/>
      </c>
      <c r="S295" s="15" t="str">
        <f>IFERROR(VLOOKUP(B295,'[3]Incoming Transmittals from PDO'!$A$6:$G$20000,7,0),"")</f>
        <v/>
      </c>
      <c r="T295" s="15" t="str">
        <f>IFERROR(VLOOKUP(B295,'[1]Outgoing to JEL'!$A$6:$G$5000,3,0),"")</f>
        <v/>
      </c>
      <c r="U295" s="15" t="str">
        <f>IFERROR(VLOOKUP(B295,'[1]Outgoing to JEL'!$A$6:$G$5000,2,0),"")</f>
        <v/>
      </c>
      <c r="V295" s="15" t="str">
        <f>IFERROR(VLOOKUP(B295,'[1]Outgoing to JEL'!$A$6:$G$5000,7,0),"")</f>
        <v/>
      </c>
      <c r="W295" s="3" t="str">
        <f t="shared" ref="W295:W297" si="393">IF(S295="Code A","Approved by PDO",IF(S295="Code B","Comments from PDO",IF(S295="Code C","Review not Required",IF(S295="Code D","Rejected by PDO",IF(V295="Code A","Approved by AIP",IF(V295="Code B","Comments from AIP",IF(V295="Code C","Review not Required",IF(V295="Code D","Rejected by AIP",IF(AND(M295="-",Q295="-"),"Pending for AIP review",IF(O295="IFI","Issued for Information",IF(M295&lt;&gt;"","Pending for PDO Approval",IF(L295="IFI","Issued for AIP Information",IF(J295&lt;&gt;"","Pending for PDO submission",IF(I295&lt;&gt;"","Pending from JEL",""))))))))))))))</f>
        <v>Issued for AIP Information</v>
      </c>
    </row>
    <row r="296" spans="1:23" s="16" customFormat="1" x14ac:dyDescent="0.2">
      <c r="A296" s="98"/>
      <c r="B296" s="61" t="str">
        <f t="shared" si="390"/>
        <v>KHF-00-104265-AA-6944-01328-0000-2</v>
      </c>
      <c r="C296" s="31" t="s">
        <v>412</v>
      </c>
      <c r="D296" s="32" t="s">
        <v>421</v>
      </c>
      <c r="E296" s="20">
        <v>2</v>
      </c>
      <c r="F296" s="20"/>
      <c r="G296" s="20"/>
      <c r="H296" s="20" t="str">
        <f t="shared" si="391"/>
        <v/>
      </c>
      <c r="I296" s="3" t="str">
        <f t="shared" ref="I296:I297" si="394">IFERROR(IF(OR(V295="Code B",V295="Code D",V295="-",ISNUMBER(J296)),T295+14,""),"")</f>
        <v/>
      </c>
      <c r="J296" s="15" t="str">
        <f>IFERROR(VLOOKUP(B296,'[1]Incoming from JEL'!$A$6:$G$5002,3,0),"")</f>
        <v/>
      </c>
      <c r="K296" s="15" t="str">
        <f>IFERROR(VLOOKUP(B296,'[1]Incoming from JEL'!$A$6:$G$5002,2,0),"")</f>
        <v/>
      </c>
      <c r="L296" s="15" t="str">
        <f>IFERROR(VLOOKUP(B296,'[1]Incoming from JEL'!$A$6:$G$5002,7,0),"")</f>
        <v/>
      </c>
      <c r="M296" s="15" t="str">
        <f>IFERROR(VLOOKUP(B296,'[2]Outgoing Transmittals to PDO'!$A$6:$G$20000,3,0),"")</f>
        <v/>
      </c>
      <c r="N296" s="15" t="str">
        <f>IFERROR(VLOOKUP(B296,'[2]Outgoing Transmittals to PDO'!$A$6:$G$20000,2,0),"")</f>
        <v/>
      </c>
      <c r="O296" s="15" t="str">
        <f>IFERROR(VLOOKUP(B296,'[2]Outgoing Transmittals to PDO'!$A$6:$G$20000,7,0),"")</f>
        <v/>
      </c>
      <c r="P296" s="15" t="str">
        <f t="shared" si="392"/>
        <v/>
      </c>
      <c r="Q296" s="15" t="str">
        <f>IFERROR(VLOOKUP(B296,'[3]Incoming Transmittals from PDO'!$A$6:$G$20000,3,0),"")</f>
        <v/>
      </c>
      <c r="R296" s="15" t="str">
        <f>IFERROR(VLOOKUP(B296,'[3]Incoming Transmittals from PDO'!$A$6:$G$20000,2,0),"")</f>
        <v/>
      </c>
      <c r="S296" s="15" t="str">
        <f>IFERROR(VLOOKUP(B296,'[3]Incoming Transmittals from PDO'!$A$6:$G$20000,7,0),"")</f>
        <v/>
      </c>
      <c r="T296" s="15" t="str">
        <f>IFERROR(VLOOKUP(B296,'[1]Outgoing to JEL'!$A$6:$G$5000,3,0),"")</f>
        <v/>
      </c>
      <c r="U296" s="15" t="str">
        <f>IFERROR(VLOOKUP(B296,'[1]Outgoing to JEL'!$A$6:$G$5000,2,0),"")</f>
        <v/>
      </c>
      <c r="V296" s="15" t="str">
        <f>IFERROR(VLOOKUP(B296,'[1]Outgoing to JEL'!$A$6:$G$5000,7,0),"")</f>
        <v/>
      </c>
      <c r="W296" s="3" t="str">
        <f t="shared" si="393"/>
        <v/>
      </c>
    </row>
    <row r="297" spans="1:23" s="16" customFormat="1" x14ac:dyDescent="0.2">
      <c r="A297" s="99"/>
      <c r="B297" s="61" t="str">
        <f t="shared" si="390"/>
        <v>KHF-00-104265-AA-6944-01328-0000-3</v>
      </c>
      <c r="C297" s="31" t="s">
        <v>412</v>
      </c>
      <c r="D297" s="32" t="s">
        <v>421</v>
      </c>
      <c r="E297" s="20">
        <v>3</v>
      </c>
      <c r="F297" s="20"/>
      <c r="G297" s="20"/>
      <c r="H297" s="20" t="str">
        <f t="shared" si="391"/>
        <v/>
      </c>
      <c r="I297" s="3" t="str">
        <f t="shared" si="394"/>
        <v/>
      </c>
      <c r="J297" s="15" t="str">
        <f>IFERROR(VLOOKUP(B297,'[1]Incoming from JEL'!$A$6:$G$5002,3,0),"")</f>
        <v/>
      </c>
      <c r="K297" s="15" t="str">
        <f>IFERROR(VLOOKUP(B297,'[1]Incoming from JEL'!$A$6:$G$5002,2,0),"")</f>
        <v/>
      </c>
      <c r="L297" s="15" t="str">
        <f>IFERROR(VLOOKUP(B297,'[1]Incoming from JEL'!$A$6:$G$5002,7,0),"")</f>
        <v/>
      </c>
      <c r="M297" s="15" t="str">
        <f>IFERROR(VLOOKUP(B297,'[2]Outgoing Transmittals to PDO'!$A$6:$G$20000,3,0),"")</f>
        <v/>
      </c>
      <c r="N297" s="15" t="str">
        <f>IFERROR(VLOOKUP(B297,'[2]Outgoing Transmittals to PDO'!$A$6:$G$20000,2,0),"")</f>
        <v/>
      </c>
      <c r="O297" s="15" t="str">
        <f>IFERROR(VLOOKUP(B297,'[2]Outgoing Transmittals to PDO'!$A$6:$G$20000,7,0),"")</f>
        <v/>
      </c>
      <c r="P297" s="15" t="str">
        <f t="shared" si="392"/>
        <v/>
      </c>
      <c r="Q297" s="15" t="str">
        <f>IFERROR(VLOOKUP(B297,'[3]Incoming Transmittals from PDO'!$A$6:$G$20000,3,0),"")</f>
        <v/>
      </c>
      <c r="R297" s="15" t="str">
        <f>IFERROR(VLOOKUP(B297,'[3]Incoming Transmittals from PDO'!$A$6:$G$20000,2,0),"")</f>
        <v/>
      </c>
      <c r="S297" s="15" t="str">
        <f>IFERROR(VLOOKUP(B297,'[3]Incoming Transmittals from PDO'!$A$6:$G$20000,7,0),"")</f>
        <v/>
      </c>
      <c r="T297" s="15" t="str">
        <f>IFERROR(VLOOKUP(B297,'[1]Outgoing to JEL'!$A$6:$G$5000,3,0),"")</f>
        <v/>
      </c>
      <c r="U297" s="15" t="str">
        <f>IFERROR(VLOOKUP(B297,'[1]Outgoing to JEL'!$A$6:$G$5000,2,0),"")</f>
        <v/>
      </c>
      <c r="V297" s="15" t="str">
        <f>IFERROR(VLOOKUP(B297,'[1]Outgoing to JEL'!$A$6:$G$5000,7,0),"")</f>
        <v/>
      </c>
      <c r="W297" s="3" t="str">
        <f t="shared" si="393"/>
        <v/>
      </c>
    </row>
    <row r="298" spans="1:23" s="16" customFormat="1" x14ac:dyDescent="0.2">
      <c r="A298" s="97">
        <f>A295+1</f>
        <v>9</v>
      </c>
      <c r="B298" s="63" t="str">
        <f t="shared" ref="B298:B300" si="395">CONCATENATE(C298,"-",E298)</f>
        <v>KHF-00-104265-AA-6944-01329-0000-1</v>
      </c>
      <c r="C298" s="31" t="s">
        <v>419</v>
      </c>
      <c r="D298" s="32" t="s">
        <v>420</v>
      </c>
      <c r="E298" s="20">
        <v>1</v>
      </c>
      <c r="F298" s="20"/>
      <c r="G298" s="20"/>
      <c r="H298" s="20" t="str">
        <f t="shared" ref="H298:H300" si="396">IF(AND(C298=C299,J299="",J298&lt;&gt;""),"L","")</f>
        <v>L</v>
      </c>
      <c r="I298" s="3">
        <f>J298</f>
        <v>43597</v>
      </c>
      <c r="J298" s="15">
        <f>IFERROR(VLOOKUP(B298,'[1]Incoming from JEL'!$A$6:$G$5002,3,0),"")</f>
        <v>43597</v>
      </c>
      <c r="K298" s="15" t="str">
        <f>IFERROR(VLOOKUP(B298,'[1]Incoming from JEL'!$A$6:$G$5002,2,0),"")</f>
        <v>AIP-YKP-JEL -T-0047</v>
      </c>
      <c r="L298" s="15" t="str">
        <f>IFERROR(VLOOKUP(B298,'[1]Incoming from JEL'!$A$6:$G$5002,7,0),"")</f>
        <v>IFI</v>
      </c>
      <c r="M298" s="15" t="str">
        <f>IFERROR(VLOOKUP(B298,'[2]Outgoing Transmittals to PDO'!$A$6:$G$20000,3,0),"")</f>
        <v/>
      </c>
      <c r="N298" s="15" t="str">
        <f>IFERROR(VLOOKUP(B298,'[2]Outgoing Transmittals to PDO'!$A$6:$G$20000,2,0),"")</f>
        <v/>
      </c>
      <c r="O298" s="15" t="str">
        <f>IFERROR(VLOOKUP(B298,'[2]Outgoing Transmittals to PDO'!$A$6:$G$20000,7,0),"")</f>
        <v/>
      </c>
      <c r="P298" s="15" t="str">
        <f t="shared" ref="P298:P300" si="397">IF(ISNUMBER(M298),SUM(M298+14),"")</f>
        <v/>
      </c>
      <c r="Q298" s="15" t="str">
        <f>IFERROR(VLOOKUP(B298,'[3]Incoming Transmittals from PDO'!$A$6:$G$20000,3,0),"")</f>
        <v/>
      </c>
      <c r="R298" s="15" t="str">
        <f>IFERROR(VLOOKUP(B298,'[3]Incoming Transmittals from PDO'!$A$6:$G$20000,2,0),"")</f>
        <v/>
      </c>
      <c r="S298" s="15" t="str">
        <f>IFERROR(VLOOKUP(B298,'[3]Incoming Transmittals from PDO'!$A$6:$G$20000,7,0),"")</f>
        <v/>
      </c>
      <c r="T298" s="15" t="str">
        <f>IFERROR(VLOOKUP(B298,'[1]Outgoing to JEL'!$A$6:$G$5000,3,0),"")</f>
        <v/>
      </c>
      <c r="U298" s="15" t="str">
        <f>IFERROR(VLOOKUP(B298,'[1]Outgoing to JEL'!$A$6:$G$5000,2,0),"")</f>
        <v/>
      </c>
      <c r="V298" s="15" t="str">
        <f>IFERROR(VLOOKUP(B298,'[1]Outgoing to JEL'!$A$6:$G$5000,7,0),"")</f>
        <v/>
      </c>
      <c r="W298" s="3" t="str">
        <f t="shared" ref="W298:W300" si="398">IF(S298="Code A","Approved by PDO",IF(S298="Code B","Comments from PDO",IF(S298="Code C","Review not Required",IF(S298="Code D","Rejected by PDO",IF(V298="Code A","Approved by AIP",IF(V298="Code B","Comments from AIP",IF(V298="Code C","Review not Required",IF(V298="Code D","Rejected by AIP",IF(AND(M298="-",Q298="-"),"Pending for AIP review",IF(O298="IFI","Issued for Information",IF(M298&lt;&gt;"","Pending for PDO Approval",IF(L298="IFI","Issued for AIP Information",IF(J298&lt;&gt;"","Pending for PDO submission",IF(I298&lt;&gt;"","Pending from JEL",""))))))))))))))</f>
        <v>Issued for AIP Information</v>
      </c>
    </row>
    <row r="299" spans="1:23" s="16" customFormat="1" x14ac:dyDescent="0.2">
      <c r="A299" s="98"/>
      <c r="B299" s="63" t="str">
        <f t="shared" si="395"/>
        <v>KHF-00-104265-AA-6944-01329-0000-2</v>
      </c>
      <c r="C299" s="31" t="s">
        <v>419</v>
      </c>
      <c r="D299" s="32" t="s">
        <v>420</v>
      </c>
      <c r="E299" s="20">
        <v>2</v>
      </c>
      <c r="F299" s="20"/>
      <c r="G299" s="20"/>
      <c r="H299" s="20" t="str">
        <f t="shared" si="396"/>
        <v/>
      </c>
      <c r="I299" s="3" t="str">
        <f t="shared" ref="I299:I300" si="399">IFERROR(IF(OR(V298="Code B",V298="Code D",V298="-",ISNUMBER(J299)),T298+14,""),"")</f>
        <v/>
      </c>
      <c r="J299" s="15" t="str">
        <f>IFERROR(VLOOKUP(B299,'[1]Incoming from JEL'!$A$6:$G$5002,3,0),"")</f>
        <v/>
      </c>
      <c r="K299" s="15" t="str">
        <f>IFERROR(VLOOKUP(B299,'[1]Incoming from JEL'!$A$6:$G$5002,2,0),"")</f>
        <v/>
      </c>
      <c r="L299" s="15" t="str">
        <f>IFERROR(VLOOKUP(B299,'[1]Incoming from JEL'!$A$6:$G$5002,7,0),"")</f>
        <v/>
      </c>
      <c r="M299" s="15" t="str">
        <f>IFERROR(VLOOKUP(B299,'[2]Outgoing Transmittals to PDO'!$A$6:$G$20000,3,0),"")</f>
        <v/>
      </c>
      <c r="N299" s="15" t="str">
        <f>IFERROR(VLOOKUP(B299,'[2]Outgoing Transmittals to PDO'!$A$6:$G$20000,2,0),"")</f>
        <v/>
      </c>
      <c r="O299" s="15" t="str">
        <f>IFERROR(VLOOKUP(B299,'[2]Outgoing Transmittals to PDO'!$A$6:$G$20000,7,0),"")</f>
        <v/>
      </c>
      <c r="P299" s="15" t="str">
        <f t="shared" si="397"/>
        <v/>
      </c>
      <c r="Q299" s="15" t="str">
        <f>IFERROR(VLOOKUP(B299,'[3]Incoming Transmittals from PDO'!$A$6:$G$20000,3,0),"")</f>
        <v/>
      </c>
      <c r="R299" s="15" t="str">
        <f>IFERROR(VLOOKUP(B299,'[3]Incoming Transmittals from PDO'!$A$6:$G$20000,2,0),"")</f>
        <v/>
      </c>
      <c r="S299" s="15" t="str">
        <f>IFERROR(VLOOKUP(B299,'[3]Incoming Transmittals from PDO'!$A$6:$G$20000,7,0),"")</f>
        <v/>
      </c>
      <c r="T299" s="15" t="str">
        <f>IFERROR(VLOOKUP(B299,'[1]Outgoing to JEL'!$A$6:$G$5000,3,0),"")</f>
        <v/>
      </c>
      <c r="U299" s="15" t="str">
        <f>IFERROR(VLOOKUP(B299,'[1]Outgoing to JEL'!$A$6:$G$5000,2,0),"")</f>
        <v/>
      </c>
      <c r="V299" s="15" t="str">
        <f>IFERROR(VLOOKUP(B299,'[1]Outgoing to JEL'!$A$6:$G$5000,7,0),"")</f>
        <v/>
      </c>
      <c r="W299" s="3" t="str">
        <f t="shared" si="398"/>
        <v/>
      </c>
    </row>
    <row r="300" spans="1:23" s="16" customFormat="1" x14ac:dyDescent="0.2">
      <c r="A300" s="99"/>
      <c r="B300" s="63" t="str">
        <f t="shared" si="395"/>
        <v>KHF-00-104265-AA-6944-01329-0000-3</v>
      </c>
      <c r="C300" s="31" t="s">
        <v>419</v>
      </c>
      <c r="D300" s="32" t="s">
        <v>420</v>
      </c>
      <c r="E300" s="20">
        <v>3</v>
      </c>
      <c r="F300" s="20"/>
      <c r="G300" s="20"/>
      <c r="H300" s="20" t="str">
        <f t="shared" si="396"/>
        <v/>
      </c>
      <c r="I300" s="3" t="str">
        <f t="shared" si="399"/>
        <v/>
      </c>
      <c r="J300" s="15" t="str">
        <f>IFERROR(VLOOKUP(B300,'[1]Incoming from JEL'!$A$6:$G$5002,3,0),"")</f>
        <v/>
      </c>
      <c r="K300" s="15" t="str">
        <f>IFERROR(VLOOKUP(B300,'[1]Incoming from JEL'!$A$6:$G$5002,2,0),"")</f>
        <v/>
      </c>
      <c r="L300" s="15" t="str">
        <f>IFERROR(VLOOKUP(B300,'[1]Incoming from JEL'!$A$6:$G$5002,7,0),"")</f>
        <v/>
      </c>
      <c r="M300" s="15" t="str">
        <f>IFERROR(VLOOKUP(B300,'[2]Outgoing Transmittals to PDO'!$A$6:$G$20000,3,0),"")</f>
        <v/>
      </c>
      <c r="N300" s="15" t="str">
        <f>IFERROR(VLOOKUP(B300,'[2]Outgoing Transmittals to PDO'!$A$6:$G$20000,2,0),"")</f>
        <v/>
      </c>
      <c r="O300" s="15" t="str">
        <f>IFERROR(VLOOKUP(B300,'[2]Outgoing Transmittals to PDO'!$A$6:$G$20000,7,0),"")</f>
        <v/>
      </c>
      <c r="P300" s="15" t="str">
        <f t="shared" si="397"/>
        <v/>
      </c>
      <c r="Q300" s="15" t="str">
        <f>IFERROR(VLOOKUP(B300,'[3]Incoming Transmittals from PDO'!$A$6:$G$20000,3,0),"")</f>
        <v/>
      </c>
      <c r="R300" s="15" t="str">
        <f>IFERROR(VLOOKUP(B300,'[3]Incoming Transmittals from PDO'!$A$6:$G$20000,2,0),"")</f>
        <v/>
      </c>
      <c r="S300" s="15" t="str">
        <f>IFERROR(VLOOKUP(B300,'[3]Incoming Transmittals from PDO'!$A$6:$G$20000,7,0),"")</f>
        <v/>
      </c>
      <c r="T300" s="15" t="str">
        <f>IFERROR(VLOOKUP(B300,'[1]Outgoing to JEL'!$A$6:$G$5000,3,0),"")</f>
        <v/>
      </c>
      <c r="U300" s="15" t="str">
        <f>IFERROR(VLOOKUP(B300,'[1]Outgoing to JEL'!$A$6:$G$5000,2,0),"")</f>
        <v/>
      </c>
      <c r="V300" s="15" t="str">
        <f>IFERROR(VLOOKUP(B300,'[1]Outgoing to JEL'!$A$6:$G$5000,7,0),"")</f>
        <v/>
      </c>
      <c r="W300" s="3" t="str">
        <f t="shared" si="398"/>
        <v/>
      </c>
    </row>
    <row r="301" spans="1:23" s="16" customFormat="1" x14ac:dyDescent="0.2">
      <c r="A301" s="97">
        <f>A298+1</f>
        <v>10</v>
      </c>
      <c r="B301" s="66" t="str">
        <f t="shared" ref="B301:B303" si="400">CONCATENATE(C301,"-",E301)</f>
        <v>KHF-00-104265-AA-6944-01330-0000-1</v>
      </c>
      <c r="C301" s="31" t="s">
        <v>428</v>
      </c>
      <c r="D301" s="32" t="s">
        <v>429</v>
      </c>
      <c r="E301" s="20">
        <v>1</v>
      </c>
      <c r="F301" s="20"/>
      <c r="G301" s="20"/>
      <c r="H301" s="20" t="str">
        <f t="shared" ref="H301:H303" si="401">IF(AND(C301=C302,J302="",J301&lt;&gt;""),"L","")</f>
        <v>L</v>
      </c>
      <c r="I301" s="3">
        <f>J301</f>
        <v>43604</v>
      </c>
      <c r="J301" s="15">
        <f>IFERROR(VLOOKUP(B301,'[1]Incoming from JEL'!$A$6:$G$5002,3,0),"")</f>
        <v>43604</v>
      </c>
      <c r="K301" s="15" t="str">
        <f>IFERROR(VLOOKUP(B301,'[1]Incoming from JEL'!$A$6:$G$5002,2,0),"")</f>
        <v>AIP-YKP-JEL -T-0049</v>
      </c>
      <c r="L301" s="15" t="str">
        <f>IFERROR(VLOOKUP(B301,'[1]Incoming from JEL'!$A$6:$G$5002,7,0),"")</f>
        <v>IFI</v>
      </c>
      <c r="M301" s="15" t="str">
        <f>IFERROR(VLOOKUP(B301,'[2]Outgoing Transmittals to PDO'!$A$6:$G$20000,3,0),"")</f>
        <v/>
      </c>
      <c r="N301" s="15" t="str">
        <f>IFERROR(VLOOKUP(B301,'[2]Outgoing Transmittals to PDO'!$A$6:$G$20000,2,0),"")</f>
        <v/>
      </c>
      <c r="O301" s="15" t="str">
        <f>IFERROR(VLOOKUP(B301,'[2]Outgoing Transmittals to PDO'!$A$6:$G$20000,7,0),"")</f>
        <v/>
      </c>
      <c r="P301" s="15" t="str">
        <f t="shared" ref="P301:P303" si="402">IF(ISNUMBER(M301),SUM(M301+14),"")</f>
        <v/>
      </c>
      <c r="Q301" s="15" t="str">
        <f>IFERROR(VLOOKUP(B301,'[3]Incoming Transmittals from PDO'!$A$6:$G$20000,3,0),"")</f>
        <v/>
      </c>
      <c r="R301" s="15" t="str">
        <f>IFERROR(VLOOKUP(B301,'[3]Incoming Transmittals from PDO'!$A$6:$G$20000,2,0),"")</f>
        <v/>
      </c>
      <c r="S301" s="15" t="str">
        <f>IFERROR(VLOOKUP(B301,'[3]Incoming Transmittals from PDO'!$A$6:$G$20000,7,0),"")</f>
        <v/>
      </c>
      <c r="T301" s="15" t="str">
        <f>IFERROR(VLOOKUP(B301,'[1]Outgoing to JEL'!$A$6:$G$5000,3,0),"")</f>
        <v/>
      </c>
      <c r="U301" s="15" t="str">
        <f>IFERROR(VLOOKUP(B301,'[1]Outgoing to JEL'!$A$6:$G$5000,2,0),"")</f>
        <v/>
      </c>
      <c r="V301" s="15" t="str">
        <f>IFERROR(VLOOKUP(B301,'[1]Outgoing to JEL'!$A$6:$G$5000,7,0),"")</f>
        <v/>
      </c>
      <c r="W301" s="3" t="str">
        <f t="shared" ref="W301:W303" si="403">IF(S301="Code A","Approved by PDO",IF(S301="Code B","Comments from PDO",IF(S301="Code C","Review not Required",IF(S301="Code D","Rejected by PDO",IF(V301="Code A","Approved by AIP",IF(V301="Code B","Comments from AIP",IF(V301="Code C","Review not Required",IF(V301="Code D","Rejected by AIP",IF(AND(M301="-",Q301="-"),"Pending for AIP review",IF(O301="IFI","Issued for Information",IF(M301&lt;&gt;"","Pending for PDO Approval",IF(L301="IFI","Issued for AIP Information",IF(J301&lt;&gt;"","Pending for PDO submission",IF(I301&lt;&gt;"","Pending from JEL",""))))))))))))))</f>
        <v>Issued for AIP Information</v>
      </c>
    </row>
    <row r="302" spans="1:23" s="16" customFormat="1" x14ac:dyDescent="0.2">
      <c r="A302" s="98"/>
      <c r="B302" s="66" t="str">
        <f t="shared" si="400"/>
        <v>KHF-00-104265-AA-6944-01330-0000-2</v>
      </c>
      <c r="C302" s="31" t="s">
        <v>428</v>
      </c>
      <c r="D302" s="32" t="s">
        <v>429</v>
      </c>
      <c r="E302" s="20">
        <v>2</v>
      </c>
      <c r="F302" s="20"/>
      <c r="G302" s="20"/>
      <c r="H302" s="20" t="str">
        <f t="shared" si="401"/>
        <v/>
      </c>
      <c r="I302" s="3" t="str">
        <f t="shared" ref="I302:I303" si="404">IFERROR(IF(OR(V301="Code B",V301="Code D",V301="-",ISNUMBER(J302)),T301+14,""),"")</f>
        <v/>
      </c>
      <c r="J302" s="15" t="str">
        <f>IFERROR(VLOOKUP(B302,'[1]Incoming from JEL'!$A$6:$G$5002,3,0),"")</f>
        <v/>
      </c>
      <c r="K302" s="15" t="str">
        <f>IFERROR(VLOOKUP(B302,'[1]Incoming from JEL'!$A$6:$G$5002,2,0),"")</f>
        <v/>
      </c>
      <c r="L302" s="15" t="str">
        <f>IFERROR(VLOOKUP(B302,'[1]Incoming from JEL'!$A$6:$G$5002,7,0),"")</f>
        <v/>
      </c>
      <c r="M302" s="15" t="str">
        <f>IFERROR(VLOOKUP(B302,'[2]Outgoing Transmittals to PDO'!$A$6:$G$20000,3,0),"")</f>
        <v/>
      </c>
      <c r="N302" s="15" t="str">
        <f>IFERROR(VLOOKUP(B302,'[2]Outgoing Transmittals to PDO'!$A$6:$G$20000,2,0),"")</f>
        <v/>
      </c>
      <c r="O302" s="15" t="str">
        <f>IFERROR(VLOOKUP(B302,'[2]Outgoing Transmittals to PDO'!$A$6:$G$20000,7,0),"")</f>
        <v/>
      </c>
      <c r="P302" s="15" t="str">
        <f t="shared" si="402"/>
        <v/>
      </c>
      <c r="Q302" s="15" t="str">
        <f>IFERROR(VLOOKUP(B302,'[3]Incoming Transmittals from PDO'!$A$6:$G$20000,3,0),"")</f>
        <v/>
      </c>
      <c r="R302" s="15" t="str">
        <f>IFERROR(VLOOKUP(B302,'[3]Incoming Transmittals from PDO'!$A$6:$G$20000,2,0),"")</f>
        <v/>
      </c>
      <c r="S302" s="15" t="str">
        <f>IFERROR(VLOOKUP(B302,'[3]Incoming Transmittals from PDO'!$A$6:$G$20000,7,0),"")</f>
        <v/>
      </c>
      <c r="T302" s="15" t="str">
        <f>IFERROR(VLOOKUP(B302,'[1]Outgoing to JEL'!$A$6:$G$5000,3,0),"")</f>
        <v/>
      </c>
      <c r="U302" s="15" t="str">
        <f>IFERROR(VLOOKUP(B302,'[1]Outgoing to JEL'!$A$6:$G$5000,2,0),"")</f>
        <v/>
      </c>
      <c r="V302" s="15" t="str">
        <f>IFERROR(VLOOKUP(B302,'[1]Outgoing to JEL'!$A$6:$G$5000,7,0),"")</f>
        <v/>
      </c>
      <c r="W302" s="3" t="str">
        <f t="shared" si="403"/>
        <v/>
      </c>
    </row>
    <row r="303" spans="1:23" s="16" customFormat="1" x14ac:dyDescent="0.2">
      <c r="A303" s="99"/>
      <c r="B303" s="66" t="str">
        <f t="shared" si="400"/>
        <v>KHF-00-104265-AA-6944-01330-0000-3</v>
      </c>
      <c r="C303" s="31" t="s">
        <v>428</v>
      </c>
      <c r="D303" s="32" t="s">
        <v>429</v>
      </c>
      <c r="E303" s="20">
        <v>3</v>
      </c>
      <c r="F303" s="20"/>
      <c r="G303" s="20"/>
      <c r="H303" s="20" t="str">
        <f t="shared" si="401"/>
        <v/>
      </c>
      <c r="I303" s="3" t="str">
        <f t="shared" si="404"/>
        <v/>
      </c>
      <c r="J303" s="15" t="str">
        <f>IFERROR(VLOOKUP(B303,'[1]Incoming from JEL'!$A$6:$G$5002,3,0),"")</f>
        <v/>
      </c>
      <c r="K303" s="15" t="str">
        <f>IFERROR(VLOOKUP(B303,'[1]Incoming from JEL'!$A$6:$G$5002,2,0),"")</f>
        <v/>
      </c>
      <c r="L303" s="15" t="str">
        <f>IFERROR(VLOOKUP(B303,'[1]Incoming from JEL'!$A$6:$G$5002,7,0),"")</f>
        <v/>
      </c>
      <c r="M303" s="15" t="str">
        <f>IFERROR(VLOOKUP(B303,'[2]Outgoing Transmittals to PDO'!$A$6:$G$20000,3,0),"")</f>
        <v/>
      </c>
      <c r="N303" s="15" t="str">
        <f>IFERROR(VLOOKUP(B303,'[2]Outgoing Transmittals to PDO'!$A$6:$G$20000,2,0),"")</f>
        <v/>
      </c>
      <c r="O303" s="15" t="str">
        <f>IFERROR(VLOOKUP(B303,'[2]Outgoing Transmittals to PDO'!$A$6:$G$20000,7,0),"")</f>
        <v/>
      </c>
      <c r="P303" s="15" t="str">
        <f t="shared" si="402"/>
        <v/>
      </c>
      <c r="Q303" s="15" t="str">
        <f>IFERROR(VLOOKUP(B303,'[3]Incoming Transmittals from PDO'!$A$6:$G$20000,3,0),"")</f>
        <v/>
      </c>
      <c r="R303" s="15" t="str">
        <f>IFERROR(VLOOKUP(B303,'[3]Incoming Transmittals from PDO'!$A$6:$G$20000,2,0),"")</f>
        <v/>
      </c>
      <c r="S303" s="15" t="str">
        <f>IFERROR(VLOOKUP(B303,'[3]Incoming Transmittals from PDO'!$A$6:$G$20000,7,0),"")</f>
        <v/>
      </c>
      <c r="T303" s="15" t="str">
        <f>IFERROR(VLOOKUP(B303,'[1]Outgoing to JEL'!$A$6:$G$5000,3,0),"")</f>
        <v/>
      </c>
      <c r="U303" s="15" t="str">
        <f>IFERROR(VLOOKUP(B303,'[1]Outgoing to JEL'!$A$6:$G$5000,2,0),"")</f>
        <v/>
      </c>
      <c r="V303" s="15" t="str">
        <f>IFERROR(VLOOKUP(B303,'[1]Outgoing to JEL'!$A$6:$G$5000,7,0),"")</f>
        <v/>
      </c>
      <c r="W303" s="3" t="str">
        <f t="shared" si="403"/>
        <v/>
      </c>
    </row>
    <row r="304" spans="1:23" s="16" customFormat="1" x14ac:dyDescent="0.2">
      <c r="A304" s="97">
        <f>A301+1</f>
        <v>11</v>
      </c>
      <c r="B304" s="67" t="str">
        <f t="shared" ref="B304:B306" si="405">CONCATENATE(C304,"-",E304)</f>
        <v>KHF-00-104265-AA-6944-01331-0000-1</v>
      </c>
      <c r="C304" s="31" t="s">
        <v>430</v>
      </c>
      <c r="D304" s="32" t="s">
        <v>431</v>
      </c>
      <c r="E304" s="20">
        <v>1</v>
      </c>
      <c r="F304" s="20"/>
      <c r="G304" s="20"/>
      <c r="H304" s="20" t="str">
        <f t="shared" ref="H304:H306" si="406">IF(AND(C304=C305,J305="",J304&lt;&gt;""),"L","")</f>
        <v>L</v>
      </c>
      <c r="I304" s="3">
        <f>J304</f>
        <v>43611</v>
      </c>
      <c r="J304" s="15">
        <f>IFERROR(VLOOKUP(B304,'[1]Incoming from JEL'!$A$6:$G$5002,3,0),"")</f>
        <v>43611</v>
      </c>
      <c r="K304" s="15" t="str">
        <f>IFERROR(VLOOKUP(B304,'[1]Incoming from JEL'!$A$6:$G$5002,2,0),"")</f>
        <v>AIP-YKP-JEL -T-0050</v>
      </c>
      <c r="L304" s="15" t="str">
        <f>IFERROR(VLOOKUP(B304,'[1]Incoming from JEL'!$A$6:$G$5002,7,0),"")</f>
        <v>IFI</v>
      </c>
      <c r="M304" s="15" t="str">
        <f>IFERROR(VLOOKUP(B304,'[2]Outgoing Transmittals to PDO'!$A$6:$G$20000,3,0),"")</f>
        <v/>
      </c>
      <c r="N304" s="15" t="str">
        <f>IFERROR(VLOOKUP(B304,'[2]Outgoing Transmittals to PDO'!$A$6:$G$20000,2,0),"")</f>
        <v/>
      </c>
      <c r="O304" s="15" t="str">
        <f>IFERROR(VLOOKUP(B304,'[2]Outgoing Transmittals to PDO'!$A$6:$G$20000,7,0),"")</f>
        <v/>
      </c>
      <c r="P304" s="15" t="str">
        <f t="shared" ref="P304:P306" si="407">IF(ISNUMBER(M304),SUM(M304+14),"")</f>
        <v/>
      </c>
      <c r="Q304" s="15" t="str">
        <f>IFERROR(VLOOKUP(B304,'[3]Incoming Transmittals from PDO'!$A$6:$G$20000,3,0),"")</f>
        <v/>
      </c>
      <c r="R304" s="15" t="str">
        <f>IFERROR(VLOOKUP(B304,'[3]Incoming Transmittals from PDO'!$A$6:$G$20000,2,0),"")</f>
        <v/>
      </c>
      <c r="S304" s="15" t="str">
        <f>IFERROR(VLOOKUP(B304,'[3]Incoming Transmittals from PDO'!$A$6:$G$20000,7,0),"")</f>
        <v/>
      </c>
      <c r="T304" s="15" t="str">
        <f>IFERROR(VLOOKUP(B304,'[1]Outgoing to JEL'!$A$6:$G$5000,3,0),"")</f>
        <v/>
      </c>
      <c r="U304" s="15" t="str">
        <f>IFERROR(VLOOKUP(B304,'[1]Outgoing to JEL'!$A$6:$G$5000,2,0),"")</f>
        <v/>
      </c>
      <c r="V304" s="15" t="str">
        <f>IFERROR(VLOOKUP(B304,'[1]Outgoing to JEL'!$A$6:$G$5000,7,0),"")</f>
        <v/>
      </c>
      <c r="W304" s="3" t="str">
        <f t="shared" ref="W304:W306" si="408">IF(S304="Code A","Approved by PDO",IF(S304="Code B","Comments from PDO",IF(S304="Code C","Review not Required",IF(S304="Code D","Rejected by PDO",IF(V304="Code A","Approved by AIP",IF(V304="Code B","Comments from AIP",IF(V304="Code C","Review not Required",IF(V304="Code D","Rejected by AIP",IF(AND(M304="-",Q304="-"),"Pending for AIP review",IF(O304="IFI","Issued for Information",IF(M304&lt;&gt;"","Pending for PDO Approval",IF(L304="IFI","Issued for AIP Information",IF(J304&lt;&gt;"","Pending for PDO submission",IF(I304&lt;&gt;"","Pending from JEL",""))))))))))))))</f>
        <v>Issued for AIP Information</v>
      </c>
    </row>
    <row r="305" spans="1:23" s="16" customFormat="1" x14ac:dyDescent="0.2">
      <c r="A305" s="98"/>
      <c r="B305" s="67" t="str">
        <f t="shared" si="405"/>
        <v>KHF-00-104265-AA-6944-01331-0000-2</v>
      </c>
      <c r="C305" s="31" t="s">
        <v>430</v>
      </c>
      <c r="D305" s="32" t="s">
        <v>431</v>
      </c>
      <c r="E305" s="20">
        <v>2</v>
      </c>
      <c r="F305" s="20"/>
      <c r="G305" s="20"/>
      <c r="H305" s="20" t="str">
        <f t="shared" si="406"/>
        <v/>
      </c>
      <c r="I305" s="3" t="str">
        <f t="shared" ref="I305:I306" si="409">IFERROR(IF(OR(V304="Code B",V304="Code D",V304="-",ISNUMBER(J305)),T304+14,""),"")</f>
        <v/>
      </c>
      <c r="J305" s="15" t="str">
        <f>IFERROR(VLOOKUP(B305,'[1]Incoming from JEL'!$A$6:$G$5002,3,0),"")</f>
        <v/>
      </c>
      <c r="K305" s="15" t="str">
        <f>IFERROR(VLOOKUP(B305,'[1]Incoming from JEL'!$A$6:$G$5002,2,0),"")</f>
        <v/>
      </c>
      <c r="L305" s="15" t="str">
        <f>IFERROR(VLOOKUP(B305,'[1]Incoming from JEL'!$A$6:$G$5002,7,0),"")</f>
        <v/>
      </c>
      <c r="M305" s="15" t="str">
        <f>IFERROR(VLOOKUP(B305,'[2]Outgoing Transmittals to PDO'!$A$6:$G$20000,3,0),"")</f>
        <v/>
      </c>
      <c r="N305" s="15" t="str">
        <f>IFERROR(VLOOKUP(B305,'[2]Outgoing Transmittals to PDO'!$A$6:$G$20000,2,0),"")</f>
        <v/>
      </c>
      <c r="O305" s="15" t="str">
        <f>IFERROR(VLOOKUP(B305,'[2]Outgoing Transmittals to PDO'!$A$6:$G$20000,7,0),"")</f>
        <v/>
      </c>
      <c r="P305" s="15" t="str">
        <f t="shared" si="407"/>
        <v/>
      </c>
      <c r="Q305" s="15" t="str">
        <f>IFERROR(VLOOKUP(B305,'[3]Incoming Transmittals from PDO'!$A$6:$G$20000,3,0),"")</f>
        <v/>
      </c>
      <c r="R305" s="15" t="str">
        <f>IFERROR(VLOOKUP(B305,'[3]Incoming Transmittals from PDO'!$A$6:$G$20000,2,0),"")</f>
        <v/>
      </c>
      <c r="S305" s="15" t="str">
        <f>IFERROR(VLOOKUP(B305,'[3]Incoming Transmittals from PDO'!$A$6:$G$20000,7,0),"")</f>
        <v/>
      </c>
      <c r="T305" s="15" t="str">
        <f>IFERROR(VLOOKUP(B305,'[1]Outgoing to JEL'!$A$6:$G$5000,3,0),"")</f>
        <v/>
      </c>
      <c r="U305" s="15" t="str">
        <f>IFERROR(VLOOKUP(B305,'[1]Outgoing to JEL'!$A$6:$G$5000,2,0),"")</f>
        <v/>
      </c>
      <c r="V305" s="15" t="str">
        <f>IFERROR(VLOOKUP(B305,'[1]Outgoing to JEL'!$A$6:$G$5000,7,0),"")</f>
        <v/>
      </c>
      <c r="W305" s="3" t="str">
        <f t="shared" si="408"/>
        <v/>
      </c>
    </row>
    <row r="306" spans="1:23" s="16" customFormat="1" x14ac:dyDescent="0.2">
      <c r="A306" s="99"/>
      <c r="B306" s="67" t="str">
        <f t="shared" si="405"/>
        <v>KHF-00-104265-AA-6944-01331-0000-3</v>
      </c>
      <c r="C306" s="31" t="s">
        <v>430</v>
      </c>
      <c r="D306" s="32" t="s">
        <v>431</v>
      </c>
      <c r="E306" s="20">
        <v>3</v>
      </c>
      <c r="F306" s="20"/>
      <c r="G306" s="20"/>
      <c r="H306" s="20" t="str">
        <f t="shared" si="406"/>
        <v/>
      </c>
      <c r="I306" s="3" t="str">
        <f t="shared" si="409"/>
        <v/>
      </c>
      <c r="J306" s="15" t="str">
        <f>IFERROR(VLOOKUP(B306,'[1]Incoming from JEL'!$A$6:$G$5002,3,0),"")</f>
        <v/>
      </c>
      <c r="K306" s="15" t="str">
        <f>IFERROR(VLOOKUP(B306,'[1]Incoming from JEL'!$A$6:$G$5002,2,0),"")</f>
        <v/>
      </c>
      <c r="L306" s="15" t="str">
        <f>IFERROR(VLOOKUP(B306,'[1]Incoming from JEL'!$A$6:$G$5002,7,0),"")</f>
        <v/>
      </c>
      <c r="M306" s="15" t="str">
        <f>IFERROR(VLOOKUP(B306,'[2]Outgoing Transmittals to PDO'!$A$6:$G$20000,3,0),"")</f>
        <v/>
      </c>
      <c r="N306" s="15" t="str">
        <f>IFERROR(VLOOKUP(B306,'[2]Outgoing Transmittals to PDO'!$A$6:$G$20000,2,0),"")</f>
        <v/>
      </c>
      <c r="O306" s="15" t="str">
        <f>IFERROR(VLOOKUP(B306,'[2]Outgoing Transmittals to PDO'!$A$6:$G$20000,7,0),"")</f>
        <v/>
      </c>
      <c r="P306" s="15" t="str">
        <f t="shared" si="407"/>
        <v/>
      </c>
      <c r="Q306" s="15" t="str">
        <f>IFERROR(VLOOKUP(B306,'[3]Incoming Transmittals from PDO'!$A$6:$G$20000,3,0),"")</f>
        <v/>
      </c>
      <c r="R306" s="15" t="str">
        <f>IFERROR(VLOOKUP(B306,'[3]Incoming Transmittals from PDO'!$A$6:$G$20000,2,0),"")</f>
        <v/>
      </c>
      <c r="S306" s="15" t="str">
        <f>IFERROR(VLOOKUP(B306,'[3]Incoming Transmittals from PDO'!$A$6:$G$20000,7,0),"")</f>
        <v/>
      </c>
      <c r="T306" s="15" t="str">
        <f>IFERROR(VLOOKUP(B306,'[1]Outgoing to JEL'!$A$6:$G$5000,3,0),"")</f>
        <v/>
      </c>
      <c r="U306" s="15" t="str">
        <f>IFERROR(VLOOKUP(B306,'[1]Outgoing to JEL'!$A$6:$G$5000,2,0),"")</f>
        <v/>
      </c>
      <c r="V306" s="15" t="str">
        <f>IFERROR(VLOOKUP(B306,'[1]Outgoing to JEL'!$A$6:$G$5000,7,0),"")</f>
        <v/>
      </c>
      <c r="W306" s="3" t="str">
        <f t="shared" si="408"/>
        <v/>
      </c>
    </row>
    <row r="307" spans="1:23" s="16" customFormat="1" x14ac:dyDescent="0.2">
      <c r="A307" s="97">
        <f>A304+1</f>
        <v>12</v>
      </c>
      <c r="B307" s="68" t="str">
        <f t="shared" ref="B307:B309" si="410">CONCATENATE(C307,"-",E307)</f>
        <v>KHF-00-104265-AA-6944-01332-0000-1</v>
      </c>
      <c r="C307" s="31" t="s">
        <v>432</v>
      </c>
      <c r="D307" s="32" t="s">
        <v>433</v>
      </c>
      <c r="E307" s="20">
        <v>1</v>
      </c>
      <c r="F307" s="20"/>
      <c r="G307" s="20"/>
      <c r="H307" s="20" t="str">
        <f t="shared" ref="H307:H309" si="411">IF(AND(C307=C308,J308="",J307&lt;&gt;""),"L","")</f>
        <v>L</v>
      </c>
      <c r="I307" s="3">
        <f>J307</f>
        <v>43618</v>
      </c>
      <c r="J307" s="15">
        <f>IFERROR(VLOOKUP(B307,'[1]Incoming from JEL'!$A$6:$G$5002,3,0),"")</f>
        <v>43618</v>
      </c>
      <c r="K307" s="15" t="str">
        <f>IFERROR(VLOOKUP(B307,'[1]Incoming from JEL'!$A$6:$G$5002,2,0),"")</f>
        <v>AIP-YKP-JEL -T-0051</v>
      </c>
      <c r="L307" s="15" t="str">
        <f>IFERROR(VLOOKUP(B307,'[1]Incoming from JEL'!$A$6:$G$5002,7,0),"")</f>
        <v>IFI</v>
      </c>
      <c r="M307" s="15" t="str">
        <f>IFERROR(VLOOKUP(B307,'[2]Outgoing Transmittals to PDO'!$A$6:$G$20000,3,0),"")</f>
        <v/>
      </c>
      <c r="N307" s="15" t="str">
        <f>IFERROR(VLOOKUP(B307,'[2]Outgoing Transmittals to PDO'!$A$6:$G$20000,2,0),"")</f>
        <v/>
      </c>
      <c r="O307" s="15" t="str">
        <f>IFERROR(VLOOKUP(B307,'[2]Outgoing Transmittals to PDO'!$A$6:$G$20000,7,0),"")</f>
        <v/>
      </c>
      <c r="P307" s="15" t="str">
        <f t="shared" ref="P307:P309" si="412">IF(ISNUMBER(M307),SUM(M307+14),"")</f>
        <v/>
      </c>
      <c r="Q307" s="15" t="str">
        <f>IFERROR(VLOOKUP(B307,'[3]Incoming Transmittals from PDO'!$A$6:$G$20000,3,0),"")</f>
        <v/>
      </c>
      <c r="R307" s="15" t="str">
        <f>IFERROR(VLOOKUP(B307,'[3]Incoming Transmittals from PDO'!$A$6:$G$20000,2,0),"")</f>
        <v/>
      </c>
      <c r="S307" s="15" t="str">
        <f>IFERROR(VLOOKUP(B307,'[3]Incoming Transmittals from PDO'!$A$6:$G$20000,7,0),"")</f>
        <v/>
      </c>
      <c r="T307" s="15" t="str">
        <f>IFERROR(VLOOKUP(B307,'[1]Outgoing to JEL'!$A$6:$G$5000,3,0),"")</f>
        <v/>
      </c>
      <c r="U307" s="15" t="str">
        <f>IFERROR(VLOOKUP(B307,'[1]Outgoing to JEL'!$A$6:$G$5000,2,0),"")</f>
        <v/>
      </c>
      <c r="V307" s="15" t="str">
        <f>IFERROR(VLOOKUP(B307,'[1]Outgoing to JEL'!$A$6:$G$5000,7,0),"")</f>
        <v/>
      </c>
      <c r="W307" s="3" t="str">
        <f t="shared" ref="W307:W309" si="413">IF(S307="Code A","Approved by PDO",IF(S307="Code B","Comments from PDO",IF(S307="Code C","Review not Required",IF(S307="Code D","Rejected by PDO",IF(V307="Code A","Approved by AIP",IF(V307="Code B","Comments from AIP",IF(V307="Code C","Review not Required",IF(V307="Code D","Rejected by AIP",IF(AND(M307="-",Q307="-"),"Pending for AIP review",IF(O307="IFI","Issued for Information",IF(M307&lt;&gt;"","Pending for PDO Approval",IF(L307="IFI","Issued for AIP Information",IF(J307&lt;&gt;"","Pending for PDO submission",IF(I307&lt;&gt;"","Pending from JEL",""))))))))))))))</f>
        <v>Issued for AIP Information</v>
      </c>
    </row>
    <row r="308" spans="1:23" s="16" customFormat="1" x14ac:dyDescent="0.2">
      <c r="A308" s="98"/>
      <c r="B308" s="68" t="str">
        <f t="shared" si="410"/>
        <v>KHF-00-104265-AA-6944-01332-0000-2</v>
      </c>
      <c r="C308" s="31" t="s">
        <v>432</v>
      </c>
      <c r="D308" s="32" t="s">
        <v>433</v>
      </c>
      <c r="E308" s="20">
        <v>2</v>
      </c>
      <c r="F308" s="20"/>
      <c r="G308" s="20"/>
      <c r="H308" s="20" t="str">
        <f t="shared" si="411"/>
        <v/>
      </c>
      <c r="I308" s="3" t="str">
        <f t="shared" ref="I308:I309" si="414">IFERROR(IF(OR(V307="Code B",V307="Code D",V307="-",ISNUMBER(J308)),T307+14,""),"")</f>
        <v/>
      </c>
      <c r="J308" s="15" t="str">
        <f>IFERROR(VLOOKUP(B308,'[1]Incoming from JEL'!$A$6:$G$5002,3,0),"")</f>
        <v/>
      </c>
      <c r="K308" s="15" t="str">
        <f>IFERROR(VLOOKUP(B308,'[1]Incoming from JEL'!$A$6:$G$5002,2,0),"")</f>
        <v/>
      </c>
      <c r="L308" s="15" t="str">
        <f>IFERROR(VLOOKUP(B308,'[1]Incoming from JEL'!$A$6:$G$5002,7,0),"")</f>
        <v/>
      </c>
      <c r="M308" s="15" t="str">
        <f>IFERROR(VLOOKUP(B308,'[2]Outgoing Transmittals to PDO'!$A$6:$G$20000,3,0),"")</f>
        <v/>
      </c>
      <c r="N308" s="15" t="str">
        <f>IFERROR(VLOOKUP(B308,'[2]Outgoing Transmittals to PDO'!$A$6:$G$20000,2,0),"")</f>
        <v/>
      </c>
      <c r="O308" s="15" t="str">
        <f>IFERROR(VLOOKUP(B308,'[2]Outgoing Transmittals to PDO'!$A$6:$G$20000,7,0),"")</f>
        <v/>
      </c>
      <c r="P308" s="15" t="str">
        <f t="shared" si="412"/>
        <v/>
      </c>
      <c r="Q308" s="15" t="str">
        <f>IFERROR(VLOOKUP(B308,'[3]Incoming Transmittals from PDO'!$A$6:$G$20000,3,0),"")</f>
        <v/>
      </c>
      <c r="R308" s="15" t="str">
        <f>IFERROR(VLOOKUP(B308,'[3]Incoming Transmittals from PDO'!$A$6:$G$20000,2,0),"")</f>
        <v/>
      </c>
      <c r="S308" s="15" t="str">
        <f>IFERROR(VLOOKUP(B308,'[3]Incoming Transmittals from PDO'!$A$6:$G$20000,7,0),"")</f>
        <v/>
      </c>
      <c r="T308" s="15" t="str">
        <f>IFERROR(VLOOKUP(B308,'[1]Outgoing to JEL'!$A$6:$G$5000,3,0),"")</f>
        <v/>
      </c>
      <c r="U308" s="15" t="str">
        <f>IFERROR(VLOOKUP(B308,'[1]Outgoing to JEL'!$A$6:$G$5000,2,0),"")</f>
        <v/>
      </c>
      <c r="V308" s="15" t="str">
        <f>IFERROR(VLOOKUP(B308,'[1]Outgoing to JEL'!$A$6:$G$5000,7,0),"")</f>
        <v/>
      </c>
      <c r="W308" s="3" t="str">
        <f t="shared" si="413"/>
        <v/>
      </c>
    </row>
    <row r="309" spans="1:23" s="16" customFormat="1" x14ac:dyDescent="0.2">
      <c r="A309" s="99"/>
      <c r="B309" s="68" t="str">
        <f t="shared" si="410"/>
        <v>KHF-00-104265-AA-6944-01332-0000-3</v>
      </c>
      <c r="C309" s="31" t="s">
        <v>432</v>
      </c>
      <c r="D309" s="32" t="s">
        <v>433</v>
      </c>
      <c r="E309" s="20">
        <v>3</v>
      </c>
      <c r="F309" s="20"/>
      <c r="G309" s="20"/>
      <c r="H309" s="20" t="str">
        <f t="shared" si="411"/>
        <v/>
      </c>
      <c r="I309" s="3" t="str">
        <f t="shared" si="414"/>
        <v/>
      </c>
      <c r="J309" s="15" t="str">
        <f>IFERROR(VLOOKUP(B309,'[1]Incoming from JEL'!$A$6:$G$5002,3,0),"")</f>
        <v/>
      </c>
      <c r="K309" s="15" t="str">
        <f>IFERROR(VLOOKUP(B309,'[1]Incoming from JEL'!$A$6:$G$5002,2,0),"")</f>
        <v/>
      </c>
      <c r="L309" s="15" t="str">
        <f>IFERROR(VLOOKUP(B309,'[1]Incoming from JEL'!$A$6:$G$5002,7,0),"")</f>
        <v/>
      </c>
      <c r="M309" s="15" t="str">
        <f>IFERROR(VLOOKUP(B309,'[2]Outgoing Transmittals to PDO'!$A$6:$G$20000,3,0),"")</f>
        <v/>
      </c>
      <c r="N309" s="15" t="str">
        <f>IFERROR(VLOOKUP(B309,'[2]Outgoing Transmittals to PDO'!$A$6:$G$20000,2,0),"")</f>
        <v/>
      </c>
      <c r="O309" s="15" t="str">
        <f>IFERROR(VLOOKUP(B309,'[2]Outgoing Transmittals to PDO'!$A$6:$G$20000,7,0),"")</f>
        <v/>
      </c>
      <c r="P309" s="15" t="str">
        <f t="shared" si="412"/>
        <v/>
      </c>
      <c r="Q309" s="15" t="str">
        <f>IFERROR(VLOOKUP(B309,'[3]Incoming Transmittals from PDO'!$A$6:$G$20000,3,0),"")</f>
        <v/>
      </c>
      <c r="R309" s="15" t="str">
        <f>IFERROR(VLOOKUP(B309,'[3]Incoming Transmittals from PDO'!$A$6:$G$20000,2,0),"")</f>
        <v/>
      </c>
      <c r="S309" s="15" t="str">
        <f>IFERROR(VLOOKUP(B309,'[3]Incoming Transmittals from PDO'!$A$6:$G$20000,7,0),"")</f>
        <v/>
      </c>
      <c r="T309" s="15" t="str">
        <f>IFERROR(VLOOKUP(B309,'[1]Outgoing to JEL'!$A$6:$G$5000,3,0),"")</f>
        <v/>
      </c>
      <c r="U309" s="15" t="str">
        <f>IFERROR(VLOOKUP(B309,'[1]Outgoing to JEL'!$A$6:$G$5000,2,0),"")</f>
        <v/>
      </c>
      <c r="V309" s="15" t="str">
        <f>IFERROR(VLOOKUP(B309,'[1]Outgoing to JEL'!$A$6:$G$5000,7,0),"")</f>
        <v/>
      </c>
      <c r="W309" s="3" t="str">
        <f t="shared" si="413"/>
        <v/>
      </c>
    </row>
    <row r="310" spans="1:23" s="16" customFormat="1" x14ac:dyDescent="0.2">
      <c r="A310" s="97">
        <f>A307+1</f>
        <v>13</v>
      </c>
      <c r="B310" s="69" t="str">
        <f t="shared" ref="B310:B315" si="415">CONCATENATE(C310,"-",E310)</f>
        <v>KHF-00-104265-AA-6944-01333-0000-1</v>
      </c>
      <c r="C310" s="31" t="s">
        <v>436</v>
      </c>
      <c r="D310" s="32" t="s">
        <v>437</v>
      </c>
      <c r="E310" s="20">
        <v>1</v>
      </c>
      <c r="F310" s="20"/>
      <c r="G310" s="20"/>
      <c r="H310" s="20" t="str">
        <f t="shared" ref="H310:H312" si="416">IF(AND(C310=C311,J311="",J310&lt;&gt;""),"L","")</f>
        <v>L</v>
      </c>
      <c r="I310" s="3">
        <f>J310</f>
        <v>43620</v>
      </c>
      <c r="J310" s="15">
        <f>IFERROR(VLOOKUP(B310,'[1]Incoming from JEL'!$A$6:$G$5002,3,0),"")</f>
        <v>43620</v>
      </c>
      <c r="K310" s="15" t="str">
        <f>IFERROR(VLOOKUP(B310,'[1]Incoming from JEL'!$A$6:$G$5002,2,0),"")</f>
        <v>AIP-YKP-JEL -T-0053</v>
      </c>
      <c r="L310" s="15" t="str">
        <f>IFERROR(VLOOKUP(B310,'[1]Incoming from JEL'!$A$6:$G$5002,7,0),"")</f>
        <v>IFI</v>
      </c>
      <c r="M310" s="15" t="str">
        <f>IFERROR(VLOOKUP(B310,'[2]Outgoing Transmittals to PDO'!$A$6:$G$20000,3,0),"")</f>
        <v/>
      </c>
      <c r="N310" s="15" t="str">
        <f>IFERROR(VLOOKUP(B310,'[2]Outgoing Transmittals to PDO'!$A$6:$G$20000,2,0),"")</f>
        <v/>
      </c>
      <c r="O310" s="15" t="str">
        <f>IFERROR(VLOOKUP(B310,'[2]Outgoing Transmittals to PDO'!$A$6:$G$20000,7,0),"")</f>
        <v/>
      </c>
      <c r="P310" s="15" t="str">
        <f t="shared" ref="P310:P315" si="417">IF(ISNUMBER(M310),SUM(M310+14),"")</f>
        <v/>
      </c>
      <c r="Q310" s="15" t="str">
        <f>IFERROR(VLOOKUP(B310,'[3]Incoming Transmittals from PDO'!$A$6:$G$20000,3,0),"")</f>
        <v/>
      </c>
      <c r="R310" s="15" t="str">
        <f>IFERROR(VLOOKUP(B310,'[3]Incoming Transmittals from PDO'!$A$6:$G$20000,2,0),"")</f>
        <v/>
      </c>
      <c r="S310" s="15" t="str">
        <f>IFERROR(VLOOKUP(B310,'[3]Incoming Transmittals from PDO'!$A$6:$G$20000,7,0),"")</f>
        <v/>
      </c>
      <c r="T310" s="15" t="str">
        <f>IFERROR(VLOOKUP(B310,'[1]Outgoing to JEL'!$A$6:$G$5000,3,0),"")</f>
        <v/>
      </c>
      <c r="U310" s="15" t="str">
        <f>IFERROR(VLOOKUP(B310,'[1]Outgoing to JEL'!$A$6:$G$5000,2,0),"")</f>
        <v/>
      </c>
      <c r="V310" s="15" t="str">
        <f>IFERROR(VLOOKUP(B310,'[1]Outgoing to JEL'!$A$6:$G$5000,7,0),"")</f>
        <v/>
      </c>
      <c r="W310" s="3" t="str">
        <f t="shared" ref="W310:W315" si="418">IF(S310="Code A","Approved by PDO",IF(S310="Code B","Comments from PDO",IF(S310="Code C","Review not Required",IF(S310="Code D","Rejected by PDO",IF(V310="Code A","Approved by AIP",IF(V310="Code B","Comments from AIP",IF(V310="Code C","Review not Required",IF(V310="Code D","Rejected by AIP",IF(AND(M310="-",Q310="-"),"Pending for AIP review",IF(O310="IFI","Issued for Information",IF(M310&lt;&gt;"","Pending for PDO Approval",IF(L310="IFI","Issued for AIP Information",IF(J310&lt;&gt;"","Pending for PDO submission",IF(I310&lt;&gt;"","Pending from JEL",""))))))))))))))</f>
        <v>Issued for AIP Information</v>
      </c>
    </row>
    <row r="311" spans="1:23" s="16" customFormat="1" x14ac:dyDescent="0.2">
      <c r="A311" s="98"/>
      <c r="B311" s="69" t="str">
        <f t="shared" si="415"/>
        <v>KHF-00-104265-AA-6944-01333-0000-2</v>
      </c>
      <c r="C311" s="31" t="s">
        <v>436</v>
      </c>
      <c r="D311" s="32" t="s">
        <v>437</v>
      </c>
      <c r="E311" s="20">
        <v>2</v>
      </c>
      <c r="F311" s="20"/>
      <c r="G311" s="20"/>
      <c r="H311" s="20" t="str">
        <f t="shared" si="416"/>
        <v/>
      </c>
      <c r="I311" s="3" t="str">
        <f t="shared" ref="I311:I312" si="419">IFERROR(IF(OR(V310="Code B",V310="Code D",V310="-",ISNUMBER(J311)),T310+14,""),"")</f>
        <v/>
      </c>
      <c r="J311" s="15" t="str">
        <f>IFERROR(VLOOKUP(B311,'[1]Incoming from JEL'!$A$6:$G$5002,3,0),"")</f>
        <v/>
      </c>
      <c r="K311" s="15" t="str">
        <f>IFERROR(VLOOKUP(B311,'[1]Incoming from JEL'!$A$6:$G$5002,2,0),"")</f>
        <v/>
      </c>
      <c r="L311" s="15" t="str">
        <f>IFERROR(VLOOKUP(B311,'[1]Incoming from JEL'!$A$6:$G$5002,7,0),"")</f>
        <v/>
      </c>
      <c r="M311" s="15" t="str">
        <f>IFERROR(VLOOKUP(B311,'[2]Outgoing Transmittals to PDO'!$A$6:$G$20000,3,0),"")</f>
        <v/>
      </c>
      <c r="N311" s="15" t="str">
        <f>IFERROR(VLOOKUP(B311,'[2]Outgoing Transmittals to PDO'!$A$6:$G$20000,2,0),"")</f>
        <v/>
      </c>
      <c r="O311" s="15" t="str">
        <f>IFERROR(VLOOKUP(B311,'[2]Outgoing Transmittals to PDO'!$A$6:$G$20000,7,0),"")</f>
        <v/>
      </c>
      <c r="P311" s="15" t="str">
        <f t="shared" si="417"/>
        <v/>
      </c>
      <c r="Q311" s="15" t="str">
        <f>IFERROR(VLOOKUP(B311,'[3]Incoming Transmittals from PDO'!$A$6:$G$20000,3,0),"")</f>
        <v/>
      </c>
      <c r="R311" s="15" t="str">
        <f>IFERROR(VLOOKUP(B311,'[3]Incoming Transmittals from PDO'!$A$6:$G$20000,2,0),"")</f>
        <v/>
      </c>
      <c r="S311" s="15" t="str">
        <f>IFERROR(VLOOKUP(B311,'[3]Incoming Transmittals from PDO'!$A$6:$G$20000,7,0),"")</f>
        <v/>
      </c>
      <c r="T311" s="15" t="str">
        <f>IFERROR(VLOOKUP(B311,'[1]Outgoing to JEL'!$A$6:$G$5000,3,0),"")</f>
        <v/>
      </c>
      <c r="U311" s="15" t="str">
        <f>IFERROR(VLOOKUP(B311,'[1]Outgoing to JEL'!$A$6:$G$5000,2,0),"")</f>
        <v/>
      </c>
      <c r="V311" s="15" t="str">
        <f>IFERROR(VLOOKUP(B311,'[1]Outgoing to JEL'!$A$6:$G$5000,7,0),"")</f>
        <v/>
      </c>
      <c r="W311" s="3" t="str">
        <f t="shared" si="418"/>
        <v/>
      </c>
    </row>
    <row r="312" spans="1:23" s="16" customFormat="1" x14ac:dyDescent="0.2">
      <c r="A312" s="99"/>
      <c r="B312" s="69" t="str">
        <f t="shared" si="415"/>
        <v>KHF-00-104265-AA-6944-01333-0000-3</v>
      </c>
      <c r="C312" s="31" t="s">
        <v>436</v>
      </c>
      <c r="D312" s="32" t="s">
        <v>437</v>
      </c>
      <c r="E312" s="20">
        <v>3</v>
      </c>
      <c r="F312" s="20"/>
      <c r="G312" s="20"/>
      <c r="H312" s="20" t="str">
        <f t="shared" si="416"/>
        <v/>
      </c>
      <c r="I312" s="3" t="str">
        <f t="shared" si="419"/>
        <v/>
      </c>
      <c r="J312" s="15" t="str">
        <f>IFERROR(VLOOKUP(B312,'[1]Incoming from JEL'!$A$6:$G$5002,3,0),"")</f>
        <v/>
      </c>
      <c r="K312" s="15" t="str">
        <f>IFERROR(VLOOKUP(B312,'[1]Incoming from JEL'!$A$6:$G$5002,2,0),"")</f>
        <v/>
      </c>
      <c r="L312" s="15" t="str">
        <f>IFERROR(VLOOKUP(B312,'[1]Incoming from JEL'!$A$6:$G$5002,7,0),"")</f>
        <v/>
      </c>
      <c r="M312" s="15" t="str">
        <f>IFERROR(VLOOKUP(B312,'[2]Outgoing Transmittals to PDO'!$A$6:$G$20000,3,0),"")</f>
        <v/>
      </c>
      <c r="N312" s="15" t="str">
        <f>IFERROR(VLOOKUP(B312,'[2]Outgoing Transmittals to PDO'!$A$6:$G$20000,2,0),"")</f>
        <v/>
      </c>
      <c r="O312" s="15" t="str">
        <f>IFERROR(VLOOKUP(B312,'[2]Outgoing Transmittals to PDO'!$A$6:$G$20000,7,0),"")</f>
        <v/>
      </c>
      <c r="P312" s="15" t="str">
        <f t="shared" si="417"/>
        <v/>
      </c>
      <c r="Q312" s="15" t="str">
        <f>IFERROR(VLOOKUP(B312,'[3]Incoming Transmittals from PDO'!$A$6:$G$20000,3,0),"")</f>
        <v/>
      </c>
      <c r="R312" s="15" t="str">
        <f>IFERROR(VLOOKUP(B312,'[3]Incoming Transmittals from PDO'!$A$6:$G$20000,2,0),"")</f>
        <v/>
      </c>
      <c r="S312" s="15" t="str">
        <f>IFERROR(VLOOKUP(B312,'[3]Incoming Transmittals from PDO'!$A$6:$G$20000,7,0),"")</f>
        <v/>
      </c>
      <c r="T312" s="15" t="str">
        <f>IFERROR(VLOOKUP(B312,'[1]Outgoing to JEL'!$A$6:$G$5000,3,0),"")</f>
        <v/>
      </c>
      <c r="U312" s="15" t="str">
        <f>IFERROR(VLOOKUP(B312,'[1]Outgoing to JEL'!$A$6:$G$5000,2,0),"")</f>
        <v/>
      </c>
      <c r="V312" s="15" t="str">
        <f>IFERROR(VLOOKUP(B312,'[1]Outgoing to JEL'!$A$6:$G$5000,7,0),"")</f>
        <v/>
      </c>
      <c r="W312" s="3" t="str">
        <f t="shared" si="418"/>
        <v/>
      </c>
    </row>
    <row r="313" spans="1:23" s="16" customFormat="1" x14ac:dyDescent="0.2">
      <c r="A313" s="97">
        <f>A310+1</f>
        <v>14</v>
      </c>
      <c r="B313" s="71" t="str">
        <f t="shared" si="415"/>
        <v>KHF-00-104265-AA-6944-01334-0000-1</v>
      </c>
      <c r="C313" s="31" t="s">
        <v>440</v>
      </c>
      <c r="D313" s="32" t="s">
        <v>442</v>
      </c>
      <c r="E313" s="20">
        <v>1</v>
      </c>
      <c r="F313" s="20"/>
      <c r="G313" s="20"/>
      <c r="H313" s="20" t="str">
        <f t="shared" ref="H313:H321" si="420">IF(AND(C313=C314,J314="",J313&lt;&gt;""),"L","")</f>
        <v>L</v>
      </c>
      <c r="I313" s="3">
        <f>J313</f>
        <v>43632</v>
      </c>
      <c r="J313" s="15">
        <f>IFERROR(VLOOKUP(B313,'[1]Incoming from JEL'!$A$6:$G$5002,3,0),"")</f>
        <v>43632</v>
      </c>
      <c r="K313" s="15" t="str">
        <f>IFERROR(VLOOKUP(B313,'[1]Incoming from JEL'!$A$6:$G$5002,2,0),"")</f>
        <v>AIP-YKP-JEL-T-0056</v>
      </c>
      <c r="L313" s="15" t="str">
        <f>IFERROR(VLOOKUP(B313,'[1]Incoming from JEL'!$A$6:$G$5002,7,0),"")</f>
        <v>IFI</v>
      </c>
      <c r="M313" s="15" t="str">
        <f>IFERROR(VLOOKUP(B313,'[2]Outgoing Transmittals to PDO'!$A$6:$G$20000,3,0),"")</f>
        <v/>
      </c>
      <c r="N313" s="15" t="str">
        <f>IFERROR(VLOOKUP(B313,'[2]Outgoing Transmittals to PDO'!$A$6:$G$20000,2,0),"")</f>
        <v/>
      </c>
      <c r="O313" s="15" t="str">
        <f>IFERROR(VLOOKUP(B313,'[2]Outgoing Transmittals to PDO'!$A$6:$G$20000,7,0),"")</f>
        <v/>
      </c>
      <c r="P313" s="15" t="str">
        <f t="shared" si="417"/>
        <v/>
      </c>
      <c r="Q313" s="15" t="str">
        <f>IFERROR(VLOOKUP(B313,'[3]Incoming Transmittals from PDO'!$A$6:$G$20000,3,0),"")</f>
        <v/>
      </c>
      <c r="R313" s="15" t="str">
        <f>IFERROR(VLOOKUP(B313,'[3]Incoming Transmittals from PDO'!$A$6:$G$20000,2,0),"")</f>
        <v/>
      </c>
      <c r="S313" s="15" t="str">
        <f>IFERROR(VLOOKUP(B313,'[3]Incoming Transmittals from PDO'!$A$6:$G$20000,7,0),"")</f>
        <v/>
      </c>
      <c r="T313" s="15" t="str">
        <f>IFERROR(VLOOKUP(B313,'[1]Outgoing to JEL'!$A$6:$G$5000,3,0),"")</f>
        <v/>
      </c>
      <c r="U313" s="15" t="str">
        <f>IFERROR(VLOOKUP(B313,'[1]Outgoing to JEL'!$A$6:$G$5000,2,0),"")</f>
        <v/>
      </c>
      <c r="V313" s="15" t="str">
        <f>IFERROR(VLOOKUP(B313,'[1]Outgoing to JEL'!$A$6:$G$5000,7,0),"")</f>
        <v/>
      </c>
      <c r="W313" s="3" t="str">
        <f t="shared" si="418"/>
        <v>Issued for AIP Information</v>
      </c>
    </row>
    <row r="314" spans="1:23" s="16" customFormat="1" x14ac:dyDescent="0.2">
      <c r="A314" s="98"/>
      <c r="B314" s="71" t="str">
        <f t="shared" si="415"/>
        <v>KHF-00-104265-AA-6944-01334-0000-2</v>
      </c>
      <c r="C314" s="31" t="s">
        <v>440</v>
      </c>
      <c r="D314" s="32" t="s">
        <v>442</v>
      </c>
      <c r="E314" s="20">
        <v>2</v>
      </c>
      <c r="F314" s="20"/>
      <c r="G314" s="20"/>
      <c r="H314" s="20" t="str">
        <f t="shared" si="420"/>
        <v/>
      </c>
      <c r="I314" s="3" t="str">
        <f t="shared" ref="I314:I315" si="421">IFERROR(IF(OR(V313="Code B",V313="Code D",V313="-",ISNUMBER(J314)),T313+14,""),"")</f>
        <v/>
      </c>
      <c r="J314" s="15" t="str">
        <f>IFERROR(VLOOKUP(B314,'[1]Incoming from JEL'!$A$6:$G$5002,3,0),"")</f>
        <v/>
      </c>
      <c r="K314" s="15" t="str">
        <f>IFERROR(VLOOKUP(B314,'[1]Incoming from JEL'!$A$6:$G$5002,2,0),"")</f>
        <v/>
      </c>
      <c r="L314" s="15" t="str">
        <f>IFERROR(VLOOKUP(B314,'[1]Incoming from JEL'!$A$6:$G$5002,7,0),"")</f>
        <v/>
      </c>
      <c r="M314" s="15" t="str">
        <f>IFERROR(VLOOKUP(B314,'[2]Outgoing Transmittals to PDO'!$A$6:$G$20000,3,0),"")</f>
        <v/>
      </c>
      <c r="N314" s="15" t="str">
        <f>IFERROR(VLOOKUP(B314,'[2]Outgoing Transmittals to PDO'!$A$6:$G$20000,2,0),"")</f>
        <v/>
      </c>
      <c r="O314" s="15" t="str">
        <f>IFERROR(VLOOKUP(B314,'[2]Outgoing Transmittals to PDO'!$A$6:$G$20000,7,0),"")</f>
        <v/>
      </c>
      <c r="P314" s="15" t="str">
        <f t="shared" si="417"/>
        <v/>
      </c>
      <c r="Q314" s="15" t="str">
        <f>IFERROR(VLOOKUP(B314,'[3]Incoming Transmittals from PDO'!$A$6:$G$20000,3,0),"")</f>
        <v/>
      </c>
      <c r="R314" s="15" t="str">
        <f>IFERROR(VLOOKUP(B314,'[3]Incoming Transmittals from PDO'!$A$6:$G$20000,2,0),"")</f>
        <v/>
      </c>
      <c r="S314" s="15" t="str">
        <f>IFERROR(VLOOKUP(B314,'[3]Incoming Transmittals from PDO'!$A$6:$G$20000,7,0),"")</f>
        <v/>
      </c>
      <c r="T314" s="15" t="str">
        <f>IFERROR(VLOOKUP(B314,'[1]Outgoing to JEL'!$A$6:$G$5000,3,0),"")</f>
        <v/>
      </c>
      <c r="U314" s="15" t="str">
        <f>IFERROR(VLOOKUP(B314,'[1]Outgoing to JEL'!$A$6:$G$5000,2,0),"")</f>
        <v/>
      </c>
      <c r="V314" s="15" t="str">
        <f>IFERROR(VLOOKUP(B314,'[1]Outgoing to JEL'!$A$6:$G$5000,7,0),"")</f>
        <v/>
      </c>
      <c r="W314" s="3" t="str">
        <f t="shared" si="418"/>
        <v/>
      </c>
    </row>
    <row r="315" spans="1:23" s="16" customFormat="1" x14ac:dyDescent="0.2">
      <c r="A315" s="99"/>
      <c r="B315" s="71" t="str">
        <f t="shared" si="415"/>
        <v>KHF-00-104265-AA-6944-01334-0000-3</v>
      </c>
      <c r="C315" s="31" t="s">
        <v>440</v>
      </c>
      <c r="D315" s="32" t="s">
        <v>442</v>
      </c>
      <c r="E315" s="20">
        <v>3</v>
      </c>
      <c r="F315" s="20"/>
      <c r="G315" s="20"/>
      <c r="H315" s="20" t="str">
        <f t="shared" si="420"/>
        <v/>
      </c>
      <c r="I315" s="3" t="str">
        <f t="shared" si="421"/>
        <v/>
      </c>
      <c r="J315" s="15" t="str">
        <f>IFERROR(VLOOKUP(B315,'[1]Incoming from JEL'!$A$6:$G$5002,3,0),"")</f>
        <v/>
      </c>
      <c r="K315" s="15" t="str">
        <f>IFERROR(VLOOKUP(B315,'[1]Incoming from JEL'!$A$6:$G$5002,2,0),"")</f>
        <v/>
      </c>
      <c r="L315" s="15" t="str">
        <f>IFERROR(VLOOKUP(B315,'[1]Incoming from JEL'!$A$6:$G$5002,7,0),"")</f>
        <v/>
      </c>
      <c r="M315" s="15" t="str">
        <f>IFERROR(VLOOKUP(B315,'[2]Outgoing Transmittals to PDO'!$A$6:$G$20000,3,0),"")</f>
        <v/>
      </c>
      <c r="N315" s="15" t="str">
        <f>IFERROR(VLOOKUP(B315,'[2]Outgoing Transmittals to PDO'!$A$6:$G$20000,2,0),"")</f>
        <v/>
      </c>
      <c r="O315" s="15" t="str">
        <f>IFERROR(VLOOKUP(B315,'[2]Outgoing Transmittals to PDO'!$A$6:$G$20000,7,0),"")</f>
        <v/>
      </c>
      <c r="P315" s="15" t="str">
        <f t="shared" si="417"/>
        <v/>
      </c>
      <c r="Q315" s="15" t="str">
        <f>IFERROR(VLOOKUP(B315,'[3]Incoming Transmittals from PDO'!$A$6:$G$20000,3,0),"")</f>
        <v/>
      </c>
      <c r="R315" s="15" t="str">
        <f>IFERROR(VLOOKUP(B315,'[3]Incoming Transmittals from PDO'!$A$6:$G$20000,2,0),"")</f>
        <v/>
      </c>
      <c r="S315" s="15" t="str">
        <f>IFERROR(VLOOKUP(B315,'[3]Incoming Transmittals from PDO'!$A$6:$G$20000,7,0),"")</f>
        <v/>
      </c>
      <c r="T315" s="15" t="str">
        <f>IFERROR(VLOOKUP(B315,'[1]Outgoing to JEL'!$A$6:$G$5000,3,0),"")</f>
        <v/>
      </c>
      <c r="U315" s="15" t="str">
        <f>IFERROR(VLOOKUP(B315,'[1]Outgoing to JEL'!$A$6:$G$5000,2,0),"")</f>
        <v/>
      </c>
      <c r="V315" s="15" t="str">
        <f>IFERROR(VLOOKUP(B315,'[1]Outgoing to JEL'!$A$6:$G$5000,7,0),"")</f>
        <v/>
      </c>
      <c r="W315" s="3" t="str">
        <f t="shared" si="418"/>
        <v/>
      </c>
    </row>
    <row r="316" spans="1:23" s="16" customFormat="1" x14ac:dyDescent="0.2">
      <c r="A316" s="97">
        <f>A313+1</f>
        <v>15</v>
      </c>
      <c r="B316" s="71" t="str">
        <f t="shared" ref="B316:B318" si="422">CONCATENATE(C316,"-",E316)</f>
        <v>KHF-00-104265-AA-6944-01335-0000-1</v>
      </c>
      <c r="C316" s="31" t="s">
        <v>441</v>
      </c>
      <c r="D316" s="32" t="s">
        <v>443</v>
      </c>
      <c r="E316" s="20">
        <v>1</v>
      </c>
      <c r="F316" s="20"/>
      <c r="G316" s="20"/>
      <c r="H316" s="20" t="str">
        <f t="shared" si="420"/>
        <v>L</v>
      </c>
      <c r="I316" s="3">
        <f>J316</f>
        <v>43639</v>
      </c>
      <c r="J316" s="15">
        <f>IFERROR(VLOOKUP(B316,'[1]Incoming from JEL'!$A$6:$G$5002,3,0),"")</f>
        <v>43639</v>
      </c>
      <c r="K316" s="15" t="str">
        <f>IFERROR(VLOOKUP(B316,'[1]Incoming from JEL'!$A$6:$G$5002,2,0),"")</f>
        <v>AIP-YKP-JEL-T-0058</v>
      </c>
      <c r="L316" s="15" t="str">
        <f>IFERROR(VLOOKUP(B316,'[1]Incoming from JEL'!$A$6:$G$5002,7,0),"")</f>
        <v>IFI</v>
      </c>
      <c r="M316" s="15" t="str">
        <f>IFERROR(VLOOKUP(B316,'[2]Outgoing Transmittals to PDO'!$A$6:$G$20000,3,0),"")</f>
        <v/>
      </c>
      <c r="N316" s="15" t="str">
        <f>IFERROR(VLOOKUP(B316,'[2]Outgoing Transmittals to PDO'!$A$6:$G$20000,2,0),"")</f>
        <v/>
      </c>
      <c r="O316" s="15" t="str">
        <f>IFERROR(VLOOKUP(B316,'[2]Outgoing Transmittals to PDO'!$A$6:$G$20000,7,0),"")</f>
        <v/>
      </c>
      <c r="P316" s="15" t="str">
        <f t="shared" ref="P316:P318" si="423">IF(ISNUMBER(M316),SUM(M316+14),"")</f>
        <v/>
      </c>
      <c r="Q316" s="15" t="str">
        <f>IFERROR(VLOOKUP(B316,'[3]Incoming Transmittals from PDO'!$A$6:$G$20000,3,0),"")</f>
        <v/>
      </c>
      <c r="R316" s="15" t="str">
        <f>IFERROR(VLOOKUP(B316,'[3]Incoming Transmittals from PDO'!$A$6:$G$20000,2,0),"")</f>
        <v/>
      </c>
      <c r="S316" s="15" t="str">
        <f>IFERROR(VLOOKUP(B316,'[3]Incoming Transmittals from PDO'!$A$6:$G$20000,7,0),"")</f>
        <v/>
      </c>
      <c r="T316" s="15" t="str">
        <f>IFERROR(VLOOKUP(B316,'[1]Outgoing to JEL'!$A$6:$G$5000,3,0),"")</f>
        <v/>
      </c>
      <c r="U316" s="15" t="str">
        <f>IFERROR(VLOOKUP(B316,'[1]Outgoing to JEL'!$A$6:$G$5000,2,0),"")</f>
        <v/>
      </c>
      <c r="V316" s="15" t="str">
        <f>IFERROR(VLOOKUP(B316,'[1]Outgoing to JEL'!$A$6:$G$5000,7,0),"")</f>
        <v/>
      </c>
      <c r="W316" s="3" t="str">
        <f t="shared" ref="W316:W318" si="424">IF(S316="Code A","Approved by PDO",IF(S316="Code B","Comments from PDO",IF(S316="Code C","Review not Required",IF(S316="Code D","Rejected by PDO",IF(V316="Code A","Approved by AIP",IF(V316="Code B","Comments from AIP",IF(V316="Code C","Review not Required",IF(V316="Code D","Rejected by AIP",IF(AND(M316="-",Q316="-"),"Pending for AIP review",IF(O316="IFI","Issued for Information",IF(M316&lt;&gt;"","Pending for PDO Approval",IF(L316="IFI","Issued for AIP Information",IF(J316&lt;&gt;"","Pending for PDO submission",IF(I316&lt;&gt;"","Pending from JEL",""))))))))))))))</f>
        <v>Issued for AIP Information</v>
      </c>
    </row>
    <row r="317" spans="1:23" s="16" customFormat="1" x14ac:dyDescent="0.2">
      <c r="A317" s="98"/>
      <c r="B317" s="71" t="str">
        <f t="shared" si="422"/>
        <v>KHF-00-104265-AA-6944-01335-0000-2</v>
      </c>
      <c r="C317" s="31" t="s">
        <v>441</v>
      </c>
      <c r="D317" s="32" t="s">
        <v>443</v>
      </c>
      <c r="E317" s="20">
        <v>2</v>
      </c>
      <c r="F317" s="20"/>
      <c r="G317" s="20"/>
      <c r="H317" s="20" t="str">
        <f t="shared" si="420"/>
        <v/>
      </c>
      <c r="I317" s="3" t="str">
        <f t="shared" ref="I317:I318" si="425">IFERROR(IF(OR(V316="Code B",V316="Code D",V316="-",ISNUMBER(J317)),T316+14,""),"")</f>
        <v/>
      </c>
      <c r="J317" s="15" t="str">
        <f>IFERROR(VLOOKUP(B317,'[1]Incoming from JEL'!$A$6:$G$5002,3,0),"")</f>
        <v/>
      </c>
      <c r="K317" s="15" t="str">
        <f>IFERROR(VLOOKUP(B317,'[1]Incoming from JEL'!$A$6:$G$5002,2,0),"")</f>
        <v/>
      </c>
      <c r="L317" s="15" t="str">
        <f>IFERROR(VLOOKUP(B317,'[1]Incoming from JEL'!$A$6:$G$5002,7,0),"")</f>
        <v/>
      </c>
      <c r="M317" s="15" t="str">
        <f>IFERROR(VLOOKUP(B317,'[2]Outgoing Transmittals to PDO'!$A$6:$G$20000,3,0),"")</f>
        <v/>
      </c>
      <c r="N317" s="15" t="str">
        <f>IFERROR(VLOOKUP(B317,'[2]Outgoing Transmittals to PDO'!$A$6:$G$20000,2,0),"")</f>
        <v/>
      </c>
      <c r="O317" s="15" t="str">
        <f>IFERROR(VLOOKUP(B317,'[2]Outgoing Transmittals to PDO'!$A$6:$G$20000,7,0),"")</f>
        <v/>
      </c>
      <c r="P317" s="15" t="str">
        <f t="shared" si="423"/>
        <v/>
      </c>
      <c r="Q317" s="15" t="str">
        <f>IFERROR(VLOOKUP(B317,'[3]Incoming Transmittals from PDO'!$A$6:$G$20000,3,0),"")</f>
        <v/>
      </c>
      <c r="R317" s="15" t="str">
        <f>IFERROR(VLOOKUP(B317,'[3]Incoming Transmittals from PDO'!$A$6:$G$20000,2,0),"")</f>
        <v/>
      </c>
      <c r="S317" s="15" t="str">
        <f>IFERROR(VLOOKUP(B317,'[3]Incoming Transmittals from PDO'!$A$6:$G$20000,7,0),"")</f>
        <v/>
      </c>
      <c r="T317" s="15" t="str">
        <f>IFERROR(VLOOKUP(B317,'[1]Outgoing to JEL'!$A$6:$G$5000,3,0),"")</f>
        <v/>
      </c>
      <c r="U317" s="15" t="str">
        <f>IFERROR(VLOOKUP(B317,'[1]Outgoing to JEL'!$A$6:$G$5000,2,0),"")</f>
        <v/>
      </c>
      <c r="V317" s="15" t="str">
        <f>IFERROR(VLOOKUP(B317,'[1]Outgoing to JEL'!$A$6:$G$5000,7,0),"")</f>
        <v/>
      </c>
      <c r="W317" s="3" t="str">
        <f t="shared" si="424"/>
        <v/>
      </c>
    </row>
    <row r="318" spans="1:23" s="16" customFormat="1" x14ac:dyDescent="0.2">
      <c r="A318" s="99"/>
      <c r="B318" s="71" t="str">
        <f t="shared" si="422"/>
        <v>KHF-00-104265-AA-6944-01335-0000-3</v>
      </c>
      <c r="C318" s="31" t="s">
        <v>441</v>
      </c>
      <c r="D318" s="32" t="s">
        <v>443</v>
      </c>
      <c r="E318" s="20">
        <v>3</v>
      </c>
      <c r="F318" s="20"/>
      <c r="G318" s="20"/>
      <c r="H318" s="20" t="str">
        <f t="shared" si="420"/>
        <v/>
      </c>
      <c r="I318" s="3" t="str">
        <f t="shared" si="425"/>
        <v/>
      </c>
      <c r="J318" s="15" t="str">
        <f>IFERROR(VLOOKUP(B318,'[1]Incoming from JEL'!$A$6:$G$5002,3,0),"")</f>
        <v/>
      </c>
      <c r="K318" s="15" t="str">
        <f>IFERROR(VLOOKUP(B318,'[1]Incoming from JEL'!$A$6:$G$5002,2,0),"")</f>
        <v/>
      </c>
      <c r="L318" s="15" t="str">
        <f>IFERROR(VLOOKUP(B318,'[1]Incoming from JEL'!$A$6:$G$5002,7,0),"")</f>
        <v/>
      </c>
      <c r="M318" s="15" t="str">
        <f>IFERROR(VLOOKUP(B318,'[2]Outgoing Transmittals to PDO'!$A$6:$G$20000,3,0),"")</f>
        <v/>
      </c>
      <c r="N318" s="15" t="str">
        <f>IFERROR(VLOOKUP(B318,'[2]Outgoing Transmittals to PDO'!$A$6:$G$20000,2,0),"")</f>
        <v/>
      </c>
      <c r="O318" s="15" t="str">
        <f>IFERROR(VLOOKUP(B318,'[2]Outgoing Transmittals to PDO'!$A$6:$G$20000,7,0),"")</f>
        <v/>
      </c>
      <c r="P318" s="15" t="str">
        <f t="shared" si="423"/>
        <v/>
      </c>
      <c r="Q318" s="15" t="str">
        <f>IFERROR(VLOOKUP(B318,'[3]Incoming Transmittals from PDO'!$A$6:$G$20000,3,0),"")</f>
        <v/>
      </c>
      <c r="R318" s="15" t="str">
        <f>IFERROR(VLOOKUP(B318,'[3]Incoming Transmittals from PDO'!$A$6:$G$20000,2,0),"")</f>
        <v/>
      </c>
      <c r="S318" s="15" t="str">
        <f>IFERROR(VLOOKUP(B318,'[3]Incoming Transmittals from PDO'!$A$6:$G$20000,7,0),"")</f>
        <v/>
      </c>
      <c r="T318" s="15" t="str">
        <f>IFERROR(VLOOKUP(B318,'[1]Outgoing to JEL'!$A$6:$G$5000,3,0),"")</f>
        <v/>
      </c>
      <c r="U318" s="15" t="str">
        <f>IFERROR(VLOOKUP(B318,'[1]Outgoing to JEL'!$A$6:$G$5000,2,0),"")</f>
        <v/>
      </c>
      <c r="V318" s="15" t="str">
        <f>IFERROR(VLOOKUP(B318,'[1]Outgoing to JEL'!$A$6:$G$5000,7,0),"")</f>
        <v/>
      </c>
      <c r="W318" s="3" t="str">
        <f t="shared" si="424"/>
        <v/>
      </c>
    </row>
    <row r="319" spans="1:23" s="16" customFormat="1" x14ac:dyDescent="0.2">
      <c r="A319" s="97">
        <f>A316+1</f>
        <v>16</v>
      </c>
      <c r="B319" s="74" t="str">
        <f t="shared" ref="B319:B321" si="426">CONCATENATE(C319,"-",E319)</f>
        <v>KHF-00-104265-AA-6944-01336-0000-1</v>
      </c>
      <c r="C319" s="31" t="s">
        <v>446</v>
      </c>
      <c r="D319" s="32" t="s">
        <v>447</v>
      </c>
      <c r="E319" s="20">
        <v>1</v>
      </c>
      <c r="F319" s="20"/>
      <c r="G319" s="20"/>
      <c r="H319" s="20" t="str">
        <f t="shared" si="420"/>
        <v>L</v>
      </c>
      <c r="I319" s="3">
        <f>J319</f>
        <v>43646</v>
      </c>
      <c r="J319" s="15">
        <f>IFERROR(VLOOKUP(B319,'[1]Incoming from JEL'!$A$6:$G$5002,3,0),"")</f>
        <v>43646</v>
      </c>
      <c r="K319" s="15" t="str">
        <f>IFERROR(VLOOKUP(B319,'[1]Incoming from JEL'!$A$6:$G$5002,2,0),"")</f>
        <v>AIP-YKP-JEL -T-0060</v>
      </c>
      <c r="L319" s="15" t="str">
        <f>IFERROR(VLOOKUP(B319,'[1]Incoming from JEL'!$A$6:$G$5002,7,0),"")</f>
        <v>IFI</v>
      </c>
      <c r="M319" s="15" t="str">
        <f>IFERROR(VLOOKUP(B319,'[2]Outgoing Transmittals to PDO'!$A$6:$G$20000,3,0),"")</f>
        <v/>
      </c>
      <c r="N319" s="15" t="str">
        <f>IFERROR(VLOOKUP(B319,'[2]Outgoing Transmittals to PDO'!$A$6:$G$20000,2,0),"")</f>
        <v/>
      </c>
      <c r="O319" s="15" t="str">
        <f>IFERROR(VLOOKUP(B319,'[2]Outgoing Transmittals to PDO'!$A$6:$G$20000,7,0),"")</f>
        <v/>
      </c>
      <c r="P319" s="15" t="str">
        <f t="shared" ref="P319:P321" si="427">IF(ISNUMBER(M319),SUM(M319+14),"")</f>
        <v/>
      </c>
      <c r="Q319" s="15" t="str">
        <f>IFERROR(VLOOKUP(B319,'[3]Incoming Transmittals from PDO'!$A$6:$G$20000,3,0),"")</f>
        <v/>
      </c>
      <c r="R319" s="15" t="str">
        <f>IFERROR(VLOOKUP(B319,'[3]Incoming Transmittals from PDO'!$A$6:$G$20000,2,0),"")</f>
        <v/>
      </c>
      <c r="S319" s="15" t="str">
        <f>IFERROR(VLOOKUP(B319,'[3]Incoming Transmittals from PDO'!$A$6:$G$20000,7,0),"")</f>
        <v/>
      </c>
      <c r="T319" s="15" t="str">
        <f>IFERROR(VLOOKUP(B319,'[1]Outgoing to JEL'!$A$6:$G$5000,3,0),"")</f>
        <v/>
      </c>
      <c r="U319" s="15" t="str">
        <f>IFERROR(VLOOKUP(B319,'[1]Outgoing to JEL'!$A$6:$G$5000,2,0),"")</f>
        <v/>
      </c>
      <c r="V319" s="15" t="str">
        <f>IFERROR(VLOOKUP(B319,'[1]Outgoing to JEL'!$A$6:$G$5000,7,0),"")</f>
        <v/>
      </c>
      <c r="W319" s="3" t="str">
        <f t="shared" ref="W319:W321" si="428">IF(S319="Code A","Approved by PDO",IF(S319="Code B","Comments from PDO",IF(S319="Code C","Review not Required",IF(S319="Code D","Rejected by PDO",IF(V319="Code A","Approved by AIP",IF(V319="Code B","Comments from AIP",IF(V319="Code C","Review not Required",IF(V319="Code D","Rejected by AIP",IF(AND(M319="-",Q319="-"),"Pending for AIP review",IF(O319="IFI","Issued for Information",IF(M319&lt;&gt;"","Pending for PDO Approval",IF(L319="IFI","Issued for AIP Information",IF(J319&lt;&gt;"","Pending for PDO submission",IF(I319&lt;&gt;"","Pending from JEL",""))))))))))))))</f>
        <v>Issued for AIP Information</v>
      </c>
    </row>
    <row r="320" spans="1:23" s="16" customFormat="1" x14ac:dyDescent="0.2">
      <c r="A320" s="98"/>
      <c r="B320" s="74" t="str">
        <f t="shared" si="426"/>
        <v>KHF-00-104265-AA-6944-01336-0000-2</v>
      </c>
      <c r="C320" s="31" t="s">
        <v>446</v>
      </c>
      <c r="D320" s="32" t="s">
        <v>447</v>
      </c>
      <c r="E320" s="20">
        <v>2</v>
      </c>
      <c r="F320" s="20"/>
      <c r="G320" s="20"/>
      <c r="H320" s="20" t="str">
        <f t="shared" si="420"/>
        <v/>
      </c>
      <c r="I320" s="3" t="str">
        <f t="shared" ref="I320:I321" si="429">IFERROR(IF(OR(V319="Code B",V319="Code D",V319="-",ISNUMBER(J320)),T319+14,""),"")</f>
        <v/>
      </c>
      <c r="J320" s="15" t="str">
        <f>IFERROR(VLOOKUP(B320,'[1]Incoming from JEL'!$A$6:$G$5002,3,0),"")</f>
        <v/>
      </c>
      <c r="K320" s="15" t="str">
        <f>IFERROR(VLOOKUP(B320,'[1]Incoming from JEL'!$A$6:$G$5002,2,0),"")</f>
        <v/>
      </c>
      <c r="L320" s="15" t="str">
        <f>IFERROR(VLOOKUP(B320,'[1]Incoming from JEL'!$A$6:$G$5002,7,0),"")</f>
        <v/>
      </c>
      <c r="M320" s="15" t="str">
        <f>IFERROR(VLOOKUP(B320,'[2]Outgoing Transmittals to PDO'!$A$6:$G$20000,3,0),"")</f>
        <v/>
      </c>
      <c r="N320" s="15" t="str">
        <f>IFERROR(VLOOKUP(B320,'[2]Outgoing Transmittals to PDO'!$A$6:$G$20000,2,0),"")</f>
        <v/>
      </c>
      <c r="O320" s="15" t="str">
        <f>IFERROR(VLOOKUP(B320,'[2]Outgoing Transmittals to PDO'!$A$6:$G$20000,7,0),"")</f>
        <v/>
      </c>
      <c r="P320" s="15" t="str">
        <f t="shared" si="427"/>
        <v/>
      </c>
      <c r="Q320" s="15" t="str">
        <f>IFERROR(VLOOKUP(B320,'[3]Incoming Transmittals from PDO'!$A$6:$G$20000,3,0),"")</f>
        <v/>
      </c>
      <c r="R320" s="15" t="str">
        <f>IFERROR(VLOOKUP(B320,'[3]Incoming Transmittals from PDO'!$A$6:$G$20000,2,0),"")</f>
        <v/>
      </c>
      <c r="S320" s="15" t="str">
        <f>IFERROR(VLOOKUP(B320,'[3]Incoming Transmittals from PDO'!$A$6:$G$20000,7,0),"")</f>
        <v/>
      </c>
      <c r="T320" s="15" t="str">
        <f>IFERROR(VLOOKUP(B320,'[1]Outgoing to JEL'!$A$6:$G$5000,3,0),"")</f>
        <v/>
      </c>
      <c r="U320" s="15" t="str">
        <f>IFERROR(VLOOKUP(B320,'[1]Outgoing to JEL'!$A$6:$G$5000,2,0),"")</f>
        <v/>
      </c>
      <c r="V320" s="15" t="str">
        <f>IFERROR(VLOOKUP(B320,'[1]Outgoing to JEL'!$A$6:$G$5000,7,0),"")</f>
        <v/>
      </c>
      <c r="W320" s="3" t="str">
        <f t="shared" si="428"/>
        <v/>
      </c>
    </row>
    <row r="321" spans="1:23" s="16" customFormat="1" x14ac:dyDescent="0.2">
      <c r="A321" s="99"/>
      <c r="B321" s="74" t="str">
        <f t="shared" si="426"/>
        <v>KHF-00-104265-AA-6944-01336-0000-3</v>
      </c>
      <c r="C321" s="31" t="s">
        <v>446</v>
      </c>
      <c r="D321" s="32" t="s">
        <v>447</v>
      </c>
      <c r="E321" s="20">
        <v>3</v>
      </c>
      <c r="F321" s="20"/>
      <c r="G321" s="20"/>
      <c r="H321" s="20" t="str">
        <f t="shared" si="420"/>
        <v/>
      </c>
      <c r="I321" s="3" t="str">
        <f t="shared" si="429"/>
        <v/>
      </c>
      <c r="J321" s="15" t="str">
        <f>IFERROR(VLOOKUP(B321,'[1]Incoming from JEL'!$A$6:$G$5002,3,0),"")</f>
        <v/>
      </c>
      <c r="K321" s="15" t="str">
        <f>IFERROR(VLOOKUP(B321,'[1]Incoming from JEL'!$A$6:$G$5002,2,0),"")</f>
        <v/>
      </c>
      <c r="L321" s="15" t="str">
        <f>IFERROR(VLOOKUP(B321,'[1]Incoming from JEL'!$A$6:$G$5002,7,0),"")</f>
        <v/>
      </c>
      <c r="M321" s="15" t="str">
        <f>IFERROR(VLOOKUP(B321,'[2]Outgoing Transmittals to PDO'!$A$6:$G$20000,3,0),"")</f>
        <v/>
      </c>
      <c r="N321" s="15" t="str">
        <f>IFERROR(VLOOKUP(B321,'[2]Outgoing Transmittals to PDO'!$A$6:$G$20000,2,0),"")</f>
        <v/>
      </c>
      <c r="O321" s="15" t="str">
        <f>IFERROR(VLOOKUP(B321,'[2]Outgoing Transmittals to PDO'!$A$6:$G$20000,7,0),"")</f>
        <v/>
      </c>
      <c r="P321" s="15" t="str">
        <f t="shared" si="427"/>
        <v/>
      </c>
      <c r="Q321" s="15" t="str">
        <f>IFERROR(VLOOKUP(B321,'[3]Incoming Transmittals from PDO'!$A$6:$G$20000,3,0),"")</f>
        <v/>
      </c>
      <c r="R321" s="15" t="str">
        <f>IFERROR(VLOOKUP(B321,'[3]Incoming Transmittals from PDO'!$A$6:$G$20000,2,0),"")</f>
        <v/>
      </c>
      <c r="S321" s="15" t="str">
        <f>IFERROR(VLOOKUP(B321,'[3]Incoming Transmittals from PDO'!$A$6:$G$20000,7,0),"")</f>
        <v/>
      </c>
      <c r="T321" s="15" t="str">
        <f>IFERROR(VLOOKUP(B321,'[1]Outgoing to JEL'!$A$6:$G$5000,3,0),"")</f>
        <v/>
      </c>
      <c r="U321" s="15" t="str">
        <f>IFERROR(VLOOKUP(B321,'[1]Outgoing to JEL'!$A$6:$G$5000,2,0),"")</f>
        <v/>
      </c>
      <c r="V321" s="15" t="str">
        <f>IFERROR(VLOOKUP(B321,'[1]Outgoing to JEL'!$A$6:$G$5000,7,0),"")</f>
        <v/>
      </c>
      <c r="W321" s="3" t="str">
        <f t="shared" si="428"/>
        <v/>
      </c>
    </row>
    <row r="322" spans="1:23" s="16" customFormat="1" x14ac:dyDescent="0.2">
      <c r="A322" s="97">
        <f>A319+1</f>
        <v>17</v>
      </c>
      <c r="B322" s="77" t="str">
        <f t="shared" ref="B322:B324" si="430">CONCATENATE(C322,"-",E322)</f>
        <v>KHF-00-104265-AA-6944-01337-0000-1</v>
      </c>
      <c r="C322" s="31" t="s">
        <v>452</v>
      </c>
      <c r="D322" s="32" t="s">
        <v>453</v>
      </c>
      <c r="E322" s="20">
        <v>1</v>
      </c>
      <c r="F322" s="20"/>
      <c r="G322" s="20"/>
      <c r="H322" s="20" t="str">
        <f t="shared" ref="H322:H324" si="431">IF(AND(C322=C323,J323="",J322&lt;&gt;""),"L","")</f>
        <v>L</v>
      </c>
      <c r="I322" s="3">
        <f>J322</f>
        <v>43653</v>
      </c>
      <c r="J322" s="15">
        <f>IFERROR(VLOOKUP(B322,'[1]Incoming from JEL'!$A$6:$G$5002,3,0),"")</f>
        <v>43653</v>
      </c>
      <c r="K322" s="15" t="str">
        <f>IFERROR(VLOOKUP(B322,'[1]Incoming from JEL'!$A$6:$G$5002,2,0),"")</f>
        <v>AIP-YKP-JEL -T-0062</v>
      </c>
      <c r="L322" s="15" t="str">
        <f>IFERROR(VLOOKUP(B322,'[1]Incoming from JEL'!$A$6:$G$5002,7,0),"")</f>
        <v>IFI</v>
      </c>
      <c r="M322" s="15" t="str">
        <f>IFERROR(VLOOKUP(B322,'[2]Outgoing Transmittals to PDO'!$A$6:$G$20000,3,0),"")</f>
        <v/>
      </c>
      <c r="N322" s="15" t="str">
        <f>IFERROR(VLOOKUP(B322,'[2]Outgoing Transmittals to PDO'!$A$6:$G$20000,2,0),"")</f>
        <v/>
      </c>
      <c r="O322" s="15" t="str">
        <f>IFERROR(VLOOKUP(B322,'[2]Outgoing Transmittals to PDO'!$A$6:$G$20000,7,0),"")</f>
        <v/>
      </c>
      <c r="P322" s="15" t="str">
        <f t="shared" ref="P322:P324" si="432">IF(ISNUMBER(M322),SUM(M322+14),"")</f>
        <v/>
      </c>
      <c r="Q322" s="15" t="str">
        <f>IFERROR(VLOOKUP(B322,'[3]Incoming Transmittals from PDO'!$A$6:$G$20000,3,0),"")</f>
        <v/>
      </c>
      <c r="R322" s="15" t="str">
        <f>IFERROR(VLOOKUP(B322,'[3]Incoming Transmittals from PDO'!$A$6:$G$20000,2,0),"")</f>
        <v/>
      </c>
      <c r="S322" s="15" t="str">
        <f>IFERROR(VLOOKUP(B322,'[3]Incoming Transmittals from PDO'!$A$6:$G$20000,7,0),"")</f>
        <v/>
      </c>
      <c r="T322" s="15" t="str">
        <f>IFERROR(VLOOKUP(B322,'[1]Outgoing to JEL'!$A$6:$G$5000,3,0),"")</f>
        <v/>
      </c>
      <c r="U322" s="15" t="str">
        <f>IFERROR(VLOOKUP(B322,'[1]Outgoing to JEL'!$A$6:$G$5000,2,0),"")</f>
        <v/>
      </c>
      <c r="V322" s="15" t="str">
        <f>IFERROR(VLOOKUP(B322,'[1]Outgoing to JEL'!$A$6:$G$5000,7,0),"")</f>
        <v/>
      </c>
      <c r="W322" s="3" t="str">
        <f t="shared" ref="W322:W324" si="433">IF(S322="Code A","Approved by PDO",IF(S322="Code B","Comments from PDO",IF(S322="Code C","Review not Required",IF(S322="Code D","Rejected by PDO",IF(V322="Code A","Approved by AIP",IF(V322="Code B","Comments from AIP",IF(V322="Code C","Review not Required",IF(V322="Code D","Rejected by AIP",IF(AND(M322="-",Q322="-"),"Pending for AIP review",IF(O322="IFI","Issued for Information",IF(M322&lt;&gt;"","Pending for PDO Approval",IF(L322="IFI","Issued for AIP Information",IF(J322&lt;&gt;"","Pending for PDO submission",IF(I322&lt;&gt;"","Pending from JEL",""))))))))))))))</f>
        <v>Issued for AIP Information</v>
      </c>
    </row>
    <row r="323" spans="1:23" s="16" customFormat="1" x14ac:dyDescent="0.2">
      <c r="A323" s="98"/>
      <c r="B323" s="77" t="str">
        <f t="shared" si="430"/>
        <v>KHF-00-104265-AA-6944-01337-0000-2</v>
      </c>
      <c r="C323" s="31" t="s">
        <v>452</v>
      </c>
      <c r="D323" s="32" t="s">
        <v>453</v>
      </c>
      <c r="E323" s="20">
        <v>2</v>
      </c>
      <c r="F323" s="20"/>
      <c r="G323" s="20"/>
      <c r="H323" s="20" t="str">
        <f t="shared" si="431"/>
        <v/>
      </c>
      <c r="I323" s="3" t="str">
        <f t="shared" ref="I323:I324" si="434">IFERROR(IF(OR(V322="Code B",V322="Code D",V322="-",ISNUMBER(J323)),T322+14,""),"")</f>
        <v/>
      </c>
      <c r="J323" s="15" t="str">
        <f>IFERROR(VLOOKUP(B323,'[1]Incoming from JEL'!$A$6:$G$5002,3,0),"")</f>
        <v/>
      </c>
      <c r="K323" s="15" t="str">
        <f>IFERROR(VLOOKUP(B323,'[1]Incoming from JEL'!$A$6:$G$5002,2,0),"")</f>
        <v/>
      </c>
      <c r="L323" s="15" t="str">
        <f>IFERROR(VLOOKUP(B323,'[1]Incoming from JEL'!$A$6:$G$5002,7,0),"")</f>
        <v/>
      </c>
      <c r="M323" s="15" t="str">
        <f>IFERROR(VLOOKUP(B323,'[2]Outgoing Transmittals to PDO'!$A$6:$G$20000,3,0),"")</f>
        <v/>
      </c>
      <c r="N323" s="15" t="str">
        <f>IFERROR(VLOOKUP(B323,'[2]Outgoing Transmittals to PDO'!$A$6:$G$20000,2,0),"")</f>
        <v/>
      </c>
      <c r="O323" s="15" t="str">
        <f>IFERROR(VLOOKUP(B323,'[2]Outgoing Transmittals to PDO'!$A$6:$G$20000,7,0),"")</f>
        <v/>
      </c>
      <c r="P323" s="15" t="str">
        <f t="shared" si="432"/>
        <v/>
      </c>
      <c r="Q323" s="15" t="str">
        <f>IFERROR(VLOOKUP(B323,'[3]Incoming Transmittals from PDO'!$A$6:$G$20000,3,0),"")</f>
        <v/>
      </c>
      <c r="R323" s="15" t="str">
        <f>IFERROR(VLOOKUP(B323,'[3]Incoming Transmittals from PDO'!$A$6:$G$20000,2,0),"")</f>
        <v/>
      </c>
      <c r="S323" s="15" t="str">
        <f>IFERROR(VLOOKUP(B323,'[3]Incoming Transmittals from PDO'!$A$6:$G$20000,7,0),"")</f>
        <v/>
      </c>
      <c r="T323" s="15" t="str">
        <f>IFERROR(VLOOKUP(B323,'[1]Outgoing to JEL'!$A$6:$G$5000,3,0),"")</f>
        <v/>
      </c>
      <c r="U323" s="15" t="str">
        <f>IFERROR(VLOOKUP(B323,'[1]Outgoing to JEL'!$A$6:$G$5000,2,0),"")</f>
        <v/>
      </c>
      <c r="V323" s="15" t="str">
        <f>IFERROR(VLOOKUP(B323,'[1]Outgoing to JEL'!$A$6:$G$5000,7,0),"")</f>
        <v/>
      </c>
      <c r="W323" s="3" t="str">
        <f t="shared" si="433"/>
        <v/>
      </c>
    </row>
    <row r="324" spans="1:23" s="16" customFormat="1" x14ac:dyDescent="0.2">
      <c r="A324" s="99"/>
      <c r="B324" s="77" t="str">
        <f t="shared" si="430"/>
        <v>KHF-00-104265-AA-6944-01337-0000-3</v>
      </c>
      <c r="C324" s="31" t="s">
        <v>452</v>
      </c>
      <c r="D324" s="32" t="s">
        <v>453</v>
      </c>
      <c r="E324" s="20">
        <v>3</v>
      </c>
      <c r="F324" s="20"/>
      <c r="G324" s="20"/>
      <c r="H324" s="20" t="str">
        <f t="shared" si="431"/>
        <v/>
      </c>
      <c r="I324" s="3" t="str">
        <f t="shared" si="434"/>
        <v/>
      </c>
      <c r="J324" s="15" t="str">
        <f>IFERROR(VLOOKUP(B324,'[1]Incoming from JEL'!$A$6:$G$5002,3,0),"")</f>
        <v/>
      </c>
      <c r="K324" s="15" t="str">
        <f>IFERROR(VLOOKUP(B324,'[1]Incoming from JEL'!$A$6:$G$5002,2,0),"")</f>
        <v/>
      </c>
      <c r="L324" s="15" t="str">
        <f>IFERROR(VLOOKUP(B324,'[1]Incoming from JEL'!$A$6:$G$5002,7,0),"")</f>
        <v/>
      </c>
      <c r="M324" s="15" t="str">
        <f>IFERROR(VLOOKUP(B324,'[2]Outgoing Transmittals to PDO'!$A$6:$G$20000,3,0),"")</f>
        <v/>
      </c>
      <c r="N324" s="15" t="str">
        <f>IFERROR(VLOOKUP(B324,'[2]Outgoing Transmittals to PDO'!$A$6:$G$20000,2,0),"")</f>
        <v/>
      </c>
      <c r="O324" s="15" t="str">
        <f>IFERROR(VLOOKUP(B324,'[2]Outgoing Transmittals to PDO'!$A$6:$G$20000,7,0),"")</f>
        <v/>
      </c>
      <c r="P324" s="15" t="str">
        <f t="shared" si="432"/>
        <v/>
      </c>
      <c r="Q324" s="15" t="str">
        <f>IFERROR(VLOOKUP(B324,'[3]Incoming Transmittals from PDO'!$A$6:$G$20000,3,0),"")</f>
        <v/>
      </c>
      <c r="R324" s="15" t="str">
        <f>IFERROR(VLOOKUP(B324,'[3]Incoming Transmittals from PDO'!$A$6:$G$20000,2,0),"")</f>
        <v/>
      </c>
      <c r="S324" s="15" t="str">
        <f>IFERROR(VLOOKUP(B324,'[3]Incoming Transmittals from PDO'!$A$6:$G$20000,7,0),"")</f>
        <v/>
      </c>
      <c r="T324" s="15" t="str">
        <f>IFERROR(VLOOKUP(B324,'[1]Outgoing to JEL'!$A$6:$G$5000,3,0),"")</f>
        <v/>
      </c>
      <c r="U324" s="15" t="str">
        <f>IFERROR(VLOOKUP(B324,'[1]Outgoing to JEL'!$A$6:$G$5000,2,0),"")</f>
        <v/>
      </c>
      <c r="V324" s="15" t="str">
        <f>IFERROR(VLOOKUP(B324,'[1]Outgoing to JEL'!$A$6:$G$5000,7,0),"")</f>
        <v/>
      </c>
      <c r="W324" s="3" t="str">
        <f t="shared" si="433"/>
        <v/>
      </c>
    </row>
    <row r="325" spans="1:23" s="16" customFormat="1" x14ac:dyDescent="0.2">
      <c r="A325" s="97">
        <f>A322+1</f>
        <v>18</v>
      </c>
      <c r="B325" s="78" t="str">
        <f t="shared" ref="B325:B330" si="435">CONCATENATE(C325,"-",E325)</f>
        <v>KHF-00-104265-AA-6944-01338-0000-1</v>
      </c>
      <c r="C325" s="31" t="s">
        <v>455</v>
      </c>
      <c r="D325" s="32" t="s">
        <v>454</v>
      </c>
      <c r="E325" s="20">
        <v>1</v>
      </c>
      <c r="F325" s="20"/>
      <c r="G325" s="20"/>
      <c r="H325" s="20" t="str">
        <f t="shared" ref="H325:H327" si="436">IF(AND(C325=C326,J326="",J325&lt;&gt;""),"L","")</f>
        <v>L</v>
      </c>
      <c r="I325" s="3">
        <f>J325</f>
        <v>43660</v>
      </c>
      <c r="J325" s="15">
        <f>IFERROR(VLOOKUP(B325,'[1]Incoming from JEL'!$A$6:$G$5002,3,0),"")</f>
        <v>43660</v>
      </c>
      <c r="K325" s="15" t="str">
        <f>IFERROR(VLOOKUP(B325,'[1]Incoming from JEL'!$A$6:$G$5002,2,0),"")</f>
        <v>AIP-YKP-JEL -T-0064</v>
      </c>
      <c r="L325" s="15" t="str">
        <f>IFERROR(VLOOKUP(B325,'[1]Incoming from JEL'!$A$6:$G$5002,7,0),"")</f>
        <v>IFI</v>
      </c>
      <c r="M325" s="15" t="str">
        <f>IFERROR(VLOOKUP(B325,'[2]Outgoing Transmittals to PDO'!$A$6:$G$20000,3,0),"")</f>
        <v/>
      </c>
      <c r="N325" s="15" t="str">
        <f>IFERROR(VLOOKUP(B325,'[2]Outgoing Transmittals to PDO'!$A$6:$G$20000,2,0),"")</f>
        <v/>
      </c>
      <c r="O325" s="15" t="str">
        <f>IFERROR(VLOOKUP(B325,'[2]Outgoing Transmittals to PDO'!$A$6:$G$20000,7,0),"")</f>
        <v/>
      </c>
      <c r="P325" s="15" t="str">
        <f t="shared" ref="P325:P330" si="437">IF(ISNUMBER(M325),SUM(M325+14),"")</f>
        <v/>
      </c>
      <c r="Q325" s="15" t="str">
        <f>IFERROR(VLOOKUP(B325,'[3]Incoming Transmittals from PDO'!$A$6:$G$20000,3,0),"")</f>
        <v/>
      </c>
      <c r="R325" s="15" t="str">
        <f>IFERROR(VLOOKUP(B325,'[3]Incoming Transmittals from PDO'!$A$6:$G$20000,2,0),"")</f>
        <v/>
      </c>
      <c r="S325" s="15" t="str">
        <f>IFERROR(VLOOKUP(B325,'[3]Incoming Transmittals from PDO'!$A$6:$G$20000,7,0),"")</f>
        <v/>
      </c>
      <c r="T325" s="15" t="str">
        <f>IFERROR(VLOOKUP(B325,'[1]Outgoing to JEL'!$A$6:$G$5000,3,0),"")</f>
        <v/>
      </c>
      <c r="U325" s="15" t="str">
        <f>IFERROR(VLOOKUP(B325,'[1]Outgoing to JEL'!$A$6:$G$5000,2,0),"")</f>
        <v/>
      </c>
      <c r="V325" s="15" t="str">
        <f>IFERROR(VLOOKUP(B325,'[1]Outgoing to JEL'!$A$6:$G$5000,7,0),"")</f>
        <v/>
      </c>
      <c r="W325" s="3" t="str">
        <f t="shared" ref="W325:W330" si="438">IF(S325="Code A","Approved by PDO",IF(S325="Code B","Comments from PDO",IF(S325="Code C","Review not Required",IF(S325="Code D","Rejected by PDO",IF(V325="Code A","Approved by AIP",IF(V325="Code B","Comments from AIP",IF(V325="Code C","Review not Required",IF(V325="Code D","Rejected by AIP",IF(AND(M325="-",Q325="-"),"Pending for AIP review",IF(O325="IFI","Issued for Information",IF(M325&lt;&gt;"","Pending for PDO Approval",IF(L325="IFI","Issued for AIP Information",IF(J325&lt;&gt;"","Pending for PDO submission",IF(I325&lt;&gt;"","Pending from JEL",""))))))))))))))</f>
        <v>Issued for AIP Information</v>
      </c>
    </row>
    <row r="326" spans="1:23" s="16" customFormat="1" x14ac:dyDescent="0.2">
      <c r="A326" s="98"/>
      <c r="B326" s="78" t="str">
        <f t="shared" si="435"/>
        <v>KHF-00-104265-AA-6944-01338-0000-2</v>
      </c>
      <c r="C326" s="31" t="s">
        <v>455</v>
      </c>
      <c r="D326" s="32" t="s">
        <v>454</v>
      </c>
      <c r="E326" s="20">
        <v>2</v>
      </c>
      <c r="F326" s="20"/>
      <c r="G326" s="20"/>
      <c r="H326" s="20" t="str">
        <f t="shared" si="436"/>
        <v/>
      </c>
      <c r="I326" s="3" t="str">
        <f t="shared" ref="I326:I327" si="439">IFERROR(IF(OR(V325="Code B",V325="Code D",V325="-",ISNUMBER(J326)),T325+14,""),"")</f>
        <v/>
      </c>
      <c r="J326" s="15" t="str">
        <f>IFERROR(VLOOKUP(B326,'[1]Incoming from JEL'!$A$6:$G$5002,3,0),"")</f>
        <v/>
      </c>
      <c r="K326" s="15" t="str">
        <f>IFERROR(VLOOKUP(B326,'[1]Incoming from JEL'!$A$6:$G$5002,2,0),"")</f>
        <v/>
      </c>
      <c r="L326" s="15" t="str">
        <f>IFERROR(VLOOKUP(B326,'[1]Incoming from JEL'!$A$6:$G$5002,7,0),"")</f>
        <v/>
      </c>
      <c r="M326" s="15" t="str">
        <f>IFERROR(VLOOKUP(B326,'[2]Outgoing Transmittals to PDO'!$A$6:$G$20000,3,0),"")</f>
        <v/>
      </c>
      <c r="N326" s="15" t="str">
        <f>IFERROR(VLOOKUP(B326,'[2]Outgoing Transmittals to PDO'!$A$6:$G$20000,2,0),"")</f>
        <v/>
      </c>
      <c r="O326" s="15" t="str">
        <f>IFERROR(VLOOKUP(B326,'[2]Outgoing Transmittals to PDO'!$A$6:$G$20000,7,0),"")</f>
        <v/>
      </c>
      <c r="P326" s="15" t="str">
        <f t="shared" si="437"/>
        <v/>
      </c>
      <c r="Q326" s="15" t="str">
        <f>IFERROR(VLOOKUP(B326,'[3]Incoming Transmittals from PDO'!$A$6:$G$20000,3,0),"")</f>
        <v/>
      </c>
      <c r="R326" s="15" t="str">
        <f>IFERROR(VLOOKUP(B326,'[3]Incoming Transmittals from PDO'!$A$6:$G$20000,2,0),"")</f>
        <v/>
      </c>
      <c r="S326" s="15" t="str">
        <f>IFERROR(VLOOKUP(B326,'[3]Incoming Transmittals from PDO'!$A$6:$G$20000,7,0),"")</f>
        <v/>
      </c>
      <c r="T326" s="15" t="str">
        <f>IFERROR(VLOOKUP(B326,'[1]Outgoing to JEL'!$A$6:$G$5000,3,0),"")</f>
        <v/>
      </c>
      <c r="U326" s="15" t="str">
        <f>IFERROR(VLOOKUP(B326,'[1]Outgoing to JEL'!$A$6:$G$5000,2,0),"")</f>
        <v/>
      </c>
      <c r="V326" s="15" t="str">
        <f>IFERROR(VLOOKUP(B326,'[1]Outgoing to JEL'!$A$6:$G$5000,7,0),"")</f>
        <v/>
      </c>
      <c r="W326" s="3" t="str">
        <f t="shared" si="438"/>
        <v/>
      </c>
    </row>
    <row r="327" spans="1:23" s="16" customFormat="1" x14ac:dyDescent="0.2">
      <c r="A327" s="99"/>
      <c r="B327" s="78" t="str">
        <f t="shared" si="435"/>
        <v>KHF-00-104265-AA-6944-01338-0000-3</v>
      </c>
      <c r="C327" s="31" t="s">
        <v>455</v>
      </c>
      <c r="D327" s="32" t="s">
        <v>454</v>
      </c>
      <c r="E327" s="20">
        <v>3</v>
      </c>
      <c r="F327" s="20"/>
      <c r="G327" s="20"/>
      <c r="H327" s="20" t="str">
        <f t="shared" si="436"/>
        <v/>
      </c>
      <c r="I327" s="3" t="str">
        <f t="shared" si="439"/>
        <v/>
      </c>
      <c r="J327" s="15" t="str">
        <f>IFERROR(VLOOKUP(B327,'[1]Incoming from JEL'!$A$6:$G$5002,3,0),"")</f>
        <v/>
      </c>
      <c r="K327" s="15" t="str">
        <f>IFERROR(VLOOKUP(B327,'[1]Incoming from JEL'!$A$6:$G$5002,2,0),"")</f>
        <v/>
      </c>
      <c r="L327" s="15" t="str">
        <f>IFERROR(VLOOKUP(B327,'[1]Incoming from JEL'!$A$6:$G$5002,7,0),"")</f>
        <v/>
      </c>
      <c r="M327" s="15" t="str">
        <f>IFERROR(VLOOKUP(B327,'[2]Outgoing Transmittals to PDO'!$A$6:$G$20000,3,0),"")</f>
        <v/>
      </c>
      <c r="N327" s="15" t="str">
        <f>IFERROR(VLOOKUP(B327,'[2]Outgoing Transmittals to PDO'!$A$6:$G$20000,2,0),"")</f>
        <v/>
      </c>
      <c r="O327" s="15" t="str">
        <f>IFERROR(VLOOKUP(B327,'[2]Outgoing Transmittals to PDO'!$A$6:$G$20000,7,0),"")</f>
        <v/>
      </c>
      <c r="P327" s="15" t="str">
        <f t="shared" si="437"/>
        <v/>
      </c>
      <c r="Q327" s="15" t="str">
        <f>IFERROR(VLOOKUP(B327,'[3]Incoming Transmittals from PDO'!$A$6:$G$20000,3,0),"")</f>
        <v/>
      </c>
      <c r="R327" s="15" t="str">
        <f>IFERROR(VLOOKUP(B327,'[3]Incoming Transmittals from PDO'!$A$6:$G$20000,2,0),"")</f>
        <v/>
      </c>
      <c r="S327" s="15" t="str">
        <f>IFERROR(VLOOKUP(B327,'[3]Incoming Transmittals from PDO'!$A$6:$G$20000,7,0),"")</f>
        <v/>
      </c>
      <c r="T327" s="15" t="str">
        <f>IFERROR(VLOOKUP(B327,'[1]Outgoing to JEL'!$A$6:$G$5000,3,0),"")</f>
        <v/>
      </c>
      <c r="U327" s="15" t="str">
        <f>IFERROR(VLOOKUP(B327,'[1]Outgoing to JEL'!$A$6:$G$5000,2,0),"")</f>
        <v/>
      </c>
      <c r="V327" s="15" t="str">
        <f>IFERROR(VLOOKUP(B327,'[1]Outgoing to JEL'!$A$6:$G$5000,7,0),"")</f>
        <v/>
      </c>
      <c r="W327" s="3" t="str">
        <f t="shared" si="438"/>
        <v/>
      </c>
    </row>
    <row r="328" spans="1:23" s="16" customFormat="1" x14ac:dyDescent="0.2">
      <c r="A328" s="97">
        <f>A325+1</f>
        <v>19</v>
      </c>
      <c r="B328" s="80" t="str">
        <f t="shared" si="435"/>
        <v>KHF-00-104265-AA-6944-01339-0000-1</v>
      </c>
      <c r="C328" s="31" t="s">
        <v>458</v>
      </c>
      <c r="D328" s="32" t="s">
        <v>460</v>
      </c>
      <c r="E328" s="20">
        <v>1</v>
      </c>
      <c r="F328" s="20"/>
      <c r="G328" s="20"/>
      <c r="H328" s="20" t="str">
        <f t="shared" ref="H328:H333" si="440">IF(AND(C328=C329,J329="",J328&lt;&gt;""),"L","")</f>
        <v>L</v>
      </c>
      <c r="I328" s="3">
        <f>J328</f>
        <v>43667</v>
      </c>
      <c r="J328" s="15">
        <f>IFERROR(VLOOKUP(B328,'[1]Incoming from JEL'!$A$6:$G$5002,3,0),"")</f>
        <v>43667</v>
      </c>
      <c r="K328" s="15" t="str">
        <f>IFERROR(VLOOKUP(B328,'[1]Incoming from JEL'!$A$6:$G$5002,2,0),"")</f>
        <v>AIP-YKP-JEL -T-0065</v>
      </c>
      <c r="L328" s="15" t="str">
        <f>IFERROR(VLOOKUP(B328,'[1]Incoming from JEL'!$A$6:$G$5002,7,0),"")</f>
        <v>IFI</v>
      </c>
      <c r="M328" s="15" t="str">
        <f>IFERROR(VLOOKUP(B328,'[2]Outgoing Transmittals to PDO'!$A$6:$G$20000,3,0),"")</f>
        <v/>
      </c>
      <c r="N328" s="15" t="str">
        <f>IFERROR(VLOOKUP(B328,'[2]Outgoing Transmittals to PDO'!$A$6:$G$20000,2,0),"")</f>
        <v/>
      </c>
      <c r="O328" s="15" t="str">
        <f>IFERROR(VLOOKUP(B328,'[2]Outgoing Transmittals to PDO'!$A$6:$G$20000,7,0),"")</f>
        <v/>
      </c>
      <c r="P328" s="15" t="str">
        <f t="shared" si="437"/>
        <v/>
      </c>
      <c r="Q328" s="15" t="str">
        <f>IFERROR(VLOOKUP(B328,'[3]Incoming Transmittals from PDO'!$A$6:$G$20000,3,0),"")</f>
        <v/>
      </c>
      <c r="R328" s="15" t="str">
        <f>IFERROR(VLOOKUP(B328,'[3]Incoming Transmittals from PDO'!$A$6:$G$20000,2,0),"")</f>
        <v/>
      </c>
      <c r="S328" s="15" t="str">
        <f>IFERROR(VLOOKUP(B328,'[3]Incoming Transmittals from PDO'!$A$6:$G$20000,7,0),"")</f>
        <v/>
      </c>
      <c r="T328" s="15" t="str">
        <f>IFERROR(VLOOKUP(B328,'[1]Outgoing to JEL'!$A$6:$G$5000,3,0),"")</f>
        <v/>
      </c>
      <c r="U328" s="15" t="str">
        <f>IFERROR(VLOOKUP(B328,'[1]Outgoing to JEL'!$A$6:$G$5000,2,0),"")</f>
        <v/>
      </c>
      <c r="V328" s="15" t="str">
        <f>IFERROR(VLOOKUP(B328,'[1]Outgoing to JEL'!$A$6:$G$5000,7,0),"")</f>
        <v/>
      </c>
      <c r="W328" s="3" t="str">
        <f t="shared" si="438"/>
        <v>Issued for AIP Information</v>
      </c>
    </row>
    <row r="329" spans="1:23" s="16" customFormat="1" x14ac:dyDescent="0.2">
      <c r="A329" s="98"/>
      <c r="B329" s="80" t="str">
        <f t="shared" si="435"/>
        <v>KHF-00-104265-AA-6944-01339-0000-2</v>
      </c>
      <c r="C329" s="31" t="s">
        <v>458</v>
      </c>
      <c r="D329" s="32" t="s">
        <v>460</v>
      </c>
      <c r="E329" s="20">
        <v>2</v>
      </c>
      <c r="F329" s="20"/>
      <c r="G329" s="20"/>
      <c r="H329" s="20" t="str">
        <f t="shared" si="440"/>
        <v/>
      </c>
      <c r="I329" s="3" t="str">
        <f t="shared" ref="I329:I330" si="441">IFERROR(IF(OR(V328="Code B",V328="Code D",V328="-",ISNUMBER(J329)),T328+14,""),"")</f>
        <v/>
      </c>
      <c r="J329" s="15" t="str">
        <f>IFERROR(VLOOKUP(B329,'[1]Incoming from JEL'!$A$6:$G$5002,3,0),"")</f>
        <v/>
      </c>
      <c r="K329" s="15" t="str">
        <f>IFERROR(VLOOKUP(B329,'[1]Incoming from JEL'!$A$6:$G$5002,2,0),"")</f>
        <v/>
      </c>
      <c r="L329" s="15" t="str">
        <f>IFERROR(VLOOKUP(B329,'[1]Incoming from JEL'!$A$6:$G$5002,7,0),"")</f>
        <v/>
      </c>
      <c r="M329" s="15" t="str">
        <f>IFERROR(VLOOKUP(B329,'[2]Outgoing Transmittals to PDO'!$A$6:$G$20000,3,0),"")</f>
        <v/>
      </c>
      <c r="N329" s="15" t="str">
        <f>IFERROR(VLOOKUP(B329,'[2]Outgoing Transmittals to PDO'!$A$6:$G$20000,2,0),"")</f>
        <v/>
      </c>
      <c r="O329" s="15" t="str">
        <f>IFERROR(VLOOKUP(B329,'[2]Outgoing Transmittals to PDO'!$A$6:$G$20000,7,0),"")</f>
        <v/>
      </c>
      <c r="P329" s="15" t="str">
        <f t="shared" si="437"/>
        <v/>
      </c>
      <c r="Q329" s="15" t="str">
        <f>IFERROR(VLOOKUP(B329,'[3]Incoming Transmittals from PDO'!$A$6:$G$20000,3,0),"")</f>
        <v/>
      </c>
      <c r="R329" s="15" t="str">
        <f>IFERROR(VLOOKUP(B329,'[3]Incoming Transmittals from PDO'!$A$6:$G$20000,2,0),"")</f>
        <v/>
      </c>
      <c r="S329" s="15" t="str">
        <f>IFERROR(VLOOKUP(B329,'[3]Incoming Transmittals from PDO'!$A$6:$G$20000,7,0),"")</f>
        <v/>
      </c>
      <c r="T329" s="15" t="str">
        <f>IFERROR(VLOOKUP(B329,'[1]Outgoing to JEL'!$A$6:$G$5000,3,0),"")</f>
        <v/>
      </c>
      <c r="U329" s="15" t="str">
        <f>IFERROR(VLOOKUP(B329,'[1]Outgoing to JEL'!$A$6:$G$5000,2,0),"")</f>
        <v/>
      </c>
      <c r="V329" s="15" t="str">
        <f>IFERROR(VLOOKUP(B329,'[1]Outgoing to JEL'!$A$6:$G$5000,7,0),"")</f>
        <v/>
      </c>
      <c r="W329" s="3" t="str">
        <f t="shared" si="438"/>
        <v/>
      </c>
    </row>
    <row r="330" spans="1:23" s="16" customFormat="1" x14ac:dyDescent="0.2">
      <c r="A330" s="99"/>
      <c r="B330" s="80" t="str">
        <f t="shared" si="435"/>
        <v>KHF-00-104265-AA-6944-01339-0000-3</v>
      </c>
      <c r="C330" s="31" t="s">
        <v>458</v>
      </c>
      <c r="D330" s="32" t="s">
        <v>460</v>
      </c>
      <c r="E330" s="20">
        <v>3</v>
      </c>
      <c r="F330" s="20"/>
      <c r="G330" s="20"/>
      <c r="H330" s="20" t="str">
        <f t="shared" si="440"/>
        <v/>
      </c>
      <c r="I330" s="3" t="str">
        <f t="shared" si="441"/>
        <v/>
      </c>
      <c r="J330" s="15" t="str">
        <f>IFERROR(VLOOKUP(B330,'[1]Incoming from JEL'!$A$6:$G$5002,3,0),"")</f>
        <v/>
      </c>
      <c r="K330" s="15" t="str">
        <f>IFERROR(VLOOKUP(B330,'[1]Incoming from JEL'!$A$6:$G$5002,2,0),"")</f>
        <v/>
      </c>
      <c r="L330" s="15" t="str">
        <f>IFERROR(VLOOKUP(B330,'[1]Incoming from JEL'!$A$6:$G$5002,7,0),"")</f>
        <v/>
      </c>
      <c r="M330" s="15" t="str">
        <f>IFERROR(VLOOKUP(B330,'[2]Outgoing Transmittals to PDO'!$A$6:$G$20000,3,0),"")</f>
        <v/>
      </c>
      <c r="N330" s="15" t="str">
        <f>IFERROR(VLOOKUP(B330,'[2]Outgoing Transmittals to PDO'!$A$6:$G$20000,2,0),"")</f>
        <v/>
      </c>
      <c r="O330" s="15" t="str">
        <f>IFERROR(VLOOKUP(B330,'[2]Outgoing Transmittals to PDO'!$A$6:$G$20000,7,0),"")</f>
        <v/>
      </c>
      <c r="P330" s="15" t="str">
        <f t="shared" si="437"/>
        <v/>
      </c>
      <c r="Q330" s="15" t="str">
        <f>IFERROR(VLOOKUP(B330,'[3]Incoming Transmittals from PDO'!$A$6:$G$20000,3,0),"")</f>
        <v/>
      </c>
      <c r="R330" s="15" t="str">
        <f>IFERROR(VLOOKUP(B330,'[3]Incoming Transmittals from PDO'!$A$6:$G$20000,2,0),"")</f>
        <v/>
      </c>
      <c r="S330" s="15" t="str">
        <f>IFERROR(VLOOKUP(B330,'[3]Incoming Transmittals from PDO'!$A$6:$G$20000,7,0),"")</f>
        <v/>
      </c>
      <c r="T330" s="15" t="str">
        <f>IFERROR(VLOOKUP(B330,'[1]Outgoing to JEL'!$A$6:$G$5000,3,0),"")</f>
        <v/>
      </c>
      <c r="U330" s="15" t="str">
        <f>IFERROR(VLOOKUP(B330,'[1]Outgoing to JEL'!$A$6:$G$5000,2,0),"")</f>
        <v/>
      </c>
      <c r="V330" s="15" t="str">
        <f>IFERROR(VLOOKUP(B330,'[1]Outgoing to JEL'!$A$6:$G$5000,7,0),"")</f>
        <v/>
      </c>
      <c r="W330" s="3" t="str">
        <f t="shared" si="438"/>
        <v/>
      </c>
    </row>
    <row r="331" spans="1:23" s="16" customFormat="1" x14ac:dyDescent="0.2">
      <c r="A331" s="97">
        <f>A328+1</f>
        <v>20</v>
      </c>
      <c r="B331" s="80" t="str">
        <f t="shared" ref="B331:B333" si="442">CONCATENATE(C331,"-",E331)</f>
        <v>KHF-00-104265-AA-6944-01340-0000-1</v>
      </c>
      <c r="C331" s="31" t="s">
        <v>459</v>
      </c>
      <c r="D331" s="32" t="s">
        <v>462</v>
      </c>
      <c r="E331" s="20">
        <v>1</v>
      </c>
      <c r="F331" s="20"/>
      <c r="G331" s="20"/>
      <c r="H331" s="20" t="str">
        <f t="shared" si="440"/>
        <v>L</v>
      </c>
      <c r="I331" s="3">
        <f>J331</f>
        <v>43674</v>
      </c>
      <c r="J331" s="15">
        <f>IFERROR(VLOOKUP(B331,'[1]Incoming from JEL'!$A$6:$G$5002,3,0),"")</f>
        <v>43674</v>
      </c>
      <c r="K331" s="15" t="str">
        <f>IFERROR(VLOOKUP(B331,'[1]Incoming from JEL'!$A$6:$G$5002,2,0),"")</f>
        <v>AIP-YKP-JEL -T-0066</v>
      </c>
      <c r="L331" s="15" t="str">
        <f>IFERROR(VLOOKUP(B331,'[1]Incoming from JEL'!$A$6:$G$5002,7,0),"")</f>
        <v>IFI</v>
      </c>
      <c r="M331" s="15" t="str">
        <f>IFERROR(VLOOKUP(B331,'[2]Outgoing Transmittals to PDO'!$A$6:$G$20000,3,0),"")</f>
        <v/>
      </c>
      <c r="N331" s="15" t="str">
        <f>IFERROR(VLOOKUP(B331,'[2]Outgoing Transmittals to PDO'!$A$6:$G$20000,2,0),"")</f>
        <v/>
      </c>
      <c r="O331" s="15" t="str">
        <f>IFERROR(VLOOKUP(B331,'[2]Outgoing Transmittals to PDO'!$A$6:$G$20000,7,0),"")</f>
        <v/>
      </c>
      <c r="P331" s="15" t="str">
        <f t="shared" ref="P331:P333" si="443">IF(ISNUMBER(M331),SUM(M331+14),"")</f>
        <v/>
      </c>
      <c r="Q331" s="15" t="str">
        <f>IFERROR(VLOOKUP(B331,'[3]Incoming Transmittals from PDO'!$A$6:$G$20000,3,0),"")</f>
        <v/>
      </c>
      <c r="R331" s="15" t="str">
        <f>IFERROR(VLOOKUP(B331,'[3]Incoming Transmittals from PDO'!$A$6:$G$20000,2,0),"")</f>
        <v/>
      </c>
      <c r="S331" s="15" t="str">
        <f>IFERROR(VLOOKUP(B331,'[3]Incoming Transmittals from PDO'!$A$6:$G$20000,7,0),"")</f>
        <v/>
      </c>
      <c r="T331" s="15" t="str">
        <f>IFERROR(VLOOKUP(B331,'[1]Outgoing to JEL'!$A$6:$G$5000,3,0),"")</f>
        <v/>
      </c>
      <c r="U331" s="15" t="str">
        <f>IFERROR(VLOOKUP(B331,'[1]Outgoing to JEL'!$A$6:$G$5000,2,0),"")</f>
        <v/>
      </c>
      <c r="V331" s="15" t="str">
        <f>IFERROR(VLOOKUP(B331,'[1]Outgoing to JEL'!$A$6:$G$5000,7,0),"")</f>
        <v/>
      </c>
      <c r="W331" s="3" t="str">
        <f t="shared" ref="W331:W333" si="444">IF(S331="Code A","Approved by PDO",IF(S331="Code B","Comments from PDO",IF(S331="Code C","Review not Required",IF(S331="Code D","Rejected by PDO",IF(V331="Code A","Approved by AIP",IF(V331="Code B","Comments from AIP",IF(V331="Code C","Review not Required",IF(V331="Code D","Rejected by AIP",IF(AND(M331="-",Q331="-"),"Pending for AIP review",IF(O331="IFI","Issued for Information",IF(M331&lt;&gt;"","Pending for PDO Approval",IF(L331="IFI","Issued for AIP Information",IF(J331&lt;&gt;"","Pending for PDO submission",IF(I331&lt;&gt;"","Pending from JEL",""))))))))))))))</f>
        <v>Issued for AIP Information</v>
      </c>
    </row>
    <row r="332" spans="1:23" s="16" customFormat="1" x14ac:dyDescent="0.2">
      <c r="A332" s="98"/>
      <c r="B332" s="80" t="str">
        <f t="shared" si="442"/>
        <v>KHF-00-104265-AA-6944-01340-0000-2</v>
      </c>
      <c r="C332" s="31" t="s">
        <v>459</v>
      </c>
      <c r="D332" s="32" t="s">
        <v>462</v>
      </c>
      <c r="E332" s="20">
        <v>2</v>
      </c>
      <c r="F332" s="20"/>
      <c r="G332" s="20"/>
      <c r="H332" s="20" t="str">
        <f t="shared" si="440"/>
        <v/>
      </c>
      <c r="I332" s="3" t="str">
        <f t="shared" ref="I332:I333" si="445">IFERROR(IF(OR(V331="Code B",V331="Code D",V331="-",ISNUMBER(J332)),T331+14,""),"")</f>
        <v/>
      </c>
      <c r="J332" s="15" t="str">
        <f>IFERROR(VLOOKUP(B332,'[1]Incoming from JEL'!$A$6:$G$5002,3,0),"")</f>
        <v/>
      </c>
      <c r="K332" s="15" t="str">
        <f>IFERROR(VLOOKUP(B332,'[1]Incoming from JEL'!$A$6:$G$5002,2,0),"")</f>
        <v/>
      </c>
      <c r="L332" s="15" t="str">
        <f>IFERROR(VLOOKUP(B332,'[1]Incoming from JEL'!$A$6:$G$5002,7,0),"")</f>
        <v/>
      </c>
      <c r="M332" s="15" t="str">
        <f>IFERROR(VLOOKUP(B332,'[2]Outgoing Transmittals to PDO'!$A$6:$G$20000,3,0),"")</f>
        <v/>
      </c>
      <c r="N332" s="15" t="str">
        <f>IFERROR(VLOOKUP(B332,'[2]Outgoing Transmittals to PDO'!$A$6:$G$20000,2,0),"")</f>
        <v/>
      </c>
      <c r="O332" s="15" t="str">
        <f>IFERROR(VLOOKUP(B332,'[2]Outgoing Transmittals to PDO'!$A$6:$G$20000,7,0),"")</f>
        <v/>
      </c>
      <c r="P332" s="15" t="str">
        <f t="shared" si="443"/>
        <v/>
      </c>
      <c r="Q332" s="15" t="str">
        <f>IFERROR(VLOOKUP(B332,'[3]Incoming Transmittals from PDO'!$A$6:$G$20000,3,0),"")</f>
        <v/>
      </c>
      <c r="R332" s="15" t="str">
        <f>IFERROR(VLOOKUP(B332,'[3]Incoming Transmittals from PDO'!$A$6:$G$20000,2,0),"")</f>
        <v/>
      </c>
      <c r="S332" s="15" t="str">
        <f>IFERROR(VLOOKUP(B332,'[3]Incoming Transmittals from PDO'!$A$6:$G$20000,7,0),"")</f>
        <v/>
      </c>
      <c r="T332" s="15" t="str">
        <f>IFERROR(VLOOKUP(B332,'[1]Outgoing to JEL'!$A$6:$G$5000,3,0),"")</f>
        <v/>
      </c>
      <c r="U332" s="15" t="str">
        <f>IFERROR(VLOOKUP(B332,'[1]Outgoing to JEL'!$A$6:$G$5000,2,0),"")</f>
        <v/>
      </c>
      <c r="V332" s="15" t="str">
        <f>IFERROR(VLOOKUP(B332,'[1]Outgoing to JEL'!$A$6:$G$5000,7,0),"")</f>
        <v/>
      </c>
      <c r="W332" s="3" t="str">
        <f t="shared" si="444"/>
        <v/>
      </c>
    </row>
    <row r="333" spans="1:23" s="16" customFormat="1" x14ac:dyDescent="0.2">
      <c r="A333" s="99"/>
      <c r="B333" s="80" t="str">
        <f t="shared" si="442"/>
        <v>KHF-00-104265-AA-6944-01340-0000-3</v>
      </c>
      <c r="C333" s="31" t="s">
        <v>459</v>
      </c>
      <c r="D333" s="32" t="s">
        <v>462</v>
      </c>
      <c r="E333" s="20">
        <v>3</v>
      </c>
      <c r="F333" s="20"/>
      <c r="G333" s="20"/>
      <c r="H333" s="20" t="str">
        <f t="shared" si="440"/>
        <v/>
      </c>
      <c r="I333" s="3" t="str">
        <f t="shared" si="445"/>
        <v/>
      </c>
      <c r="J333" s="15" t="str">
        <f>IFERROR(VLOOKUP(B333,'[1]Incoming from JEL'!$A$6:$G$5002,3,0),"")</f>
        <v/>
      </c>
      <c r="K333" s="15" t="str">
        <f>IFERROR(VLOOKUP(B333,'[1]Incoming from JEL'!$A$6:$G$5002,2,0),"")</f>
        <v/>
      </c>
      <c r="L333" s="15" t="str">
        <f>IFERROR(VLOOKUP(B333,'[1]Incoming from JEL'!$A$6:$G$5002,7,0),"")</f>
        <v/>
      </c>
      <c r="M333" s="15" t="str">
        <f>IFERROR(VLOOKUP(B333,'[2]Outgoing Transmittals to PDO'!$A$6:$G$20000,3,0),"")</f>
        <v/>
      </c>
      <c r="N333" s="15" t="str">
        <f>IFERROR(VLOOKUP(B333,'[2]Outgoing Transmittals to PDO'!$A$6:$G$20000,2,0),"")</f>
        <v/>
      </c>
      <c r="O333" s="15" t="str">
        <f>IFERROR(VLOOKUP(B333,'[2]Outgoing Transmittals to PDO'!$A$6:$G$20000,7,0),"")</f>
        <v/>
      </c>
      <c r="P333" s="15" t="str">
        <f t="shared" si="443"/>
        <v/>
      </c>
      <c r="Q333" s="15" t="str">
        <f>IFERROR(VLOOKUP(B333,'[3]Incoming Transmittals from PDO'!$A$6:$G$20000,3,0),"")</f>
        <v/>
      </c>
      <c r="R333" s="15" t="str">
        <f>IFERROR(VLOOKUP(B333,'[3]Incoming Transmittals from PDO'!$A$6:$G$20000,2,0),"")</f>
        <v/>
      </c>
      <c r="S333" s="15" t="str">
        <f>IFERROR(VLOOKUP(B333,'[3]Incoming Transmittals from PDO'!$A$6:$G$20000,7,0),"")</f>
        <v/>
      </c>
      <c r="T333" s="15" t="str">
        <f>IFERROR(VLOOKUP(B333,'[1]Outgoing to JEL'!$A$6:$G$5000,3,0),"")</f>
        <v/>
      </c>
      <c r="U333" s="15" t="str">
        <f>IFERROR(VLOOKUP(B333,'[1]Outgoing to JEL'!$A$6:$G$5000,2,0),"")</f>
        <v/>
      </c>
      <c r="V333" s="15" t="str">
        <f>IFERROR(VLOOKUP(B333,'[1]Outgoing to JEL'!$A$6:$G$5000,7,0),"")</f>
        <v/>
      </c>
      <c r="W333" s="3" t="str">
        <f t="shared" si="444"/>
        <v/>
      </c>
    </row>
    <row r="334" spans="1:23" s="16" customFormat="1" x14ac:dyDescent="0.2">
      <c r="A334" s="97">
        <f>A331+1</f>
        <v>21</v>
      </c>
      <c r="B334" s="83" t="str">
        <f t="shared" ref="B334:B339" si="446">CONCATENATE(C334,"-",E334)</f>
        <v>KHF-00-104265-AA-6944-01341-0000-1</v>
      </c>
      <c r="C334" s="31" t="s">
        <v>467</v>
      </c>
      <c r="D334" s="32" t="s">
        <v>468</v>
      </c>
      <c r="E334" s="20">
        <v>1</v>
      </c>
      <c r="F334" s="20"/>
      <c r="G334" s="20"/>
      <c r="H334" s="20" t="str">
        <f t="shared" ref="H334:H336" si="447">IF(AND(C334=C335,J335="",J334&lt;&gt;""),"L","")</f>
        <v>L</v>
      </c>
      <c r="I334" s="3">
        <f>J334</f>
        <v>43681</v>
      </c>
      <c r="J334" s="15">
        <f>IFERROR(VLOOKUP(B334,'[1]Incoming from JEL'!$A$6:$G$5002,3,0),"")</f>
        <v>43681</v>
      </c>
      <c r="K334" s="15" t="str">
        <f>IFERROR(VLOOKUP(B334,'[1]Incoming from JEL'!$A$6:$G$5002,2,0),"")</f>
        <v>AIP-YKP-JEL -T-0069</v>
      </c>
      <c r="L334" s="15" t="str">
        <f>IFERROR(VLOOKUP(B334,'[1]Incoming from JEL'!$A$6:$G$5002,7,0),"")</f>
        <v>IFI</v>
      </c>
      <c r="M334" s="15" t="str">
        <f>IFERROR(VLOOKUP(B334,'[2]Outgoing Transmittals to PDO'!$A$6:$G$20000,3,0),"")</f>
        <v/>
      </c>
      <c r="N334" s="15" t="str">
        <f>IFERROR(VLOOKUP(B334,'[2]Outgoing Transmittals to PDO'!$A$6:$G$20000,2,0),"")</f>
        <v/>
      </c>
      <c r="O334" s="15" t="str">
        <f>IFERROR(VLOOKUP(B334,'[2]Outgoing Transmittals to PDO'!$A$6:$G$20000,7,0),"")</f>
        <v/>
      </c>
      <c r="P334" s="15" t="str">
        <f t="shared" ref="P334:P339" si="448">IF(ISNUMBER(M334),SUM(M334+14),"")</f>
        <v/>
      </c>
      <c r="Q334" s="15" t="str">
        <f>IFERROR(VLOOKUP(B334,'[3]Incoming Transmittals from PDO'!$A$6:$G$20000,3,0),"")</f>
        <v/>
      </c>
      <c r="R334" s="15" t="str">
        <f>IFERROR(VLOOKUP(B334,'[3]Incoming Transmittals from PDO'!$A$6:$G$20000,2,0),"")</f>
        <v/>
      </c>
      <c r="S334" s="15" t="str">
        <f>IFERROR(VLOOKUP(B334,'[3]Incoming Transmittals from PDO'!$A$6:$G$20000,7,0),"")</f>
        <v/>
      </c>
      <c r="T334" s="15" t="str">
        <f>IFERROR(VLOOKUP(B334,'[1]Outgoing to JEL'!$A$6:$G$5000,3,0),"")</f>
        <v/>
      </c>
      <c r="U334" s="15" t="str">
        <f>IFERROR(VLOOKUP(B334,'[1]Outgoing to JEL'!$A$6:$G$5000,2,0),"")</f>
        <v/>
      </c>
      <c r="V334" s="15" t="str">
        <f>IFERROR(VLOOKUP(B334,'[1]Outgoing to JEL'!$A$6:$G$5000,7,0),"")</f>
        <v/>
      </c>
      <c r="W334" s="3" t="str">
        <f t="shared" ref="W334:W339" si="449">IF(S334="Code A","Approved by PDO",IF(S334="Code B","Comments from PDO",IF(S334="Code C","Review not Required",IF(S334="Code D","Rejected by PDO",IF(V334="Code A","Approved by AIP",IF(V334="Code B","Comments from AIP",IF(V334="Code C","Review not Required",IF(V334="Code D","Rejected by AIP",IF(AND(M334="-",Q334="-"),"Pending for AIP review",IF(O334="IFI","Issued for Information",IF(M334&lt;&gt;"","Pending for PDO Approval",IF(L334="IFI","Issued for AIP Information",IF(J334&lt;&gt;"","Pending for PDO submission",IF(I334&lt;&gt;"","Pending from JEL",""))))))))))))))</f>
        <v>Issued for AIP Information</v>
      </c>
    </row>
    <row r="335" spans="1:23" s="16" customFormat="1" x14ac:dyDescent="0.2">
      <c r="A335" s="98"/>
      <c r="B335" s="83" t="str">
        <f t="shared" si="446"/>
        <v>KHF-00-104265-AA-6944-01341-0000-2</v>
      </c>
      <c r="C335" s="31" t="s">
        <v>467</v>
      </c>
      <c r="D335" s="32" t="s">
        <v>468</v>
      </c>
      <c r="E335" s="20">
        <v>2</v>
      </c>
      <c r="F335" s="20"/>
      <c r="G335" s="20"/>
      <c r="H335" s="20" t="str">
        <f t="shared" si="447"/>
        <v/>
      </c>
      <c r="I335" s="3" t="str">
        <f t="shared" ref="I335:I336" si="450">IFERROR(IF(OR(V334="Code B",V334="Code D",V334="-",ISNUMBER(J335)),T334+14,""),"")</f>
        <v/>
      </c>
      <c r="J335" s="15" t="str">
        <f>IFERROR(VLOOKUP(B335,'[1]Incoming from JEL'!$A$6:$G$5002,3,0),"")</f>
        <v/>
      </c>
      <c r="K335" s="15" t="str">
        <f>IFERROR(VLOOKUP(B335,'[1]Incoming from JEL'!$A$6:$G$5002,2,0),"")</f>
        <v/>
      </c>
      <c r="L335" s="15" t="str">
        <f>IFERROR(VLOOKUP(B335,'[1]Incoming from JEL'!$A$6:$G$5002,7,0),"")</f>
        <v/>
      </c>
      <c r="M335" s="15" t="str">
        <f>IFERROR(VLOOKUP(B335,'[2]Outgoing Transmittals to PDO'!$A$6:$G$20000,3,0),"")</f>
        <v/>
      </c>
      <c r="N335" s="15" t="str">
        <f>IFERROR(VLOOKUP(B335,'[2]Outgoing Transmittals to PDO'!$A$6:$G$20000,2,0),"")</f>
        <v/>
      </c>
      <c r="O335" s="15" t="str">
        <f>IFERROR(VLOOKUP(B335,'[2]Outgoing Transmittals to PDO'!$A$6:$G$20000,7,0),"")</f>
        <v/>
      </c>
      <c r="P335" s="15" t="str">
        <f t="shared" si="448"/>
        <v/>
      </c>
      <c r="Q335" s="15" t="str">
        <f>IFERROR(VLOOKUP(B335,'[3]Incoming Transmittals from PDO'!$A$6:$G$20000,3,0),"")</f>
        <v/>
      </c>
      <c r="R335" s="15" t="str">
        <f>IFERROR(VLOOKUP(B335,'[3]Incoming Transmittals from PDO'!$A$6:$G$20000,2,0),"")</f>
        <v/>
      </c>
      <c r="S335" s="15" t="str">
        <f>IFERROR(VLOOKUP(B335,'[3]Incoming Transmittals from PDO'!$A$6:$G$20000,7,0),"")</f>
        <v/>
      </c>
      <c r="T335" s="15" t="str">
        <f>IFERROR(VLOOKUP(B335,'[1]Outgoing to JEL'!$A$6:$G$5000,3,0),"")</f>
        <v/>
      </c>
      <c r="U335" s="15" t="str">
        <f>IFERROR(VLOOKUP(B335,'[1]Outgoing to JEL'!$A$6:$G$5000,2,0),"")</f>
        <v/>
      </c>
      <c r="V335" s="15" t="str">
        <f>IFERROR(VLOOKUP(B335,'[1]Outgoing to JEL'!$A$6:$G$5000,7,0),"")</f>
        <v/>
      </c>
      <c r="W335" s="3" t="str">
        <f t="shared" si="449"/>
        <v/>
      </c>
    </row>
    <row r="336" spans="1:23" s="16" customFormat="1" x14ac:dyDescent="0.2">
      <c r="A336" s="99"/>
      <c r="B336" s="83" t="str">
        <f t="shared" si="446"/>
        <v>KHF-00-104265-AA-6944-01341-0000-3</v>
      </c>
      <c r="C336" s="31" t="s">
        <v>467</v>
      </c>
      <c r="D336" s="32" t="s">
        <v>468</v>
      </c>
      <c r="E336" s="20">
        <v>3</v>
      </c>
      <c r="F336" s="20"/>
      <c r="G336" s="20"/>
      <c r="H336" s="20" t="str">
        <f t="shared" si="447"/>
        <v/>
      </c>
      <c r="I336" s="3" t="str">
        <f t="shared" si="450"/>
        <v/>
      </c>
      <c r="J336" s="15" t="str">
        <f>IFERROR(VLOOKUP(B336,'[1]Incoming from JEL'!$A$6:$G$5002,3,0),"")</f>
        <v/>
      </c>
      <c r="K336" s="15" t="str">
        <f>IFERROR(VLOOKUP(B336,'[1]Incoming from JEL'!$A$6:$G$5002,2,0),"")</f>
        <v/>
      </c>
      <c r="L336" s="15" t="str">
        <f>IFERROR(VLOOKUP(B336,'[1]Incoming from JEL'!$A$6:$G$5002,7,0),"")</f>
        <v/>
      </c>
      <c r="M336" s="15" t="str">
        <f>IFERROR(VLOOKUP(B336,'[2]Outgoing Transmittals to PDO'!$A$6:$G$20000,3,0),"")</f>
        <v/>
      </c>
      <c r="N336" s="15" t="str">
        <f>IFERROR(VLOOKUP(B336,'[2]Outgoing Transmittals to PDO'!$A$6:$G$20000,2,0),"")</f>
        <v/>
      </c>
      <c r="O336" s="15" t="str">
        <f>IFERROR(VLOOKUP(B336,'[2]Outgoing Transmittals to PDO'!$A$6:$G$20000,7,0),"")</f>
        <v/>
      </c>
      <c r="P336" s="15" t="str">
        <f t="shared" si="448"/>
        <v/>
      </c>
      <c r="Q336" s="15" t="str">
        <f>IFERROR(VLOOKUP(B336,'[3]Incoming Transmittals from PDO'!$A$6:$G$20000,3,0),"")</f>
        <v/>
      </c>
      <c r="R336" s="15" t="str">
        <f>IFERROR(VLOOKUP(B336,'[3]Incoming Transmittals from PDO'!$A$6:$G$20000,2,0),"")</f>
        <v/>
      </c>
      <c r="S336" s="15" t="str">
        <f>IFERROR(VLOOKUP(B336,'[3]Incoming Transmittals from PDO'!$A$6:$G$20000,7,0),"")</f>
        <v/>
      </c>
      <c r="T336" s="15" t="str">
        <f>IFERROR(VLOOKUP(B336,'[1]Outgoing to JEL'!$A$6:$G$5000,3,0),"")</f>
        <v/>
      </c>
      <c r="U336" s="15" t="str">
        <f>IFERROR(VLOOKUP(B336,'[1]Outgoing to JEL'!$A$6:$G$5000,2,0),"")</f>
        <v/>
      </c>
      <c r="V336" s="15" t="str">
        <f>IFERROR(VLOOKUP(B336,'[1]Outgoing to JEL'!$A$6:$G$5000,7,0),"")</f>
        <v/>
      </c>
      <c r="W336" s="3" t="str">
        <f t="shared" si="449"/>
        <v/>
      </c>
    </row>
    <row r="337" spans="1:23" s="16" customFormat="1" x14ac:dyDescent="0.2">
      <c r="A337" s="97">
        <f>A334+1</f>
        <v>22</v>
      </c>
      <c r="B337" s="84" t="str">
        <f t="shared" si="446"/>
        <v>KHF-00-104265-AA-6944-01342-0000-1</v>
      </c>
      <c r="C337" s="31" t="s">
        <v>469</v>
      </c>
      <c r="D337" s="32" t="s">
        <v>471</v>
      </c>
      <c r="E337" s="20">
        <v>1</v>
      </c>
      <c r="F337" s="20"/>
      <c r="G337" s="20"/>
      <c r="H337" s="20" t="str">
        <f t="shared" ref="H337:H342" si="451">IF(AND(C337=C338,J338="",J337&lt;&gt;""),"L","")</f>
        <v>L</v>
      </c>
      <c r="I337" s="3">
        <f>J337</f>
        <v>43688</v>
      </c>
      <c r="J337" s="15">
        <f>IFERROR(VLOOKUP(B337,'[1]Incoming from JEL'!$A$6:$G$5002,3,0),"")</f>
        <v>43688</v>
      </c>
      <c r="K337" s="15" t="str">
        <f>IFERROR(VLOOKUP(B337,'[1]Incoming from JEL'!$A$6:$G$5002,2,0),"")</f>
        <v>AIP-YKP-JEL -T-0071</v>
      </c>
      <c r="L337" s="15" t="str">
        <f>IFERROR(VLOOKUP(B337,'[1]Incoming from JEL'!$A$6:$G$5002,7,0),"")</f>
        <v>IFI</v>
      </c>
      <c r="M337" s="15" t="str">
        <f>IFERROR(VLOOKUP(B337,'[2]Outgoing Transmittals to PDO'!$A$6:$G$20000,3,0),"")</f>
        <v/>
      </c>
      <c r="N337" s="15" t="str">
        <f>IFERROR(VLOOKUP(B337,'[2]Outgoing Transmittals to PDO'!$A$6:$G$20000,2,0),"")</f>
        <v/>
      </c>
      <c r="O337" s="15" t="str">
        <f>IFERROR(VLOOKUP(B337,'[2]Outgoing Transmittals to PDO'!$A$6:$G$20000,7,0),"")</f>
        <v/>
      </c>
      <c r="P337" s="15" t="str">
        <f t="shared" si="448"/>
        <v/>
      </c>
      <c r="Q337" s="15" t="str">
        <f>IFERROR(VLOOKUP(B337,'[3]Incoming Transmittals from PDO'!$A$6:$G$20000,3,0),"")</f>
        <v/>
      </c>
      <c r="R337" s="15" t="str">
        <f>IFERROR(VLOOKUP(B337,'[3]Incoming Transmittals from PDO'!$A$6:$G$20000,2,0),"")</f>
        <v/>
      </c>
      <c r="S337" s="15" t="str">
        <f>IFERROR(VLOOKUP(B337,'[3]Incoming Transmittals from PDO'!$A$6:$G$20000,7,0),"")</f>
        <v/>
      </c>
      <c r="T337" s="15" t="str">
        <f>IFERROR(VLOOKUP(B337,'[1]Outgoing to JEL'!$A$6:$G$5000,3,0),"")</f>
        <v/>
      </c>
      <c r="U337" s="15" t="str">
        <f>IFERROR(VLOOKUP(B337,'[1]Outgoing to JEL'!$A$6:$G$5000,2,0),"")</f>
        <v/>
      </c>
      <c r="V337" s="15" t="str">
        <f>IFERROR(VLOOKUP(B337,'[1]Outgoing to JEL'!$A$6:$G$5000,7,0),"")</f>
        <v/>
      </c>
      <c r="W337" s="3" t="str">
        <f t="shared" si="449"/>
        <v>Issued for AIP Information</v>
      </c>
    </row>
    <row r="338" spans="1:23" s="16" customFormat="1" x14ac:dyDescent="0.2">
      <c r="A338" s="98"/>
      <c r="B338" s="84" t="str">
        <f t="shared" si="446"/>
        <v>KHF-00-104265-AA-6944-01342-0000-2</v>
      </c>
      <c r="C338" s="31" t="s">
        <v>469</v>
      </c>
      <c r="D338" s="32" t="s">
        <v>471</v>
      </c>
      <c r="E338" s="20">
        <v>2</v>
      </c>
      <c r="F338" s="20"/>
      <c r="G338" s="20"/>
      <c r="H338" s="20" t="str">
        <f t="shared" si="451"/>
        <v/>
      </c>
      <c r="I338" s="3" t="str">
        <f t="shared" ref="I338:I339" si="452">IFERROR(IF(OR(V337="Code B",V337="Code D",V337="-",ISNUMBER(J338)),T337+14,""),"")</f>
        <v/>
      </c>
      <c r="J338" s="15" t="str">
        <f>IFERROR(VLOOKUP(B338,'[1]Incoming from JEL'!$A$6:$G$5002,3,0),"")</f>
        <v/>
      </c>
      <c r="K338" s="15" t="str">
        <f>IFERROR(VLOOKUP(B338,'[1]Incoming from JEL'!$A$6:$G$5002,2,0),"")</f>
        <v/>
      </c>
      <c r="L338" s="15" t="str">
        <f>IFERROR(VLOOKUP(B338,'[1]Incoming from JEL'!$A$6:$G$5002,7,0),"")</f>
        <v/>
      </c>
      <c r="M338" s="15" t="str">
        <f>IFERROR(VLOOKUP(B338,'[2]Outgoing Transmittals to PDO'!$A$6:$G$20000,3,0),"")</f>
        <v/>
      </c>
      <c r="N338" s="15" t="str">
        <f>IFERROR(VLOOKUP(B338,'[2]Outgoing Transmittals to PDO'!$A$6:$G$20000,2,0),"")</f>
        <v/>
      </c>
      <c r="O338" s="15" t="str">
        <f>IFERROR(VLOOKUP(B338,'[2]Outgoing Transmittals to PDO'!$A$6:$G$20000,7,0),"")</f>
        <v/>
      </c>
      <c r="P338" s="15" t="str">
        <f t="shared" si="448"/>
        <v/>
      </c>
      <c r="Q338" s="15" t="str">
        <f>IFERROR(VLOOKUP(B338,'[3]Incoming Transmittals from PDO'!$A$6:$G$20000,3,0),"")</f>
        <v/>
      </c>
      <c r="R338" s="15" t="str">
        <f>IFERROR(VLOOKUP(B338,'[3]Incoming Transmittals from PDO'!$A$6:$G$20000,2,0),"")</f>
        <v/>
      </c>
      <c r="S338" s="15" t="str">
        <f>IFERROR(VLOOKUP(B338,'[3]Incoming Transmittals from PDO'!$A$6:$G$20000,7,0),"")</f>
        <v/>
      </c>
      <c r="T338" s="15" t="str">
        <f>IFERROR(VLOOKUP(B338,'[1]Outgoing to JEL'!$A$6:$G$5000,3,0),"")</f>
        <v/>
      </c>
      <c r="U338" s="15" t="str">
        <f>IFERROR(VLOOKUP(B338,'[1]Outgoing to JEL'!$A$6:$G$5000,2,0),"")</f>
        <v/>
      </c>
      <c r="V338" s="15" t="str">
        <f>IFERROR(VLOOKUP(B338,'[1]Outgoing to JEL'!$A$6:$G$5000,7,0),"")</f>
        <v/>
      </c>
      <c r="W338" s="3" t="str">
        <f t="shared" si="449"/>
        <v/>
      </c>
    </row>
    <row r="339" spans="1:23" s="16" customFormat="1" x14ac:dyDescent="0.2">
      <c r="A339" s="99"/>
      <c r="B339" s="84" t="str">
        <f t="shared" si="446"/>
        <v>KHF-00-104265-AA-6944-01342-0000-3</v>
      </c>
      <c r="C339" s="31" t="s">
        <v>469</v>
      </c>
      <c r="D339" s="32" t="s">
        <v>471</v>
      </c>
      <c r="E339" s="20">
        <v>3</v>
      </c>
      <c r="F339" s="20"/>
      <c r="G339" s="20"/>
      <c r="H339" s="20" t="str">
        <f t="shared" si="451"/>
        <v/>
      </c>
      <c r="I339" s="3" t="str">
        <f t="shared" si="452"/>
        <v/>
      </c>
      <c r="J339" s="15" t="str">
        <f>IFERROR(VLOOKUP(B339,'[1]Incoming from JEL'!$A$6:$G$5002,3,0),"")</f>
        <v/>
      </c>
      <c r="K339" s="15" t="str">
        <f>IFERROR(VLOOKUP(B339,'[1]Incoming from JEL'!$A$6:$G$5002,2,0),"")</f>
        <v/>
      </c>
      <c r="L339" s="15" t="str">
        <f>IFERROR(VLOOKUP(B339,'[1]Incoming from JEL'!$A$6:$G$5002,7,0),"")</f>
        <v/>
      </c>
      <c r="M339" s="15" t="str">
        <f>IFERROR(VLOOKUP(B339,'[2]Outgoing Transmittals to PDO'!$A$6:$G$20000,3,0),"")</f>
        <v/>
      </c>
      <c r="N339" s="15" t="str">
        <f>IFERROR(VLOOKUP(B339,'[2]Outgoing Transmittals to PDO'!$A$6:$G$20000,2,0),"")</f>
        <v/>
      </c>
      <c r="O339" s="15" t="str">
        <f>IFERROR(VLOOKUP(B339,'[2]Outgoing Transmittals to PDO'!$A$6:$G$20000,7,0),"")</f>
        <v/>
      </c>
      <c r="P339" s="15" t="str">
        <f t="shared" si="448"/>
        <v/>
      </c>
      <c r="Q339" s="15" t="str">
        <f>IFERROR(VLOOKUP(B339,'[3]Incoming Transmittals from PDO'!$A$6:$G$20000,3,0),"")</f>
        <v/>
      </c>
      <c r="R339" s="15" t="str">
        <f>IFERROR(VLOOKUP(B339,'[3]Incoming Transmittals from PDO'!$A$6:$G$20000,2,0),"")</f>
        <v/>
      </c>
      <c r="S339" s="15" t="str">
        <f>IFERROR(VLOOKUP(B339,'[3]Incoming Transmittals from PDO'!$A$6:$G$20000,7,0),"")</f>
        <v/>
      </c>
      <c r="T339" s="15" t="str">
        <f>IFERROR(VLOOKUP(B339,'[1]Outgoing to JEL'!$A$6:$G$5000,3,0),"")</f>
        <v/>
      </c>
      <c r="U339" s="15" t="str">
        <f>IFERROR(VLOOKUP(B339,'[1]Outgoing to JEL'!$A$6:$G$5000,2,0),"")</f>
        <v/>
      </c>
      <c r="V339" s="15" t="str">
        <f>IFERROR(VLOOKUP(B339,'[1]Outgoing to JEL'!$A$6:$G$5000,7,0),"")</f>
        <v/>
      </c>
      <c r="W339" s="3" t="str">
        <f t="shared" si="449"/>
        <v/>
      </c>
    </row>
    <row r="340" spans="1:23" s="16" customFormat="1" x14ac:dyDescent="0.2">
      <c r="A340" s="97">
        <f>A337+1</f>
        <v>23</v>
      </c>
      <c r="B340" s="84" t="str">
        <f t="shared" ref="B340:B345" si="453">CONCATENATE(C340,"-",E340)</f>
        <v>KHF-00-104265-AA-6944-01343-0000-1</v>
      </c>
      <c r="C340" s="31" t="s">
        <v>470</v>
      </c>
      <c r="D340" s="32" t="s">
        <v>472</v>
      </c>
      <c r="E340" s="20">
        <v>1</v>
      </c>
      <c r="F340" s="20"/>
      <c r="G340" s="20"/>
      <c r="H340" s="20" t="str">
        <f t="shared" si="451"/>
        <v>L</v>
      </c>
      <c r="I340" s="3">
        <f>J340</f>
        <v>43695</v>
      </c>
      <c r="J340" s="15">
        <f>IFERROR(VLOOKUP(B340,'[1]Incoming from JEL'!$A$6:$G$5002,3,0),"")</f>
        <v>43695</v>
      </c>
      <c r="K340" s="15" t="str">
        <f>IFERROR(VLOOKUP(B340,'[1]Incoming from JEL'!$A$6:$G$5002,2,0),"")</f>
        <v>AIP-YKP-JEL -T-0072</v>
      </c>
      <c r="L340" s="15" t="str">
        <f>IFERROR(VLOOKUP(B340,'[1]Incoming from JEL'!$A$6:$G$5002,7,0),"")</f>
        <v>IFI</v>
      </c>
      <c r="M340" s="15" t="str">
        <f>IFERROR(VLOOKUP(B340,'[2]Outgoing Transmittals to PDO'!$A$6:$G$20000,3,0),"")</f>
        <v/>
      </c>
      <c r="N340" s="15" t="str">
        <f>IFERROR(VLOOKUP(B340,'[2]Outgoing Transmittals to PDO'!$A$6:$G$20000,2,0),"")</f>
        <v/>
      </c>
      <c r="O340" s="15" t="str">
        <f>IFERROR(VLOOKUP(B340,'[2]Outgoing Transmittals to PDO'!$A$6:$G$20000,7,0),"")</f>
        <v/>
      </c>
      <c r="P340" s="15" t="str">
        <f t="shared" ref="P340:P345" si="454">IF(ISNUMBER(M340),SUM(M340+14),"")</f>
        <v/>
      </c>
      <c r="Q340" s="15" t="str">
        <f>IFERROR(VLOOKUP(B340,'[3]Incoming Transmittals from PDO'!$A$6:$G$20000,3,0),"")</f>
        <v/>
      </c>
      <c r="R340" s="15" t="str">
        <f>IFERROR(VLOOKUP(B340,'[3]Incoming Transmittals from PDO'!$A$6:$G$20000,2,0),"")</f>
        <v/>
      </c>
      <c r="S340" s="15" t="str">
        <f>IFERROR(VLOOKUP(B340,'[3]Incoming Transmittals from PDO'!$A$6:$G$20000,7,0),"")</f>
        <v/>
      </c>
      <c r="T340" s="15" t="str">
        <f>IFERROR(VLOOKUP(B340,'[1]Outgoing to JEL'!$A$6:$G$5000,3,0),"")</f>
        <v/>
      </c>
      <c r="U340" s="15" t="str">
        <f>IFERROR(VLOOKUP(B340,'[1]Outgoing to JEL'!$A$6:$G$5000,2,0),"")</f>
        <v/>
      </c>
      <c r="V340" s="15" t="str">
        <f>IFERROR(VLOOKUP(B340,'[1]Outgoing to JEL'!$A$6:$G$5000,7,0),"")</f>
        <v/>
      </c>
      <c r="W340" s="3" t="str">
        <f t="shared" ref="W340:W345" si="455">IF(S340="Code A","Approved by PDO",IF(S340="Code B","Comments from PDO",IF(S340="Code C","Review not Required",IF(S340="Code D","Rejected by PDO",IF(V340="Code A","Approved by AIP",IF(V340="Code B","Comments from AIP",IF(V340="Code C","Review not Required",IF(V340="Code D","Rejected by AIP",IF(AND(M340="-",Q340="-"),"Pending for AIP review",IF(O340="IFI","Issued for Information",IF(M340&lt;&gt;"","Pending for PDO Approval",IF(L340="IFI","Issued for AIP Information",IF(J340&lt;&gt;"","Pending for PDO submission",IF(I340&lt;&gt;"","Pending from JEL",""))))))))))))))</f>
        <v>Issued for AIP Information</v>
      </c>
    </row>
    <row r="341" spans="1:23" s="16" customFormat="1" x14ac:dyDescent="0.2">
      <c r="A341" s="98"/>
      <c r="B341" s="84" t="str">
        <f t="shared" si="453"/>
        <v>KHF-00-104265-AA-6944-01343-0000-2</v>
      </c>
      <c r="C341" s="31" t="s">
        <v>470</v>
      </c>
      <c r="D341" s="32" t="s">
        <v>472</v>
      </c>
      <c r="E341" s="20">
        <v>2</v>
      </c>
      <c r="F341" s="20"/>
      <c r="G341" s="20"/>
      <c r="H341" s="20" t="str">
        <f t="shared" si="451"/>
        <v/>
      </c>
      <c r="I341" s="3" t="str">
        <f t="shared" ref="I341:I342" si="456">IFERROR(IF(OR(V340="Code B",V340="Code D",V340="-",ISNUMBER(J341)),T340+14,""),"")</f>
        <v/>
      </c>
      <c r="J341" s="15" t="str">
        <f>IFERROR(VLOOKUP(B341,'[1]Incoming from JEL'!$A$6:$G$5002,3,0),"")</f>
        <v/>
      </c>
      <c r="K341" s="15" t="str">
        <f>IFERROR(VLOOKUP(B341,'[1]Incoming from JEL'!$A$6:$G$5002,2,0),"")</f>
        <v/>
      </c>
      <c r="L341" s="15" t="str">
        <f>IFERROR(VLOOKUP(B341,'[1]Incoming from JEL'!$A$6:$G$5002,7,0),"")</f>
        <v/>
      </c>
      <c r="M341" s="15" t="str">
        <f>IFERROR(VLOOKUP(B341,'[2]Outgoing Transmittals to PDO'!$A$6:$G$20000,3,0),"")</f>
        <v/>
      </c>
      <c r="N341" s="15" t="str">
        <f>IFERROR(VLOOKUP(B341,'[2]Outgoing Transmittals to PDO'!$A$6:$G$20000,2,0),"")</f>
        <v/>
      </c>
      <c r="O341" s="15" t="str">
        <f>IFERROR(VLOOKUP(B341,'[2]Outgoing Transmittals to PDO'!$A$6:$G$20000,7,0),"")</f>
        <v/>
      </c>
      <c r="P341" s="15" t="str">
        <f t="shared" si="454"/>
        <v/>
      </c>
      <c r="Q341" s="15" t="str">
        <f>IFERROR(VLOOKUP(B341,'[3]Incoming Transmittals from PDO'!$A$6:$G$20000,3,0),"")</f>
        <v/>
      </c>
      <c r="R341" s="15" t="str">
        <f>IFERROR(VLOOKUP(B341,'[3]Incoming Transmittals from PDO'!$A$6:$G$20000,2,0),"")</f>
        <v/>
      </c>
      <c r="S341" s="15" t="str">
        <f>IFERROR(VLOOKUP(B341,'[3]Incoming Transmittals from PDO'!$A$6:$G$20000,7,0),"")</f>
        <v/>
      </c>
      <c r="T341" s="15" t="str">
        <f>IFERROR(VLOOKUP(B341,'[1]Outgoing to JEL'!$A$6:$G$5000,3,0),"")</f>
        <v/>
      </c>
      <c r="U341" s="15" t="str">
        <f>IFERROR(VLOOKUP(B341,'[1]Outgoing to JEL'!$A$6:$G$5000,2,0),"")</f>
        <v/>
      </c>
      <c r="V341" s="15" t="str">
        <f>IFERROR(VLOOKUP(B341,'[1]Outgoing to JEL'!$A$6:$G$5000,7,0),"")</f>
        <v/>
      </c>
      <c r="W341" s="3" t="str">
        <f t="shared" si="455"/>
        <v/>
      </c>
    </row>
    <row r="342" spans="1:23" s="16" customFormat="1" x14ac:dyDescent="0.2">
      <c r="A342" s="99"/>
      <c r="B342" s="84" t="str">
        <f t="shared" si="453"/>
        <v>KHF-00-104265-AA-6944-01343-0000-3</v>
      </c>
      <c r="C342" s="31" t="s">
        <v>470</v>
      </c>
      <c r="D342" s="32" t="s">
        <v>472</v>
      </c>
      <c r="E342" s="20">
        <v>3</v>
      </c>
      <c r="F342" s="20"/>
      <c r="G342" s="20"/>
      <c r="H342" s="20" t="str">
        <f t="shared" si="451"/>
        <v/>
      </c>
      <c r="I342" s="3" t="str">
        <f t="shared" si="456"/>
        <v/>
      </c>
      <c r="J342" s="15" t="str">
        <f>IFERROR(VLOOKUP(B342,'[1]Incoming from JEL'!$A$6:$G$5002,3,0),"")</f>
        <v/>
      </c>
      <c r="K342" s="15" t="str">
        <f>IFERROR(VLOOKUP(B342,'[1]Incoming from JEL'!$A$6:$G$5002,2,0),"")</f>
        <v/>
      </c>
      <c r="L342" s="15" t="str">
        <f>IFERROR(VLOOKUP(B342,'[1]Incoming from JEL'!$A$6:$G$5002,7,0),"")</f>
        <v/>
      </c>
      <c r="M342" s="15" t="str">
        <f>IFERROR(VLOOKUP(B342,'[2]Outgoing Transmittals to PDO'!$A$6:$G$20000,3,0),"")</f>
        <v/>
      </c>
      <c r="N342" s="15" t="str">
        <f>IFERROR(VLOOKUP(B342,'[2]Outgoing Transmittals to PDO'!$A$6:$G$20000,2,0),"")</f>
        <v/>
      </c>
      <c r="O342" s="15" t="str">
        <f>IFERROR(VLOOKUP(B342,'[2]Outgoing Transmittals to PDO'!$A$6:$G$20000,7,0),"")</f>
        <v/>
      </c>
      <c r="P342" s="15" t="str">
        <f t="shared" si="454"/>
        <v/>
      </c>
      <c r="Q342" s="15" t="str">
        <f>IFERROR(VLOOKUP(B342,'[3]Incoming Transmittals from PDO'!$A$6:$G$20000,3,0),"")</f>
        <v/>
      </c>
      <c r="R342" s="15" t="str">
        <f>IFERROR(VLOOKUP(B342,'[3]Incoming Transmittals from PDO'!$A$6:$G$20000,2,0),"")</f>
        <v/>
      </c>
      <c r="S342" s="15" t="str">
        <f>IFERROR(VLOOKUP(B342,'[3]Incoming Transmittals from PDO'!$A$6:$G$20000,7,0),"")</f>
        <v/>
      </c>
      <c r="T342" s="15" t="str">
        <f>IFERROR(VLOOKUP(B342,'[1]Outgoing to JEL'!$A$6:$G$5000,3,0),"")</f>
        <v/>
      </c>
      <c r="U342" s="15" t="str">
        <f>IFERROR(VLOOKUP(B342,'[1]Outgoing to JEL'!$A$6:$G$5000,2,0),"")</f>
        <v/>
      </c>
      <c r="V342" s="15" t="str">
        <f>IFERROR(VLOOKUP(B342,'[1]Outgoing to JEL'!$A$6:$G$5000,7,0),"")</f>
        <v/>
      </c>
      <c r="W342" s="3" t="str">
        <f t="shared" si="455"/>
        <v/>
      </c>
    </row>
    <row r="343" spans="1:23" s="16" customFormat="1" x14ac:dyDescent="0.2">
      <c r="A343" s="97">
        <f>A340+1</f>
        <v>24</v>
      </c>
      <c r="B343" s="86" t="str">
        <f t="shared" si="453"/>
        <v>KHF-00-104265-AA-6944-01344-0000-1</v>
      </c>
      <c r="C343" s="31" t="s">
        <v>473</v>
      </c>
      <c r="D343" s="32" t="s">
        <v>475</v>
      </c>
      <c r="E343" s="20">
        <v>1</v>
      </c>
      <c r="F343" s="20"/>
      <c r="G343" s="20"/>
      <c r="H343" s="20" t="str">
        <f t="shared" ref="H343:H348" si="457">IF(AND(C343=C344,J344="",J343&lt;&gt;""),"L","")</f>
        <v>L</v>
      </c>
      <c r="I343" s="3">
        <f>J343</f>
        <v>43702</v>
      </c>
      <c r="J343" s="15">
        <f>IFERROR(VLOOKUP(B343,'[1]Incoming from JEL'!$A$6:$G$5002,3,0),"")</f>
        <v>43702</v>
      </c>
      <c r="K343" s="15" t="str">
        <f>IFERROR(VLOOKUP(B343,'[1]Incoming from JEL'!$A$6:$G$5002,2,0),"")</f>
        <v>AIP-YKP-JEL -T-0073</v>
      </c>
      <c r="L343" s="15" t="str">
        <f>IFERROR(VLOOKUP(B343,'[1]Incoming from JEL'!$A$6:$G$5002,7,0),"")</f>
        <v>IFI</v>
      </c>
      <c r="M343" s="15" t="str">
        <f>IFERROR(VLOOKUP(B343,'[2]Outgoing Transmittals to PDO'!$A$6:$G$20000,3,0),"")</f>
        <v/>
      </c>
      <c r="N343" s="15" t="str">
        <f>IFERROR(VLOOKUP(B343,'[2]Outgoing Transmittals to PDO'!$A$6:$G$20000,2,0),"")</f>
        <v/>
      </c>
      <c r="O343" s="15" t="str">
        <f>IFERROR(VLOOKUP(B343,'[2]Outgoing Transmittals to PDO'!$A$6:$G$20000,7,0),"")</f>
        <v/>
      </c>
      <c r="P343" s="15" t="str">
        <f t="shared" si="454"/>
        <v/>
      </c>
      <c r="Q343" s="15" t="str">
        <f>IFERROR(VLOOKUP(B343,'[3]Incoming Transmittals from PDO'!$A$6:$G$20000,3,0),"")</f>
        <v/>
      </c>
      <c r="R343" s="15" t="str">
        <f>IFERROR(VLOOKUP(B343,'[3]Incoming Transmittals from PDO'!$A$6:$G$20000,2,0),"")</f>
        <v/>
      </c>
      <c r="S343" s="15" t="str">
        <f>IFERROR(VLOOKUP(B343,'[3]Incoming Transmittals from PDO'!$A$6:$G$20000,7,0),"")</f>
        <v/>
      </c>
      <c r="T343" s="15" t="str">
        <f>IFERROR(VLOOKUP(B343,'[1]Outgoing to JEL'!$A$6:$G$5000,3,0),"")</f>
        <v/>
      </c>
      <c r="U343" s="15" t="str">
        <f>IFERROR(VLOOKUP(B343,'[1]Outgoing to JEL'!$A$6:$G$5000,2,0),"")</f>
        <v/>
      </c>
      <c r="V343" s="15" t="str">
        <f>IFERROR(VLOOKUP(B343,'[1]Outgoing to JEL'!$A$6:$G$5000,7,0),"")</f>
        <v/>
      </c>
      <c r="W343" s="3" t="str">
        <f t="shared" si="455"/>
        <v>Issued for AIP Information</v>
      </c>
    </row>
    <row r="344" spans="1:23" s="16" customFormat="1" x14ac:dyDescent="0.2">
      <c r="A344" s="98"/>
      <c r="B344" s="86" t="str">
        <f t="shared" si="453"/>
        <v>KHF-00-104265-AA-6944-01344-0000-2</v>
      </c>
      <c r="C344" s="31" t="s">
        <v>473</v>
      </c>
      <c r="D344" s="32" t="s">
        <v>475</v>
      </c>
      <c r="E344" s="20">
        <v>2</v>
      </c>
      <c r="F344" s="20"/>
      <c r="G344" s="20"/>
      <c r="H344" s="20" t="str">
        <f t="shared" si="457"/>
        <v/>
      </c>
      <c r="I344" s="3" t="str">
        <f t="shared" ref="I344:I345" si="458">IFERROR(IF(OR(V343="Code B",V343="Code D",V343="-",ISNUMBER(J344)),T343+14,""),"")</f>
        <v/>
      </c>
      <c r="J344" s="15" t="str">
        <f>IFERROR(VLOOKUP(B344,'[1]Incoming from JEL'!$A$6:$G$5002,3,0),"")</f>
        <v/>
      </c>
      <c r="K344" s="15" t="str">
        <f>IFERROR(VLOOKUP(B344,'[1]Incoming from JEL'!$A$6:$G$5002,2,0),"")</f>
        <v/>
      </c>
      <c r="L344" s="15" t="str">
        <f>IFERROR(VLOOKUP(B344,'[1]Incoming from JEL'!$A$6:$G$5002,7,0),"")</f>
        <v/>
      </c>
      <c r="M344" s="15" t="str">
        <f>IFERROR(VLOOKUP(B344,'[2]Outgoing Transmittals to PDO'!$A$6:$G$20000,3,0),"")</f>
        <v/>
      </c>
      <c r="N344" s="15" t="str">
        <f>IFERROR(VLOOKUP(B344,'[2]Outgoing Transmittals to PDO'!$A$6:$G$20000,2,0),"")</f>
        <v/>
      </c>
      <c r="O344" s="15" t="str">
        <f>IFERROR(VLOOKUP(B344,'[2]Outgoing Transmittals to PDO'!$A$6:$G$20000,7,0),"")</f>
        <v/>
      </c>
      <c r="P344" s="15" t="str">
        <f t="shared" si="454"/>
        <v/>
      </c>
      <c r="Q344" s="15" t="str">
        <f>IFERROR(VLOOKUP(B344,'[3]Incoming Transmittals from PDO'!$A$6:$G$20000,3,0),"")</f>
        <v/>
      </c>
      <c r="R344" s="15" t="str">
        <f>IFERROR(VLOOKUP(B344,'[3]Incoming Transmittals from PDO'!$A$6:$G$20000,2,0),"")</f>
        <v/>
      </c>
      <c r="S344" s="15" t="str">
        <f>IFERROR(VLOOKUP(B344,'[3]Incoming Transmittals from PDO'!$A$6:$G$20000,7,0),"")</f>
        <v/>
      </c>
      <c r="T344" s="15" t="str">
        <f>IFERROR(VLOOKUP(B344,'[1]Outgoing to JEL'!$A$6:$G$5000,3,0),"")</f>
        <v/>
      </c>
      <c r="U344" s="15" t="str">
        <f>IFERROR(VLOOKUP(B344,'[1]Outgoing to JEL'!$A$6:$G$5000,2,0),"")</f>
        <v/>
      </c>
      <c r="V344" s="15" t="str">
        <f>IFERROR(VLOOKUP(B344,'[1]Outgoing to JEL'!$A$6:$G$5000,7,0),"")</f>
        <v/>
      </c>
      <c r="W344" s="3" t="str">
        <f t="shared" si="455"/>
        <v/>
      </c>
    </row>
    <row r="345" spans="1:23" s="16" customFormat="1" x14ac:dyDescent="0.2">
      <c r="A345" s="99"/>
      <c r="B345" s="86" t="str">
        <f t="shared" si="453"/>
        <v>KHF-00-104265-AA-6944-01344-0000-3</v>
      </c>
      <c r="C345" s="31" t="s">
        <v>473</v>
      </c>
      <c r="D345" s="32" t="s">
        <v>475</v>
      </c>
      <c r="E345" s="20">
        <v>3</v>
      </c>
      <c r="F345" s="20"/>
      <c r="G345" s="20"/>
      <c r="H345" s="20" t="str">
        <f t="shared" si="457"/>
        <v/>
      </c>
      <c r="I345" s="3" t="str">
        <f t="shared" si="458"/>
        <v/>
      </c>
      <c r="J345" s="15" t="str">
        <f>IFERROR(VLOOKUP(B345,'[1]Incoming from JEL'!$A$6:$G$5002,3,0),"")</f>
        <v/>
      </c>
      <c r="K345" s="15" t="str">
        <f>IFERROR(VLOOKUP(B345,'[1]Incoming from JEL'!$A$6:$G$5002,2,0),"")</f>
        <v/>
      </c>
      <c r="L345" s="15" t="str">
        <f>IFERROR(VLOOKUP(B345,'[1]Incoming from JEL'!$A$6:$G$5002,7,0),"")</f>
        <v/>
      </c>
      <c r="M345" s="15" t="str">
        <f>IFERROR(VLOOKUP(B345,'[2]Outgoing Transmittals to PDO'!$A$6:$G$20000,3,0),"")</f>
        <v/>
      </c>
      <c r="N345" s="15" t="str">
        <f>IFERROR(VLOOKUP(B345,'[2]Outgoing Transmittals to PDO'!$A$6:$G$20000,2,0),"")</f>
        <v/>
      </c>
      <c r="O345" s="15" t="str">
        <f>IFERROR(VLOOKUP(B345,'[2]Outgoing Transmittals to PDO'!$A$6:$G$20000,7,0),"")</f>
        <v/>
      </c>
      <c r="P345" s="15" t="str">
        <f t="shared" si="454"/>
        <v/>
      </c>
      <c r="Q345" s="15" t="str">
        <f>IFERROR(VLOOKUP(B345,'[3]Incoming Transmittals from PDO'!$A$6:$G$20000,3,0),"")</f>
        <v/>
      </c>
      <c r="R345" s="15" t="str">
        <f>IFERROR(VLOOKUP(B345,'[3]Incoming Transmittals from PDO'!$A$6:$G$20000,2,0),"")</f>
        <v/>
      </c>
      <c r="S345" s="15" t="str">
        <f>IFERROR(VLOOKUP(B345,'[3]Incoming Transmittals from PDO'!$A$6:$G$20000,7,0),"")</f>
        <v/>
      </c>
      <c r="T345" s="15" t="str">
        <f>IFERROR(VLOOKUP(B345,'[1]Outgoing to JEL'!$A$6:$G$5000,3,0),"")</f>
        <v/>
      </c>
      <c r="U345" s="15" t="str">
        <f>IFERROR(VLOOKUP(B345,'[1]Outgoing to JEL'!$A$6:$G$5000,2,0),"")</f>
        <v/>
      </c>
      <c r="V345" s="15" t="str">
        <f>IFERROR(VLOOKUP(B345,'[1]Outgoing to JEL'!$A$6:$G$5000,7,0),"")</f>
        <v/>
      </c>
      <c r="W345" s="3" t="str">
        <f t="shared" si="455"/>
        <v/>
      </c>
    </row>
    <row r="346" spans="1:23" s="16" customFormat="1" ht="21" x14ac:dyDescent="0.2">
      <c r="A346" s="97">
        <f>A343+1</f>
        <v>25</v>
      </c>
      <c r="B346" s="86" t="str">
        <f t="shared" ref="B346:B348" si="459">CONCATENATE(C346,"-",E346)</f>
        <v>KHF-00-104265-AA-6944-01345-0000-1</v>
      </c>
      <c r="C346" s="31" t="s">
        <v>474</v>
      </c>
      <c r="D346" s="32" t="s">
        <v>476</v>
      </c>
      <c r="E346" s="20">
        <v>1</v>
      </c>
      <c r="F346" s="20"/>
      <c r="G346" s="20"/>
      <c r="H346" s="20" t="str">
        <f t="shared" si="457"/>
        <v>L</v>
      </c>
      <c r="I346" s="3">
        <f>J346</f>
        <v>43709</v>
      </c>
      <c r="J346" s="15">
        <f>IFERROR(VLOOKUP(B346,'[1]Incoming from JEL'!$A$6:$G$5002,3,0),"")</f>
        <v>43709</v>
      </c>
      <c r="K346" s="15" t="str">
        <f>IFERROR(VLOOKUP(B346,'[1]Incoming from JEL'!$A$6:$G$5002,2,0),"")</f>
        <v>AIP-YKP-JEL -T-0075</v>
      </c>
      <c r="L346" s="15" t="str">
        <f>IFERROR(VLOOKUP(B346,'[1]Incoming from JEL'!$A$6:$G$5002,7,0),"")</f>
        <v>IFI</v>
      </c>
      <c r="M346" s="15" t="str">
        <f>IFERROR(VLOOKUP(B346,'[2]Outgoing Transmittals to PDO'!$A$6:$G$20000,3,0),"")</f>
        <v/>
      </c>
      <c r="N346" s="15" t="str">
        <f>IFERROR(VLOOKUP(B346,'[2]Outgoing Transmittals to PDO'!$A$6:$G$20000,2,0),"")</f>
        <v/>
      </c>
      <c r="O346" s="15" t="str">
        <f>IFERROR(VLOOKUP(B346,'[2]Outgoing Transmittals to PDO'!$A$6:$G$20000,7,0),"")</f>
        <v/>
      </c>
      <c r="P346" s="15" t="str">
        <f t="shared" ref="P346:P348" si="460">IF(ISNUMBER(M346),SUM(M346+14),"")</f>
        <v/>
      </c>
      <c r="Q346" s="15" t="str">
        <f>IFERROR(VLOOKUP(B346,'[3]Incoming Transmittals from PDO'!$A$6:$G$20000,3,0),"")</f>
        <v/>
      </c>
      <c r="R346" s="15" t="str">
        <f>IFERROR(VLOOKUP(B346,'[3]Incoming Transmittals from PDO'!$A$6:$G$20000,2,0),"")</f>
        <v/>
      </c>
      <c r="S346" s="15" t="str">
        <f>IFERROR(VLOOKUP(B346,'[3]Incoming Transmittals from PDO'!$A$6:$G$20000,7,0),"")</f>
        <v/>
      </c>
      <c r="T346" s="15" t="str">
        <f>IFERROR(VLOOKUP(B346,'[1]Outgoing to JEL'!$A$6:$G$5000,3,0),"")</f>
        <v/>
      </c>
      <c r="U346" s="15" t="str">
        <f>IFERROR(VLOOKUP(B346,'[1]Outgoing to JEL'!$A$6:$G$5000,2,0),"")</f>
        <v/>
      </c>
      <c r="V346" s="15" t="str">
        <f>IFERROR(VLOOKUP(B346,'[1]Outgoing to JEL'!$A$6:$G$5000,7,0),"")</f>
        <v/>
      </c>
      <c r="W346" s="3" t="str">
        <f t="shared" ref="W346:W348" si="461">IF(S346="Code A","Approved by PDO",IF(S346="Code B","Comments from PDO",IF(S346="Code C","Review not Required",IF(S346="Code D","Rejected by PDO",IF(V346="Code A","Approved by AIP",IF(V346="Code B","Comments from AIP",IF(V346="Code C","Review not Required",IF(V346="Code D","Rejected by AIP",IF(AND(M346="-",Q346="-"),"Pending for AIP review",IF(O346="IFI","Issued for Information",IF(M346&lt;&gt;"","Pending for PDO Approval",IF(L346="IFI","Issued for AIP Information",IF(J346&lt;&gt;"","Pending for PDO submission",IF(I346&lt;&gt;"","Pending from JEL",""))))))))))))))</f>
        <v>Issued for AIP Information</v>
      </c>
    </row>
    <row r="347" spans="1:23" s="16" customFormat="1" ht="21" x14ac:dyDescent="0.2">
      <c r="A347" s="98"/>
      <c r="B347" s="86" t="str">
        <f t="shared" si="459"/>
        <v>KHF-00-104265-AA-6944-01345-0000-2</v>
      </c>
      <c r="C347" s="31" t="s">
        <v>474</v>
      </c>
      <c r="D347" s="32" t="s">
        <v>476</v>
      </c>
      <c r="E347" s="20">
        <v>2</v>
      </c>
      <c r="F347" s="20"/>
      <c r="G347" s="20"/>
      <c r="H347" s="20" t="str">
        <f t="shared" si="457"/>
        <v/>
      </c>
      <c r="I347" s="3" t="str">
        <f t="shared" ref="I347:I348" si="462">IFERROR(IF(OR(V346="Code B",V346="Code D",V346="-",ISNUMBER(J347)),T346+14,""),"")</f>
        <v/>
      </c>
      <c r="J347" s="15" t="str">
        <f>IFERROR(VLOOKUP(B347,'[1]Incoming from JEL'!$A$6:$G$5002,3,0),"")</f>
        <v/>
      </c>
      <c r="K347" s="15" t="str">
        <f>IFERROR(VLOOKUP(B347,'[1]Incoming from JEL'!$A$6:$G$5002,2,0),"")</f>
        <v/>
      </c>
      <c r="L347" s="15" t="str">
        <f>IFERROR(VLOOKUP(B347,'[1]Incoming from JEL'!$A$6:$G$5002,7,0),"")</f>
        <v/>
      </c>
      <c r="M347" s="15" t="str">
        <f>IFERROR(VLOOKUP(B347,'[2]Outgoing Transmittals to PDO'!$A$6:$G$20000,3,0),"")</f>
        <v/>
      </c>
      <c r="N347" s="15" t="str">
        <f>IFERROR(VLOOKUP(B347,'[2]Outgoing Transmittals to PDO'!$A$6:$G$20000,2,0),"")</f>
        <v/>
      </c>
      <c r="O347" s="15" t="str">
        <f>IFERROR(VLOOKUP(B347,'[2]Outgoing Transmittals to PDO'!$A$6:$G$20000,7,0),"")</f>
        <v/>
      </c>
      <c r="P347" s="15" t="str">
        <f t="shared" si="460"/>
        <v/>
      </c>
      <c r="Q347" s="15" t="str">
        <f>IFERROR(VLOOKUP(B347,'[3]Incoming Transmittals from PDO'!$A$6:$G$20000,3,0),"")</f>
        <v/>
      </c>
      <c r="R347" s="15" t="str">
        <f>IFERROR(VLOOKUP(B347,'[3]Incoming Transmittals from PDO'!$A$6:$G$20000,2,0),"")</f>
        <v/>
      </c>
      <c r="S347" s="15" t="str">
        <f>IFERROR(VLOOKUP(B347,'[3]Incoming Transmittals from PDO'!$A$6:$G$20000,7,0),"")</f>
        <v/>
      </c>
      <c r="T347" s="15" t="str">
        <f>IFERROR(VLOOKUP(B347,'[1]Outgoing to JEL'!$A$6:$G$5000,3,0),"")</f>
        <v/>
      </c>
      <c r="U347" s="15" t="str">
        <f>IFERROR(VLOOKUP(B347,'[1]Outgoing to JEL'!$A$6:$G$5000,2,0),"")</f>
        <v/>
      </c>
      <c r="V347" s="15" t="str">
        <f>IFERROR(VLOOKUP(B347,'[1]Outgoing to JEL'!$A$6:$G$5000,7,0),"")</f>
        <v/>
      </c>
      <c r="W347" s="3" t="str">
        <f t="shared" si="461"/>
        <v/>
      </c>
    </row>
    <row r="348" spans="1:23" s="16" customFormat="1" ht="21" x14ac:dyDescent="0.2">
      <c r="A348" s="99"/>
      <c r="B348" s="86" t="str">
        <f t="shared" si="459"/>
        <v>KHF-00-104265-AA-6944-01345-0000-3</v>
      </c>
      <c r="C348" s="31" t="s">
        <v>474</v>
      </c>
      <c r="D348" s="32" t="s">
        <v>476</v>
      </c>
      <c r="E348" s="20">
        <v>3</v>
      </c>
      <c r="F348" s="20"/>
      <c r="G348" s="20"/>
      <c r="H348" s="20" t="str">
        <f t="shared" si="457"/>
        <v/>
      </c>
      <c r="I348" s="3" t="str">
        <f t="shared" si="462"/>
        <v/>
      </c>
      <c r="J348" s="15" t="str">
        <f>IFERROR(VLOOKUP(B348,'[1]Incoming from JEL'!$A$6:$G$5002,3,0),"")</f>
        <v/>
      </c>
      <c r="K348" s="15" t="str">
        <f>IFERROR(VLOOKUP(B348,'[1]Incoming from JEL'!$A$6:$G$5002,2,0),"")</f>
        <v/>
      </c>
      <c r="L348" s="15" t="str">
        <f>IFERROR(VLOOKUP(B348,'[1]Incoming from JEL'!$A$6:$G$5002,7,0),"")</f>
        <v/>
      </c>
      <c r="M348" s="15" t="str">
        <f>IFERROR(VLOOKUP(B348,'[2]Outgoing Transmittals to PDO'!$A$6:$G$20000,3,0),"")</f>
        <v/>
      </c>
      <c r="N348" s="15" t="str">
        <f>IFERROR(VLOOKUP(B348,'[2]Outgoing Transmittals to PDO'!$A$6:$G$20000,2,0),"")</f>
        <v/>
      </c>
      <c r="O348" s="15" t="str">
        <f>IFERROR(VLOOKUP(B348,'[2]Outgoing Transmittals to PDO'!$A$6:$G$20000,7,0),"")</f>
        <v/>
      </c>
      <c r="P348" s="15" t="str">
        <f t="shared" si="460"/>
        <v/>
      </c>
      <c r="Q348" s="15" t="str">
        <f>IFERROR(VLOOKUP(B348,'[3]Incoming Transmittals from PDO'!$A$6:$G$20000,3,0),"")</f>
        <v/>
      </c>
      <c r="R348" s="15" t="str">
        <f>IFERROR(VLOOKUP(B348,'[3]Incoming Transmittals from PDO'!$A$6:$G$20000,2,0),"")</f>
        <v/>
      </c>
      <c r="S348" s="15" t="str">
        <f>IFERROR(VLOOKUP(B348,'[3]Incoming Transmittals from PDO'!$A$6:$G$20000,7,0),"")</f>
        <v/>
      </c>
      <c r="T348" s="15" t="str">
        <f>IFERROR(VLOOKUP(B348,'[1]Outgoing to JEL'!$A$6:$G$5000,3,0),"")</f>
        <v/>
      </c>
      <c r="U348" s="15" t="str">
        <f>IFERROR(VLOOKUP(B348,'[1]Outgoing to JEL'!$A$6:$G$5000,2,0),"")</f>
        <v/>
      </c>
      <c r="V348" s="15" t="str">
        <f>IFERROR(VLOOKUP(B348,'[1]Outgoing to JEL'!$A$6:$G$5000,7,0),"")</f>
        <v/>
      </c>
      <c r="W348" s="3" t="str">
        <f t="shared" si="461"/>
        <v/>
      </c>
    </row>
    <row r="349" spans="1:23" s="16" customFormat="1" ht="21" x14ac:dyDescent="0.2">
      <c r="A349" s="97">
        <f>A346+1</f>
        <v>26</v>
      </c>
      <c r="B349" s="87" t="str">
        <f t="shared" ref="B349:B351" si="463">CONCATENATE(C349,"-",E349)</f>
        <v>KHF-00-104265-AA-6944-01346-0000-1</v>
      </c>
      <c r="C349" s="31" t="s">
        <v>478</v>
      </c>
      <c r="D349" s="32" t="s">
        <v>479</v>
      </c>
      <c r="E349" s="20">
        <v>1</v>
      </c>
      <c r="F349" s="20"/>
      <c r="G349" s="20"/>
      <c r="H349" s="20" t="str">
        <f t="shared" ref="H349:H350" si="464">IF(AND(C349=C350,J350="",J349&lt;&gt;""),"L","")</f>
        <v>L</v>
      </c>
      <c r="I349" s="3">
        <f>J349</f>
        <v>43716</v>
      </c>
      <c r="J349" s="15">
        <f>IFERROR(VLOOKUP(B349,'[1]Incoming from JEL'!$A$6:$G$5002,3,0),"")</f>
        <v>43716</v>
      </c>
      <c r="K349" s="15" t="str">
        <f>IFERROR(VLOOKUP(B349,'[1]Incoming from JEL'!$A$6:$G$5002,2,0),"")</f>
        <v>AIP-YKP-JEL -T-0077</v>
      </c>
      <c r="L349" s="15" t="str">
        <f>IFERROR(VLOOKUP(B349,'[1]Incoming from JEL'!$A$6:$G$5002,7,0),"")</f>
        <v>IFI</v>
      </c>
      <c r="M349" s="15" t="str">
        <f>IFERROR(VLOOKUP(B349,'[2]Outgoing Transmittals to PDO'!$A$6:$G$20000,3,0),"")</f>
        <v/>
      </c>
      <c r="N349" s="15" t="str">
        <f>IFERROR(VLOOKUP(B349,'[2]Outgoing Transmittals to PDO'!$A$6:$G$20000,2,0),"")</f>
        <v/>
      </c>
      <c r="O349" s="15" t="str">
        <f>IFERROR(VLOOKUP(B349,'[2]Outgoing Transmittals to PDO'!$A$6:$G$20000,7,0),"")</f>
        <v/>
      </c>
      <c r="P349" s="15" t="str">
        <f t="shared" ref="P349:P351" si="465">IF(ISNUMBER(M349),SUM(M349+14),"")</f>
        <v/>
      </c>
      <c r="Q349" s="15" t="str">
        <f>IFERROR(VLOOKUP(B349,'[3]Incoming Transmittals from PDO'!$A$6:$G$20000,3,0),"")</f>
        <v/>
      </c>
      <c r="R349" s="15" t="str">
        <f>IFERROR(VLOOKUP(B349,'[3]Incoming Transmittals from PDO'!$A$6:$G$20000,2,0),"")</f>
        <v/>
      </c>
      <c r="S349" s="15" t="str">
        <f>IFERROR(VLOOKUP(B349,'[3]Incoming Transmittals from PDO'!$A$6:$G$20000,7,0),"")</f>
        <v/>
      </c>
      <c r="T349" s="15" t="str">
        <f>IFERROR(VLOOKUP(B349,'[1]Outgoing to JEL'!$A$6:$G$5000,3,0),"")</f>
        <v/>
      </c>
      <c r="U349" s="15" t="str">
        <f>IFERROR(VLOOKUP(B349,'[1]Outgoing to JEL'!$A$6:$G$5000,2,0),"")</f>
        <v/>
      </c>
      <c r="V349" s="15" t="str">
        <f>IFERROR(VLOOKUP(B349,'[1]Outgoing to JEL'!$A$6:$G$5000,7,0),"")</f>
        <v/>
      </c>
      <c r="W349" s="3" t="str">
        <f t="shared" ref="W349:W351" si="466">IF(S349="Code A","Approved by PDO",IF(S349="Code B","Comments from PDO",IF(S349="Code C","Review not Required",IF(S349="Code D","Rejected by PDO",IF(V349="Code A","Approved by AIP",IF(V349="Code B","Comments from AIP",IF(V349="Code C","Review not Required",IF(V349="Code D","Rejected by AIP",IF(AND(M349="-",Q349="-"),"Pending for AIP review",IF(O349="IFI","Issued for Information",IF(M349&lt;&gt;"","Pending for PDO Approval",IF(L349="IFI","Issued for AIP Information",IF(J349&lt;&gt;"","Pending for PDO submission",IF(I349&lt;&gt;"","Pending from JEL",""))))))))))))))</f>
        <v>Issued for AIP Information</v>
      </c>
    </row>
    <row r="350" spans="1:23" s="16" customFormat="1" ht="21" x14ac:dyDescent="0.2">
      <c r="A350" s="98"/>
      <c r="B350" s="87" t="str">
        <f t="shared" si="463"/>
        <v>KHF-00-104265-AA-6944-01346-0000-2</v>
      </c>
      <c r="C350" s="31" t="s">
        <v>478</v>
      </c>
      <c r="D350" s="32" t="s">
        <v>479</v>
      </c>
      <c r="E350" s="20">
        <v>2</v>
      </c>
      <c r="F350" s="20"/>
      <c r="G350" s="20"/>
      <c r="H350" s="20" t="str">
        <f t="shared" si="464"/>
        <v/>
      </c>
      <c r="I350" s="3" t="str">
        <f t="shared" ref="I350:I351" si="467">IFERROR(IF(OR(V349="Code B",V349="Code D",V349="-",ISNUMBER(J350)),T349+14,""),"")</f>
        <v/>
      </c>
      <c r="J350" s="15" t="str">
        <f>IFERROR(VLOOKUP(B350,'[1]Incoming from JEL'!$A$6:$G$5002,3,0),"")</f>
        <v/>
      </c>
      <c r="K350" s="15" t="str">
        <f>IFERROR(VLOOKUP(B350,'[1]Incoming from JEL'!$A$6:$G$5002,2,0),"")</f>
        <v/>
      </c>
      <c r="L350" s="15" t="str">
        <f>IFERROR(VLOOKUP(B350,'[1]Incoming from JEL'!$A$6:$G$5002,7,0),"")</f>
        <v/>
      </c>
      <c r="M350" s="15" t="str">
        <f>IFERROR(VLOOKUP(B350,'[2]Outgoing Transmittals to PDO'!$A$6:$G$20000,3,0),"")</f>
        <v/>
      </c>
      <c r="N350" s="15" t="str">
        <f>IFERROR(VLOOKUP(B350,'[2]Outgoing Transmittals to PDO'!$A$6:$G$20000,2,0),"")</f>
        <v/>
      </c>
      <c r="O350" s="15" t="str">
        <f>IFERROR(VLOOKUP(B350,'[2]Outgoing Transmittals to PDO'!$A$6:$G$20000,7,0),"")</f>
        <v/>
      </c>
      <c r="P350" s="15" t="str">
        <f t="shared" si="465"/>
        <v/>
      </c>
      <c r="Q350" s="15" t="str">
        <f>IFERROR(VLOOKUP(B350,'[3]Incoming Transmittals from PDO'!$A$6:$G$20000,3,0),"")</f>
        <v/>
      </c>
      <c r="R350" s="15" t="str">
        <f>IFERROR(VLOOKUP(B350,'[3]Incoming Transmittals from PDO'!$A$6:$G$20000,2,0),"")</f>
        <v/>
      </c>
      <c r="S350" s="15" t="str">
        <f>IFERROR(VLOOKUP(B350,'[3]Incoming Transmittals from PDO'!$A$6:$G$20000,7,0),"")</f>
        <v/>
      </c>
      <c r="T350" s="15" t="str">
        <f>IFERROR(VLOOKUP(B350,'[1]Outgoing to JEL'!$A$6:$G$5000,3,0),"")</f>
        <v/>
      </c>
      <c r="U350" s="15" t="str">
        <f>IFERROR(VLOOKUP(B350,'[1]Outgoing to JEL'!$A$6:$G$5000,2,0),"")</f>
        <v/>
      </c>
      <c r="V350" s="15" t="str">
        <f>IFERROR(VLOOKUP(B350,'[1]Outgoing to JEL'!$A$6:$G$5000,7,0),"")</f>
        <v/>
      </c>
      <c r="W350" s="3" t="str">
        <f t="shared" si="466"/>
        <v/>
      </c>
    </row>
    <row r="351" spans="1:23" s="16" customFormat="1" ht="21" x14ac:dyDescent="0.2">
      <c r="A351" s="99"/>
      <c r="B351" s="87" t="str">
        <f t="shared" si="463"/>
        <v>KHF-00-104265-AA-6944-01346-0000-3</v>
      </c>
      <c r="C351" s="31" t="s">
        <v>478</v>
      </c>
      <c r="D351" s="32" t="s">
        <v>479</v>
      </c>
      <c r="E351" s="20">
        <v>3</v>
      </c>
      <c r="F351" s="20"/>
      <c r="G351" s="20"/>
      <c r="H351" s="20" t="str">
        <f>IF(AND(C351=C382,J382="",J351&lt;&gt;""),"L","")</f>
        <v/>
      </c>
      <c r="I351" s="3" t="str">
        <f t="shared" si="467"/>
        <v/>
      </c>
      <c r="J351" s="15" t="str">
        <f>IFERROR(VLOOKUP(B351,'[1]Incoming from JEL'!$A$6:$G$5002,3,0),"")</f>
        <v/>
      </c>
      <c r="K351" s="15" t="str">
        <f>IFERROR(VLOOKUP(B351,'[1]Incoming from JEL'!$A$6:$G$5002,2,0),"")</f>
        <v/>
      </c>
      <c r="L351" s="15" t="str">
        <f>IFERROR(VLOOKUP(B351,'[1]Incoming from JEL'!$A$6:$G$5002,7,0),"")</f>
        <v/>
      </c>
      <c r="M351" s="15" t="str">
        <f>IFERROR(VLOOKUP(B351,'[2]Outgoing Transmittals to PDO'!$A$6:$G$20000,3,0),"")</f>
        <v/>
      </c>
      <c r="N351" s="15" t="str">
        <f>IFERROR(VLOOKUP(B351,'[2]Outgoing Transmittals to PDO'!$A$6:$G$20000,2,0),"")</f>
        <v/>
      </c>
      <c r="O351" s="15" t="str">
        <f>IFERROR(VLOOKUP(B351,'[2]Outgoing Transmittals to PDO'!$A$6:$G$20000,7,0),"")</f>
        <v/>
      </c>
      <c r="P351" s="15" t="str">
        <f t="shared" si="465"/>
        <v/>
      </c>
      <c r="Q351" s="15" t="str">
        <f>IFERROR(VLOOKUP(B351,'[3]Incoming Transmittals from PDO'!$A$6:$G$20000,3,0),"")</f>
        <v/>
      </c>
      <c r="R351" s="15" t="str">
        <f>IFERROR(VLOOKUP(B351,'[3]Incoming Transmittals from PDO'!$A$6:$G$20000,2,0),"")</f>
        <v/>
      </c>
      <c r="S351" s="15" t="str">
        <f>IFERROR(VLOOKUP(B351,'[3]Incoming Transmittals from PDO'!$A$6:$G$20000,7,0),"")</f>
        <v/>
      </c>
      <c r="T351" s="15" t="str">
        <f>IFERROR(VLOOKUP(B351,'[1]Outgoing to JEL'!$A$6:$G$5000,3,0),"")</f>
        <v/>
      </c>
      <c r="U351" s="15" t="str">
        <f>IFERROR(VLOOKUP(B351,'[1]Outgoing to JEL'!$A$6:$G$5000,2,0),"")</f>
        <v/>
      </c>
      <c r="V351" s="15" t="str">
        <f>IFERROR(VLOOKUP(B351,'[1]Outgoing to JEL'!$A$6:$G$5000,7,0),"")</f>
        <v/>
      </c>
      <c r="W351" s="3" t="str">
        <f t="shared" si="466"/>
        <v/>
      </c>
    </row>
    <row r="352" spans="1:23" x14ac:dyDescent="0.2">
      <c r="B352" s="22" t="str">
        <f t="shared" ref="B352:B387" si="468">CONCATENATE(C352,"-",E516)</f>
        <v>-</v>
      </c>
    </row>
    <row r="353" spans="2:2" x14ac:dyDescent="0.2">
      <c r="B353" s="22" t="str">
        <f t="shared" ref="B353:B373" si="469">CONCATENATE(C353,"-",E517)</f>
        <v>-</v>
      </c>
    </row>
    <row r="354" spans="2:2" x14ac:dyDescent="0.2">
      <c r="B354" s="22" t="str">
        <f t="shared" si="469"/>
        <v>-</v>
      </c>
    </row>
    <row r="355" spans="2:2" x14ac:dyDescent="0.2">
      <c r="B355" s="22" t="str">
        <f t="shared" si="469"/>
        <v>-</v>
      </c>
    </row>
    <row r="356" spans="2:2" x14ac:dyDescent="0.2">
      <c r="B356" s="22" t="str">
        <f t="shared" si="469"/>
        <v>-</v>
      </c>
    </row>
    <row r="357" spans="2:2" x14ac:dyDescent="0.2">
      <c r="B357" s="22" t="str">
        <f t="shared" si="469"/>
        <v>-</v>
      </c>
    </row>
    <row r="358" spans="2:2" x14ac:dyDescent="0.2">
      <c r="B358" s="22" t="str">
        <f t="shared" si="469"/>
        <v>-</v>
      </c>
    </row>
    <row r="359" spans="2:2" x14ac:dyDescent="0.2">
      <c r="B359" s="22" t="str">
        <f t="shared" si="469"/>
        <v>-</v>
      </c>
    </row>
    <row r="360" spans="2:2" x14ac:dyDescent="0.2">
      <c r="B360" s="22" t="str">
        <f t="shared" si="469"/>
        <v>-</v>
      </c>
    </row>
    <row r="361" spans="2:2" x14ac:dyDescent="0.2">
      <c r="B361" s="22" t="str">
        <f t="shared" si="469"/>
        <v>-</v>
      </c>
    </row>
    <row r="362" spans="2:2" x14ac:dyDescent="0.2">
      <c r="B362" s="22" t="str">
        <f t="shared" si="469"/>
        <v>-</v>
      </c>
    </row>
    <row r="363" spans="2:2" x14ac:dyDescent="0.2">
      <c r="B363" s="22" t="str">
        <f t="shared" si="469"/>
        <v>-</v>
      </c>
    </row>
    <row r="364" spans="2:2" x14ac:dyDescent="0.2">
      <c r="B364" s="22" t="str">
        <f t="shared" si="469"/>
        <v>-</v>
      </c>
    </row>
    <row r="365" spans="2:2" x14ac:dyDescent="0.2">
      <c r="B365" s="22" t="str">
        <f t="shared" si="469"/>
        <v>-</v>
      </c>
    </row>
    <row r="366" spans="2:2" x14ac:dyDescent="0.2">
      <c r="B366" s="22" t="str">
        <f t="shared" si="469"/>
        <v>-</v>
      </c>
    </row>
    <row r="367" spans="2:2" x14ac:dyDescent="0.2">
      <c r="B367" s="22" t="str">
        <f t="shared" si="469"/>
        <v>-</v>
      </c>
    </row>
    <row r="368" spans="2:2" x14ac:dyDescent="0.2">
      <c r="B368" s="22" t="str">
        <f t="shared" si="469"/>
        <v>-</v>
      </c>
    </row>
    <row r="369" spans="2:2" x14ac:dyDescent="0.2">
      <c r="B369" s="22" t="str">
        <f t="shared" si="469"/>
        <v>-</v>
      </c>
    </row>
    <row r="370" spans="2:2" x14ac:dyDescent="0.2">
      <c r="B370" s="22" t="str">
        <f t="shared" si="469"/>
        <v>-</v>
      </c>
    </row>
    <row r="371" spans="2:2" x14ac:dyDescent="0.2">
      <c r="B371" s="22" t="str">
        <f t="shared" si="469"/>
        <v>-</v>
      </c>
    </row>
    <row r="372" spans="2:2" x14ac:dyDescent="0.2">
      <c r="B372" s="22" t="str">
        <f t="shared" si="469"/>
        <v>-</v>
      </c>
    </row>
    <row r="373" spans="2:2" x14ac:dyDescent="0.2">
      <c r="B373" s="22" t="str">
        <f t="shared" si="469"/>
        <v>-</v>
      </c>
    </row>
    <row r="374" spans="2:2" x14ac:dyDescent="0.2">
      <c r="B374" s="22" t="str">
        <f t="shared" si="468"/>
        <v>-</v>
      </c>
    </row>
    <row r="375" spans="2:2" x14ac:dyDescent="0.2">
      <c r="B375" s="22" t="str">
        <f t="shared" si="468"/>
        <v>-</v>
      </c>
    </row>
    <row r="376" spans="2:2" x14ac:dyDescent="0.2">
      <c r="B376" s="22" t="str">
        <f t="shared" si="468"/>
        <v>-</v>
      </c>
    </row>
    <row r="377" spans="2:2" x14ac:dyDescent="0.2">
      <c r="B377" s="22" t="str">
        <f t="shared" si="468"/>
        <v>-</v>
      </c>
    </row>
    <row r="378" spans="2:2" x14ac:dyDescent="0.2">
      <c r="B378" s="22" t="str">
        <f t="shared" si="468"/>
        <v>-</v>
      </c>
    </row>
    <row r="379" spans="2:2" x14ac:dyDescent="0.2">
      <c r="B379" s="22" t="str">
        <f t="shared" si="468"/>
        <v>-</v>
      </c>
    </row>
    <row r="380" spans="2:2" x14ac:dyDescent="0.2">
      <c r="B380" s="22" t="str">
        <f t="shared" si="468"/>
        <v>-</v>
      </c>
    </row>
    <row r="381" spans="2:2" x14ac:dyDescent="0.2">
      <c r="B381" s="22" t="str">
        <f t="shared" si="468"/>
        <v>-</v>
      </c>
    </row>
    <row r="382" spans="2:2" x14ac:dyDescent="0.2">
      <c r="B382" s="22" t="str">
        <f t="shared" si="468"/>
        <v>-</v>
      </c>
    </row>
    <row r="383" spans="2:2" x14ac:dyDescent="0.2">
      <c r="B383" s="22" t="str">
        <f t="shared" si="468"/>
        <v>-</v>
      </c>
    </row>
    <row r="384" spans="2:2" x14ac:dyDescent="0.2">
      <c r="B384" s="22" t="str">
        <f t="shared" si="468"/>
        <v>-</v>
      </c>
    </row>
    <row r="385" spans="2:2" x14ac:dyDescent="0.2">
      <c r="B385" s="22" t="str">
        <f t="shared" si="468"/>
        <v>-</v>
      </c>
    </row>
    <row r="386" spans="2:2" x14ac:dyDescent="0.2">
      <c r="B386" s="22" t="str">
        <f t="shared" si="468"/>
        <v>-</v>
      </c>
    </row>
    <row r="387" spans="2:2" x14ac:dyDescent="0.2">
      <c r="B387" s="22" t="str">
        <f t="shared" si="468"/>
        <v>-</v>
      </c>
    </row>
    <row r="388" spans="2:2" x14ac:dyDescent="0.2">
      <c r="B388" s="22" t="str">
        <f t="shared" ref="B388:B423" si="470">CONCATENATE(C388,"-",E552)</f>
        <v>-</v>
      </c>
    </row>
    <row r="389" spans="2:2" x14ac:dyDescent="0.2">
      <c r="B389" s="22" t="str">
        <f t="shared" si="470"/>
        <v>-</v>
      </c>
    </row>
    <row r="390" spans="2:2" x14ac:dyDescent="0.2">
      <c r="B390" s="22" t="str">
        <f t="shared" si="470"/>
        <v>-</v>
      </c>
    </row>
    <row r="391" spans="2:2" x14ac:dyDescent="0.2">
      <c r="B391" s="22" t="str">
        <f t="shared" si="470"/>
        <v>-</v>
      </c>
    </row>
    <row r="392" spans="2:2" x14ac:dyDescent="0.2">
      <c r="B392" s="22" t="str">
        <f t="shared" si="470"/>
        <v>-</v>
      </c>
    </row>
    <row r="393" spans="2:2" x14ac:dyDescent="0.2">
      <c r="B393" s="22" t="str">
        <f t="shared" si="470"/>
        <v>-</v>
      </c>
    </row>
    <row r="394" spans="2:2" x14ac:dyDescent="0.2">
      <c r="B394" s="22" t="str">
        <f t="shared" si="470"/>
        <v>-</v>
      </c>
    </row>
    <row r="395" spans="2:2" x14ac:dyDescent="0.2">
      <c r="B395" s="22" t="str">
        <f t="shared" si="470"/>
        <v>-</v>
      </c>
    </row>
    <row r="396" spans="2:2" x14ac:dyDescent="0.2">
      <c r="B396" s="22" t="str">
        <f t="shared" si="470"/>
        <v>-</v>
      </c>
    </row>
    <row r="397" spans="2:2" x14ac:dyDescent="0.2">
      <c r="B397" s="22" t="str">
        <f t="shared" si="470"/>
        <v>-</v>
      </c>
    </row>
    <row r="398" spans="2:2" x14ac:dyDescent="0.2">
      <c r="B398" s="22" t="str">
        <f t="shared" si="470"/>
        <v>-</v>
      </c>
    </row>
    <row r="399" spans="2:2" x14ac:dyDescent="0.2">
      <c r="B399" s="22" t="str">
        <f t="shared" si="470"/>
        <v>-</v>
      </c>
    </row>
    <row r="400" spans="2:2" x14ac:dyDescent="0.2">
      <c r="B400" s="22" t="str">
        <f t="shared" si="470"/>
        <v>-</v>
      </c>
    </row>
    <row r="401" spans="2:2" x14ac:dyDescent="0.2">
      <c r="B401" s="22" t="str">
        <f t="shared" si="470"/>
        <v>-</v>
      </c>
    </row>
    <row r="402" spans="2:2" x14ac:dyDescent="0.2">
      <c r="B402" s="22" t="str">
        <f t="shared" si="470"/>
        <v>-</v>
      </c>
    </row>
    <row r="403" spans="2:2" x14ac:dyDescent="0.2">
      <c r="B403" s="22" t="str">
        <f t="shared" si="470"/>
        <v>-</v>
      </c>
    </row>
    <row r="404" spans="2:2" x14ac:dyDescent="0.2">
      <c r="B404" s="22" t="str">
        <f t="shared" si="470"/>
        <v>-</v>
      </c>
    </row>
    <row r="405" spans="2:2" x14ac:dyDescent="0.2">
      <c r="B405" s="22" t="str">
        <f t="shared" si="470"/>
        <v>-</v>
      </c>
    </row>
    <row r="406" spans="2:2" x14ac:dyDescent="0.2">
      <c r="B406" s="22" t="str">
        <f t="shared" si="470"/>
        <v>-</v>
      </c>
    </row>
    <row r="407" spans="2:2" x14ac:dyDescent="0.2">
      <c r="B407" s="22" t="str">
        <f t="shared" si="470"/>
        <v>-</v>
      </c>
    </row>
    <row r="408" spans="2:2" x14ac:dyDescent="0.2">
      <c r="B408" s="22" t="str">
        <f t="shared" si="470"/>
        <v>-</v>
      </c>
    </row>
    <row r="409" spans="2:2" x14ac:dyDescent="0.2">
      <c r="B409" s="22" t="str">
        <f t="shared" si="470"/>
        <v>-</v>
      </c>
    </row>
    <row r="410" spans="2:2" x14ac:dyDescent="0.2">
      <c r="B410" s="22" t="str">
        <f t="shared" si="470"/>
        <v>-</v>
      </c>
    </row>
    <row r="411" spans="2:2" x14ac:dyDescent="0.2">
      <c r="B411" s="22" t="str">
        <f t="shared" si="470"/>
        <v>-</v>
      </c>
    </row>
    <row r="412" spans="2:2" x14ac:dyDescent="0.2">
      <c r="B412" s="22" t="str">
        <f t="shared" si="470"/>
        <v>-</v>
      </c>
    </row>
    <row r="413" spans="2:2" x14ac:dyDescent="0.2">
      <c r="B413" s="22" t="str">
        <f t="shared" si="470"/>
        <v>-</v>
      </c>
    </row>
    <row r="414" spans="2:2" x14ac:dyDescent="0.2">
      <c r="B414" s="22" t="str">
        <f t="shared" si="470"/>
        <v>-</v>
      </c>
    </row>
    <row r="415" spans="2:2" x14ac:dyDescent="0.2">
      <c r="B415" s="22" t="str">
        <f t="shared" si="470"/>
        <v>-</v>
      </c>
    </row>
    <row r="416" spans="2:2" x14ac:dyDescent="0.2">
      <c r="B416" s="22" t="str">
        <f t="shared" si="470"/>
        <v>-</v>
      </c>
    </row>
    <row r="417" spans="2:2" x14ac:dyDescent="0.2">
      <c r="B417" s="22" t="str">
        <f t="shared" si="470"/>
        <v>-</v>
      </c>
    </row>
    <row r="418" spans="2:2" x14ac:dyDescent="0.2">
      <c r="B418" s="22" t="str">
        <f t="shared" si="470"/>
        <v>-</v>
      </c>
    </row>
    <row r="419" spans="2:2" x14ac:dyDescent="0.2">
      <c r="B419" s="22" t="str">
        <f t="shared" si="470"/>
        <v>-</v>
      </c>
    </row>
    <row r="420" spans="2:2" x14ac:dyDescent="0.2">
      <c r="B420" s="22" t="str">
        <f t="shared" si="470"/>
        <v>-</v>
      </c>
    </row>
    <row r="421" spans="2:2" x14ac:dyDescent="0.2">
      <c r="B421" s="22" t="str">
        <f t="shared" si="470"/>
        <v>-</v>
      </c>
    </row>
    <row r="422" spans="2:2" x14ac:dyDescent="0.2">
      <c r="B422" s="22" t="str">
        <f t="shared" si="470"/>
        <v>-</v>
      </c>
    </row>
    <row r="423" spans="2:2" x14ac:dyDescent="0.2">
      <c r="B423" s="22" t="str">
        <f t="shared" si="470"/>
        <v>-</v>
      </c>
    </row>
  </sheetData>
  <autoFilter ref="A4:W423" xr:uid="{00000000-0009-0000-0000-000001000000}"/>
  <dataConsolidate/>
  <mergeCells count="117">
    <mergeCell ref="A349:A351"/>
    <mergeCell ref="A343:A345"/>
    <mergeCell ref="A346:A348"/>
    <mergeCell ref="A100:A102"/>
    <mergeCell ref="A118:A120"/>
    <mergeCell ref="A103:A105"/>
    <mergeCell ref="A173:A175"/>
    <mergeCell ref="A176:A178"/>
    <mergeCell ref="A168:A172"/>
    <mergeCell ref="A289:A291"/>
    <mergeCell ref="A283:A285"/>
    <mergeCell ref="A292:A294"/>
    <mergeCell ref="A286:A288"/>
    <mergeCell ref="A242:A244"/>
    <mergeCell ref="A206:A208"/>
    <mergeCell ref="A124:A126"/>
    <mergeCell ref="A136:A138"/>
    <mergeCell ref="A130:A132"/>
    <mergeCell ref="A133:A135"/>
    <mergeCell ref="A139:A142"/>
    <mergeCell ref="A179:A181"/>
    <mergeCell ref="A188:A190"/>
    <mergeCell ref="A197:A199"/>
    <mergeCell ref="A200:A202"/>
    <mergeCell ref="A191:A193"/>
    <mergeCell ref="A109:A111"/>
    <mergeCell ref="A313:A315"/>
    <mergeCell ref="A316:A318"/>
    <mergeCell ref="A261:A263"/>
    <mergeCell ref="A310:A312"/>
    <mergeCell ref="A307:A309"/>
    <mergeCell ref="A301:A303"/>
    <mergeCell ref="A304:A306"/>
    <mergeCell ref="A298:A300"/>
    <mergeCell ref="A295:A297"/>
    <mergeCell ref="A112:A114"/>
    <mergeCell ref="A115:A117"/>
    <mergeCell ref="A121:A123"/>
    <mergeCell ref="A203:A205"/>
    <mergeCell ref="A280:A282"/>
    <mergeCell ref="A274:A276"/>
    <mergeCell ref="A236:A238"/>
    <mergeCell ref="A277:A279"/>
    <mergeCell ref="A209:A212"/>
    <mergeCell ref="A258:A260"/>
    <mergeCell ref="A213:A215"/>
    <mergeCell ref="A248:A250"/>
    <mergeCell ref="A70:A72"/>
    <mergeCell ref="A73:A75"/>
    <mergeCell ref="A76:A78"/>
    <mergeCell ref="A97:A99"/>
    <mergeCell ref="A82:A84"/>
    <mergeCell ref="A85:A87"/>
    <mergeCell ref="A79:A81"/>
    <mergeCell ref="A88:A90"/>
    <mergeCell ref="A91:A93"/>
    <mergeCell ref="A94:A96"/>
    <mergeCell ref="A25:A27"/>
    <mergeCell ref="A28:A30"/>
    <mergeCell ref="A31:A33"/>
    <mergeCell ref="A34:A36"/>
    <mergeCell ref="A52:A54"/>
    <mergeCell ref="A55:A57"/>
    <mergeCell ref="A58:A60"/>
    <mergeCell ref="A67:A69"/>
    <mergeCell ref="A37:A39"/>
    <mergeCell ref="A40:A42"/>
    <mergeCell ref="A43:A48"/>
    <mergeCell ref="A49:A51"/>
    <mergeCell ref="A1:W1"/>
    <mergeCell ref="A2:W2"/>
    <mergeCell ref="A3:D3"/>
    <mergeCell ref="E3:R3"/>
    <mergeCell ref="A5:C5"/>
    <mergeCell ref="Q5:W5"/>
    <mergeCell ref="E5:P5"/>
    <mergeCell ref="A127:A129"/>
    <mergeCell ref="A165:A167"/>
    <mergeCell ref="A156:A158"/>
    <mergeCell ref="A159:A161"/>
    <mergeCell ref="A162:A164"/>
    <mergeCell ref="A150:A152"/>
    <mergeCell ref="A153:A155"/>
    <mergeCell ref="A147:A149"/>
    <mergeCell ref="A143:A146"/>
    <mergeCell ref="A6:A8"/>
    <mergeCell ref="A9:A11"/>
    <mergeCell ref="A12:A15"/>
    <mergeCell ref="A16:A18"/>
    <mergeCell ref="A64:A66"/>
    <mergeCell ref="A61:A63"/>
    <mergeCell ref="A19:A21"/>
    <mergeCell ref="A22:A24"/>
    <mergeCell ref="A106:A108"/>
    <mergeCell ref="A194:A196"/>
    <mergeCell ref="A337:A339"/>
    <mergeCell ref="A340:A342"/>
    <mergeCell ref="A334:A336"/>
    <mergeCell ref="A328:A330"/>
    <mergeCell ref="A331:A333"/>
    <mergeCell ref="A322:A324"/>
    <mergeCell ref="A252:A254"/>
    <mergeCell ref="A255:A257"/>
    <mergeCell ref="A216:A220"/>
    <mergeCell ref="A221:A223"/>
    <mergeCell ref="A224:A228"/>
    <mergeCell ref="A229:A232"/>
    <mergeCell ref="A233:A235"/>
    <mergeCell ref="A239:A241"/>
    <mergeCell ref="A264:A266"/>
    <mergeCell ref="A319:A321"/>
    <mergeCell ref="A325:A327"/>
    <mergeCell ref="A267:A269"/>
    <mergeCell ref="A270:A272"/>
    <mergeCell ref="A245:A247"/>
    <mergeCell ref="A182:A184"/>
    <mergeCell ref="A185:A187"/>
  </mergeCells>
  <phoneticPr fontId="11" type="noConversion"/>
  <conditionalFormatting sqref="B352:B65678 B1:B5">
    <cfRule type="duplicateValues" dxfId="479" priority="822" stopIfTrue="1"/>
  </conditionalFormatting>
  <conditionalFormatting sqref="B8">
    <cfRule type="duplicateValues" dxfId="478" priority="630" stopIfTrue="1"/>
  </conditionalFormatting>
  <conditionalFormatting sqref="B6:B11">
    <cfRule type="duplicateValues" dxfId="477" priority="829" stopIfTrue="1"/>
  </conditionalFormatting>
  <conditionalFormatting sqref="B11">
    <cfRule type="duplicateValues" dxfId="476" priority="830" stopIfTrue="1"/>
  </conditionalFormatting>
  <conditionalFormatting sqref="B9:B11">
    <cfRule type="duplicateValues" dxfId="475" priority="831" stopIfTrue="1"/>
  </conditionalFormatting>
  <conditionalFormatting sqref="B15">
    <cfRule type="duplicateValues" dxfId="474" priority="483" stopIfTrue="1"/>
  </conditionalFormatting>
  <conditionalFormatting sqref="B12:B13 B15:B18">
    <cfRule type="duplicateValues" dxfId="473" priority="484" stopIfTrue="1"/>
  </conditionalFormatting>
  <conditionalFormatting sqref="B18">
    <cfRule type="duplicateValues" dxfId="472" priority="485" stopIfTrue="1"/>
  </conditionalFormatting>
  <conditionalFormatting sqref="B16:B18">
    <cfRule type="duplicateValues" dxfId="471" priority="486" stopIfTrue="1"/>
  </conditionalFormatting>
  <conditionalFormatting sqref="B21">
    <cfRule type="duplicateValues" dxfId="470" priority="479" stopIfTrue="1"/>
  </conditionalFormatting>
  <conditionalFormatting sqref="B19:B24">
    <cfRule type="duplicateValues" dxfId="469" priority="480" stopIfTrue="1"/>
  </conditionalFormatting>
  <conditionalFormatting sqref="B24">
    <cfRule type="duplicateValues" dxfId="468" priority="481" stopIfTrue="1"/>
  </conditionalFormatting>
  <conditionalFormatting sqref="B22:B24">
    <cfRule type="duplicateValues" dxfId="467" priority="482" stopIfTrue="1"/>
  </conditionalFormatting>
  <conditionalFormatting sqref="B27">
    <cfRule type="duplicateValues" dxfId="466" priority="475" stopIfTrue="1"/>
  </conditionalFormatting>
  <conditionalFormatting sqref="B25:B30">
    <cfRule type="duplicateValues" dxfId="465" priority="476" stopIfTrue="1"/>
  </conditionalFormatting>
  <conditionalFormatting sqref="B30">
    <cfRule type="duplicateValues" dxfId="464" priority="477" stopIfTrue="1"/>
  </conditionalFormatting>
  <conditionalFormatting sqref="B28:B30">
    <cfRule type="duplicateValues" dxfId="463" priority="478" stopIfTrue="1"/>
  </conditionalFormatting>
  <conditionalFormatting sqref="B33">
    <cfRule type="duplicateValues" dxfId="462" priority="471" stopIfTrue="1"/>
  </conditionalFormatting>
  <conditionalFormatting sqref="B31:B33 B61:B63">
    <cfRule type="duplicateValues" dxfId="461" priority="472" stopIfTrue="1"/>
  </conditionalFormatting>
  <conditionalFormatting sqref="B63">
    <cfRule type="duplicateValues" dxfId="460" priority="473" stopIfTrue="1"/>
  </conditionalFormatting>
  <conditionalFormatting sqref="B61:B63">
    <cfRule type="duplicateValues" dxfId="459" priority="474" stopIfTrue="1"/>
  </conditionalFormatting>
  <conditionalFormatting sqref="B66">
    <cfRule type="duplicateValues" dxfId="458" priority="467" stopIfTrue="1"/>
  </conditionalFormatting>
  <conditionalFormatting sqref="B64:B69">
    <cfRule type="duplicateValues" dxfId="457" priority="468" stopIfTrue="1"/>
  </conditionalFormatting>
  <conditionalFormatting sqref="B69">
    <cfRule type="duplicateValues" dxfId="456" priority="469" stopIfTrue="1"/>
  </conditionalFormatting>
  <conditionalFormatting sqref="B67:B69">
    <cfRule type="duplicateValues" dxfId="455" priority="470" stopIfTrue="1"/>
  </conditionalFormatting>
  <conditionalFormatting sqref="B72">
    <cfRule type="duplicateValues" dxfId="454" priority="463" stopIfTrue="1"/>
  </conditionalFormatting>
  <conditionalFormatting sqref="B70:B75">
    <cfRule type="duplicateValues" dxfId="453" priority="464" stopIfTrue="1"/>
  </conditionalFormatting>
  <conditionalFormatting sqref="B75">
    <cfRule type="duplicateValues" dxfId="452" priority="465" stopIfTrue="1"/>
  </conditionalFormatting>
  <conditionalFormatting sqref="B73:B75">
    <cfRule type="duplicateValues" dxfId="451" priority="466" stopIfTrue="1"/>
  </conditionalFormatting>
  <conditionalFormatting sqref="B78">
    <cfRule type="duplicateValues" dxfId="450" priority="459" stopIfTrue="1"/>
  </conditionalFormatting>
  <conditionalFormatting sqref="B76:B81">
    <cfRule type="duplicateValues" dxfId="449" priority="460" stopIfTrue="1"/>
  </conditionalFormatting>
  <conditionalFormatting sqref="B81">
    <cfRule type="duplicateValues" dxfId="448" priority="461" stopIfTrue="1"/>
  </conditionalFormatting>
  <conditionalFormatting sqref="B79:B81">
    <cfRule type="duplicateValues" dxfId="447" priority="462" stopIfTrue="1"/>
  </conditionalFormatting>
  <conditionalFormatting sqref="B82:B84">
    <cfRule type="duplicateValues" dxfId="446" priority="456" stopIfTrue="1"/>
  </conditionalFormatting>
  <conditionalFormatting sqref="B84">
    <cfRule type="duplicateValues" dxfId="445" priority="457" stopIfTrue="1"/>
  </conditionalFormatting>
  <conditionalFormatting sqref="B82:B84">
    <cfRule type="duplicateValues" dxfId="444" priority="458" stopIfTrue="1"/>
  </conditionalFormatting>
  <conditionalFormatting sqref="B87">
    <cfRule type="duplicateValues" dxfId="443" priority="452" stopIfTrue="1"/>
  </conditionalFormatting>
  <conditionalFormatting sqref="B85:B90">
    <cfRule type="duplicateValues" dxfId="442" priority="453" stopIfTrue="1"/>
  </conditionalFormatting>
  <conditionalFormatting sqref="B90">
    <cfRule type="duplicateValues" dxfId="441" priority="454" stopIfTrue="1"/>
  </conditionalFormatting>
  <conditionalFormatting sqref="B88:B90">
    <cfRule type="duplicateValues" dxfId="440" priority="455" stopIfTrue="1"/>
  </conditionalFormatting>
  <conditionalFormatting sqref="B93">
    <cfRule type="duplicateValues" dxfId="439" priority="448" stopIfTrue="1"/>
  </conditionalFormatting>
  <conditionalFormatting sqref="B91:B96">
    <cfRule type="duplicateValues" dxfId="438" priority="449" stopIfTrue="1"/>
  </conditionalFormatting>
  <conditionalFormatting sqref="B96">
    <cfRule type="duplicateValues" dxfId="437" priority="450" stopIfTrue="1"/>
  </conditionalFormatting>
  <conditionalFormatting sqref="B94:B96">
    <cfRule type="duplicateValues" dxfId="436" priority="451" stopIfTrue="1"/>
  </conditionalFormatting>
  <conditionalFormatting sqref="B99">
    <cfRule type="duplicateValues" dxfId="435" priority="444" stopIfTrue="1"/>
  </conditionalFormatting>
  <conditionalFormatting sqref="B97:B102">
    <cfRule type="duplicateValues" dxfId="434" priority="445" stopIfTrue="1"/>
  </conditionalFormatting>
  <conditionalFormatting sqref="B102">
    <cfRule type="duplicateValues" dxfId="433" priority="446" stopIfTrue="1"/>
  </conditionalFormatting>
  <conditionalFormatting sqref="B100:B102">
    <cfRule type="duplicateValues" dxfId="432" priority="447" stopIfTrue="1"/>
  </conditionalFormatting>
  <conditionalFormatting sqref="B109:B111">
    <cfRule type="duplicateValues" dxfId="431" priority="441" stopIfTrue="1"/>
  </conditionalFormatting>
  <conditionalFormatting sqref="B111">
    <cfRule type="duplicateValues" dxfId="430" priority="442" stopIfTrue="1"/>
  </conditionalFormatting>
  <conditionalFormatting sqref="B109:B111">
    <cfRule type="duplicateValues" dxfId="429" priority="443" stopIfTrue="1"/>
  </conditionalFormatting>
  <conditionalFormatting sqref="B114">
    <cfRule type="duplicateValues" dxfId="428" priority="437" stopIfTrue="1"/>
  </conditionalFormatting>
  <conditionalFormatting sqref="B112:B117">
    <cfRule type="duplicateValues" dxfId="427" priority="438" stopIfTrue="1"/>
  </conditionalFormatting>
  <conditionalFormatting sqref="B117">
    <cfRule type="duplicateValues" dxfId="426" priority="439" stopIfTrue="1"/>
  </conditionalFormatting>
  <conditionalFormatting sqref="B115:B117">
    <cfRule type="duplicateValues" dxfId="425" priority="440" stopIfTrue="1"/>
  </conditionalFormatting>
  <conditionalFormatting sqref="B120">
    <cfRule type="duplicateValues" dxfId="424" priority="433" stopIfTrue="1"/>
  </conditionalFormatting>
  <conditionalFormatting sqref="B118:B123">
    <cfRule type="duplicateValues" dxfId="423" priority="434" stopIfTrue="1"/>
  </conditionalFormatting>
  <conditionalFormatting sqref="B123">
    <cfRule type="duplicateValues" dxfId="422" priority="435" stopIfTrue="1"/>
  </conditionalFormatting>
  <conditionalFormatting sqref="B121:B123">
    <cfRule type="duplicateValues" dxfId="421" priority="436" stopIfTrue="1"/>
  </conditionalFormatting>
  <conditionalFormatting sqref="B124:B126">
    <cfRule type="duplicateValues" dxfId="420" priority="430" stopIfTrue="1"/>
  </conditionalFormatting>
  <conditionalFormatting sqref="B126">
    <cfRule type="duplicateValues" dxfId="419" priority="431" stopIfTrue="1"/>
  </conditionalFormatting>
  <conditionalFormatting sqref="B124:B126">
    <cfRule type="duplicateValues" dxfId="418" priority="432" stopIfTrue="1"/>
  </conditionalFormatting>
  <conditionalFormatting sqref="B127:B129">
    <cfRule type="duplicateValues" dxfId="417" priority="427" stopIfTrue="1"/>
  </conditionalFormatting>
  <conditionalFormatting sqref="B129">
    <cfRule type="duplicateValues" dxfId="416" priority="428" stopIfTrue="1"/>
  </conditionalFormatting>
  <conditionalFormatting sqref="B127:B129">
    <cfRule type="duplicateValues" dxfId="415" priority="429" stopIfTrue="1"/>
  </conditionalFormatting>
  <conditionalFormatting sqref="B130:B132">
    <cfRule type="duplicateValues" dxfId="414" priority="424" stopIfTrue="1"/>
  </conditionalFormatting>
  <conditionalFormatting sqref="B132">
    <cfRule type="duplicateValues" dxfId="413" priority="425" stopIfTrue="1"/>
  </conditionalFormatting>
  <conditionalFormatting sqref="B130:B132">
    <cfRule type="duplicateValues" dxfId="412" priority="426" stopIfTrue="1"/>
  </conditionalFormatting>
  <conditionalFormatting sqref="B133:B135">
    <cfRule type="duplicateValues" dxfId="411" priority="421" stopIfTrue="1"/>
  </conditionalFormatting>
  <conditionalFormatting sqref="B135">
    <cfRule type="duplicateValues" dxfId="410" priority="422" stopIfTrue="1"/>
  </conditionalFormatting>
  <conditionalFormatting sqref="B133:B135">
    <cfRule type="duplicateValues" dxfId="409" priority="423" stopIfTrue="1"/>
  </conditionalFormatting>
  <conditionalFormatting sqref="B136:B138">
    <cfRule type="duplicateValues" dxfId="408" priority="418" stopIfTrue="1"/>
  </conditionalFormatting>
  <conditionalFormatting sqref="B138">
    <cfRule type="duplicateValues" dxfId="407" priority="419" stopIfTrue="1"/>
  </conditionalFormatting>
  <conditionalFormatting sqref="B136:B138">
    <cfRule type="duplicateValues" dxfId="406" priority="420" stopIfTrue="1"/>
  </conditionalFormatting>
  <conditionalFormatting sqref="B139:B140 B142">
    <cfRule type="duplicateValues" dxfId="405" priority="412" stopIfTrue="1"/>
  </conditionalFormatting>
  <conditionalFormatting sqref="B142">
    <cfRule type="duplicateValues" dxfId="404" priority="413" stopIfTrue="1"/>
  </conditionalFormatting>
  <conditionalFormatting sqref="B139:B140">
    <cfRule type="duplicateValues" dxfId="403" priority="414" stopIfTrue="1"/>
  </conditionalFormatting>
  <conditionalFormatting sqref="B143:B144 B146">
    <cfRule type="duplicateValues" dxfId="402" priority="409" stopIfTrue="1"/>
  </conditionalFormatting>
  <conditionalFormatting sqref="B146">
    <cfRule type="duplicateValues" dxfId="401" priority="410" stopIfTrue="1"/>
  </conditionalFormatting>
  <conditionalFormatting sqref="B143:B144">
    <cfRule type="duplicateValues" dxfId="400" priority="411" stopIfTrue="1"/>
  </conditionalFormatting>
  <conditionalFormatting sqref="B36">
    <cfRule type="duplicateValues" dxfId="399" priority="407" stopIfTrue="1"/>
  </conditionalFormatting>
  <conditionalFormatting sqref="B34:B36">
    <cfRule type="duplicateValues" dxfId="398" priority="408" stopIfTrue="1"/>
  </conditionalFormatting>
  <conditionalFormatting sqref="B39">
    <cfRule type="duplicateValues" dxfId="397" priority="405" stopIfTrue="1"/>
  </conditionalFormatting>
  <conditionalFormatting sqref="B37:B39">
    <cfRule type="duplicateValues" dxfId="396" priority="406" stopIfTrue="1"/>
  </conditionalFormatting>
  <conditionalFormatting sqref="B42">
    <cfRule type="duplicateValues" dxfId="395" priority="403" stopIfTrue="1"/>
  </conditionalFormatting>
  <conditionalFormatting sqref="B40:B42">
    <cfRule type="duplicateValues" dxfId="394" priority="404" stopIfTrue="1"/>
  </conditionalFormatting>
  <conditionalFormatting sqref="B48">
    <cfRule type="duplicateValues" dxfId="393" priority="401" stopIfTrue="1"/>
  </conditionalFormatting>
  <conditionalFormatting sqref="B43:B44 B48">
    <cfRule type="duplicateValues" dxfId="392" priority="402" stopIfTrue="1"/>
  </conditionalFormatting>
  <conditionalFormatting sqref="B51">
    <cfRule type="duplicateValues" dxfId="391" priority="399" stopIfTrue="1"/>
  </conditionalFormatting>
  <conditionalFormatting sqref="B49:B51">
    <cfRule type="duplicateValues" dxfId="390" priority="400" stopIfTrue="1"/>
  </conditionalFormatting>
  <conditionalFormatting sqref="B54">
    <cfRule type="duplicateValues" dxfId="389" priority="397" stopIfTrue="1"/>
  </conditionalFormatting>
  <conditionalFormatting sqref="B52:B54">
    <cfRule type="duplicateValues" dxfId="388" priority="398" stopIfTrue="1"/>
  </conditionalFormatting>
  <conditionalFormatting sqref="B57">
    <cfRule type="duplicateValues" dxfId="387" priority="395" stopIfTrue="1"/>
  </conditionalFormatting>
  <conditionalFormatting sqref="B55:B57">
    <cfRule type="duplicateValues" dxfId="386" priority="396" stopIfTrue="1"/>
  </conditionalFormatting>
  <conditionalFormatting sqref="B60">
    <cfRule type="duplicateValues" dxfId="385" priority="393" stopIfTrue="1"/>
  </conditionalFormatting>
  <conditionalFormatting sqref="B58:B60">
    <cfRule type="duplicateValues" dxfId="384" priority="394" stopIfTrue="1"/>
  </conditionalFormatting>
  <conditionalFormatting sqref="B352:B1048576 B1:B13 B146 B15:B44 B142:B144 B109:B140 B48:B102">
    <cfRule type="duplicateValues" dxfId="383" priority="392"/>
  </conditionalFormatting>
  <conditionalFormatting sqref="B147:B149">
    <cfRule type="duplicateValues" dxfId="382" priority="389" stopIfTrue="1"/>
  </conditionalFormatting>
  <conditionalFormatting sqref="B149">
    <cfRule type="duplicateValues" dxfId="381" priority="390" stopIfTrue="1"/>
  </conditionalFormatting>
  <conditionalFormatting sqref="B147:B149">
    <cfRule type="duplicateValues" dxfId="380" priority="391" stopIfTrue="1"/>
  </conditionalFormatting>
  <conditionalFormatting sqref="B147:B149">
    <cfRule type="duplicateValues" dxfId="379" priority="388"/>
  </conditionalFormatting>
  <conditionalFormatting sqref="B252:B254">
    <cfRule type="duplicateValues" dxfId="378" priority="385" stopIfTrue="1"/>
  </conditionalFormatting>
  <conditionalFormatting sqref="B254">
    <cfRule type="duplicateValues" dxfId="377" priority="386" stopIfTrue="1"/>
  </conditionalFormatting>
  <conditionalFormatting sqref="B252:B254">
    <cfRule type="duplicateValues" dxfId="376" priority="387" stopIfTrue="1"/>
  </conditionalFormatting>
  <conditionalFormatting sqref="B252:B254">
    <cfRule type="duplicateValues" dxfId="375" priority="384"/>
  </conditionalFormatting>
  <conditionalFormatting sqref="B153:B155">
    <cfRule type="duplicateValues" dxfId="374" priority="381" stopIfTrue="1"/>
  </conditionalFormatting>
  <conditionalFormatting sqref="B155">
    <cfRule type="duplicateValues" dxfId="373" priority="382" stopIfTrue="1"/>
  </conditionalFormatting>
  <conditionalFormatting sqref="B153:B155">
    <cfRule type="duplicateValues" dxfId="372" priority="383" stopIfTrue="1"/>
  </conditionalFormatting>
  <conditionalFormatting sqref="B156:B158">
    <cfRule type="duplicateValues" dxfId="371" priority="378" stopIfTrue="1"/>
  </conditionalFormatting>
  <conditionalFormatting sqref="B158">
    <cfRule type="duplicateValues" dxfId="370" priority="379" stopIfTrue="1"/>
  </conditionalFormatting>
  <conditionalFormatting sqref="B156:B158">
    <cfRule type="duplicateValues" dxfId="369" priority="380" stopIfTrue="1"/>
  </conditionalFormatting>
  <conditionalFormatting sqref="B159:B161">
    <cfRule type="duplicateValues" dxfId="368" priority="375" stopIfTrue="1"/>
  </conditionalFormatting>
  <conditionalFormatting sqref="B161">
    <cfRule type="duplicateValues" dxfId="367" priority="376" stopIfTrue="1"/>
  </conditionalFormatting>
  <conditionalFormatting sqref="B159:B161">
    <cfRule type="duplicateValues" dxfId="366" priority="377" stopIfTrue="1"/>
  </conditionalFormatting>
  <conditionalFormatting sqref="B162:B164">
    <cfRule type="duplicateValues" dxfId="365" priority="372" stopIfTrue="1"/>
  </conditionalFormatting>
  <conditionalFormatting sqref="B164">
    <cfRule type="duplicateValues" dxfId="364" priority="373" stopIfTrue="1"/>
  </conditionalFormatting>
  <conditionalFormatting sqref="B162:B164">
    <cfRule type="duplicateValues" dxfId="363" priority="374" stopIfTrue="1"/>
  </conditionalFormatting>
  <conditionalFormatting sqref="B153:B164">
    <cfRule type="duplicateValues" dxfId="362" priority="371"/>
  </conditionalFormatting>
  <conditionalFormatting sqref="B165:B167">
    <cfRule type="duplicateValues" dxfId="361" priority="368" stopIfTrue="1"/>
  </conditionalFormatting>
  <conditionalFormatting sqref="B167">
    <cfRule type="duplicateValues" dxfId="360" priority="369" stopIfTrue="1"/>
  </conditionalFormatting>
  <conditionalFormatting sqref="B165:B167">
    <cfRule type="duplicateValues" dxfId="359" priority="370" stopIfTrue="1"/>
  </conditionalFormatting>
  <conditionalFormatting sqref="B165:B167">
    <cfRule type="duplicateValues" dxfId="358" priority="367"/>
  </conditionalFormatting>
  <conditionalFormatting sqref="B168:B169 B172">
    <cfRule type="duplicateValues" dxfId="357" priority="356" stopIfTrue="1"/>
  </conditionalFormatting>
  <conditionalFormatting sqref="B172">
    <cfRule type="duplicateValues" dxfId="356" priority="357" stopIfTrue="1"/>
  </conditionalFormatting>
  <conditionalFormatting sqref="B168:B169">
    <cfRule type="duplicateValues" dxfId="355" priority="358" stopIfTrue="1"/>
  </conditionalFormatting>
  <conditionalFormatting sqref="B168:B169 B172">
    <cfRule type="duplicateValues" dxfId="354" priority="355"/>
  </conditionalFormatting>
  <conditionalFormatting sqref="B173:B175 B251">
    <cfRule type="duplicateValues" dxfId="353" priority="352" stopIfTrue="1"/>
  </conditionalFormatting>
  <conditionalFormatting sqref="B175 B251">
    <cfRule type="duplicateValues" dxfId="352" priority="353" stopIfTrue="1"/>
  </conditionalFormatting>
  <conditionalFormatting sqref="B173:B175">
    <cfRule type="duplicateValues" dxfId="351" priority="354" stopIfTrue="1"/>
  </conditionalFormatting>
  <conditionalFormatting sqref="B173:B175 B251">
    <cfRule type="duplicateValues" dxfId="350" priority="351"/>
  </conditionalFormatting>
  <conditionalFormatting sqref="B274:B276">
    <cfRule type="duplicateValues" dxfId="349" priority="348" stopIfTrue="1"/>
  </conditionalFormatting>
  <conditionalFormatting sqref="B276">
    <cfRule type="duplicateValues" dxfId="348" priority="349" stopIfTrue="1"/>
  </conditionalFormatting>
  <conditionalFormatting sqref="B274:B276">
    <cfRule type="duplicateValues" dxfId="347" priority="350" stopIfTrue="1"/>
  </conditionalFormatting>
  <conditionalFormatting sqref="B274:B276">
    <cfRule type="duplicateValues" dxfId="346" priority="347"/>
  </conditionalFormatting>
  <conditionalFormatting sqref="B273">
    <cfRule type="duplicateValues" dxfId="345" priority="344" stopIfTrue="1"/>
  </conditionalFormatting>
  <conditionalFormatting sqref="B273">
    <cfRule type="duplicateValues" dxfId="344" priority="345" stopIfTrue="1"/>
  </conditionalFormatting>
  <conditionalFormatting sqref="B273">
    <cfRule type="duplicateValues" dxfId="343" priority="346" stopIfTrue="1"/>
  </conditionalFormatting>
  <conditionalFormatting sqref="B273">
    <cfRule type="duplicateValues" dxfId="342" priority="343"/>
  </conditionalFormatting>
  <conditionalFormatting sqref="B145">
    <cfRule type="duplicateValues" dxfId="341" priority="340" stopIfTrue="1"/>
  </conditionalFormatting>
  <conditionalFormatting sqref="B145">
    <cfRule type="duplicateValues" dxfId="340" priority="341" stopIfTrue="1"/>
  </conditionalFormatting>
  <conditionalFormatting sqref="B145">
    <cfRule type="duplicateValues" dxfId="339" priority="342" stopIfTrue="1"/>
  </conditionalFormatting>
  <conditionalFormatting sqref="B145">
    <cfRule type="duplicateValues" dxfId="338" priority="339"/>
  </conditionalFormatting>
  <conditionalFormatting sqref="B277:B279">
    <cfRule type="duplicateValues" dxfId="337" priority="336" stopIfTrue="1"/>
  </conditionalFormatting>
  <conditionalFormatting sqref="B279">
    <cfRule type="duplicateValues" dxfId="336" priority="337" stopIfTrue="1"/>
  </conditionalFormatting>
  <conditionalFormatting sqref="B277:B279">
    <cfRule type="duplicateValues" dxfId="335" priority="338" stopIfTrue="1"/>
  </conditionalFormatting>
  <conditionalFormatting sqref="B277:B279">
    <cfRule type="duplicateValues" dxfId="334" priority="335"/>
  </conditionalFormatting>
  <conditionalFormatting sqref="B14">
    <cfRule type="duplicateValues" dxfId="333" priority="333" stopIfTrue="1"/>
  </conditionalFormatting>
  <conditionalFormatting sqref="B14">
    <cfRule type="duplicateValues" dxfId="332" priority="334" stopIfTrue="1"/>
  </conditionalFormatting>
  <conditionalFormatting sqref="B14">
    <cfRule type="duplicateValues" dxfId="331" priority="332"/>
  </conditionalFormatting>
  <conditionalFormatting sqref="B176:B178">
    <cfRule type="duplicateValues" dxfId="330" priority="329" stopIfTrue="1"/>
  </conditionalFormatting>
  <conditionalFormatting sqref="B178">
    <cfRule type="duplicateValues" dxfId="329" priority="330" stopIfTrue="1"/>
  </conditionalFormatting>
  <conditionalFormatting sqref="B176:B178">
    <cfRule type="duplicateValues" dxfId="328" priority="331" stopIfTrue="1"/>
  </conditionalFormatting>
  <conditionalFormatting sqref="B176:B178">
    <cfRule type="duplicateValues" dxfId="327" priority="328"/>
  </conditionalFormatting>
  <conditionalFormatting sqref="B188:B190">
    <cfRule type="duplicateValues" dxfId="326" priority="325" stopIfTrue="1"/>
  </conditionalFormatting>
  <conditionalFormatting sqref="B190">
    <cfRule type="duplicateValues" dxfId="325" priority="326" stopIfTrue="1"/>
  </conditionalFormatting>
  <conditionalFormatting sqref="B188:B190">
    <cfRule type="duplicateValues" dxfId="324" priority="327" stopIfTrue="1"/>
  </conditionalFormatting>
  <conditionalFormatting sqref="B188:B190">
    <cfRule type="duplicateValues" dxfId="323" priority="324"/>
  </conditionalFormatting>
  <conditionalFormatting sqref="B352:B1048576 B1:B44 B153:B169 B188:B190 B273:B279 B251:B254 B142:B149 B109:B140 B48:B102 B172:B178">
    <cfRule type="duplicateValues" dxfId="322" priority="323"/>
  </conditionalFormatting>
  <conditionalFormatting sqref="B280:B282">
    <cfRule type="duplicateValues" dxfId="321" priority="320" stopIfTrue="1"/>
  </conditionalFormatting>
  <conditionalFormatting sqref="B282">
    <cfRule type="duplicateValues" dxfId="320" priority="321" stopIfTrue="1"/>
  </conditionalFormatting>
  <conditionalFormatting sqref="B280:B282">
    <cfRule type="duplicateValues" dxfId="319" priority="322" stopIfTrue="1"/>
  </conditionalFormatting>
  <conditionalFormatting sqref="B280:B282">
    <cfRule type="duplicateValues" dxfId="318" priority="319"/>
  </conditionalFormatting>
  <conditionalFormatting sqref="B280:B282">
    <cfRule type="duplicateValues" dxfId="317" priority="318"/>
  </conditionalFormatting>
  <conditionalFormatting sqref="B150:B152">
    <cfRule type="duplicateValues" dxfId="316" priority="315" stopIfTrue="1"/>
  </conditionalFormatting>
  <conditionalFormatting sqref="B152">
    <cfRule type="duplicateValues" dxfId="315" priority="316" stopIfTrue="1"/>
  </conditionalFormatting>
  <conditionalFormatting sqref="B150:B152">
    <cfRule type="duplicateValues" dxfId="314" priority="317" stopIfTrue="1"/>
  </conditionalFormatting>
  <conditionalFormatting sqref="B150:B152">
    <cfRule type="duplicateValues" dxfId="313" priority="314"/>
  </conditionalFormatting>
  <conditionalFormatting sqref="B150:B152">
    <cfRule type="duplicateValues" dxfId="312" priority="313"/>
  </conditionalFormatting>
  <conditionalFormatting sqref="B179:B181">
    <cfRule type="duplicateValues" dxfId="311" priority="310" stopIfTrue="1"/>
  </conditionalFormatting>
  <conditionalFormatting sqref="B181">
    <cfRule type="duplicateValues" dxfId="310" priority="311" stopIfTrue="1"/>
  </conditionalFormatting>
  <conditionalFormatting sqref="B179:B181">
    <cfRule type="duplicateValues" dxfId="309" priority="312" stopIfTrue="1"/>
  </conditionalFormatting>
  <conditionalFormatting sqref="B179:B181">
    <cfRule type="duplicateValues" dxfId="308" priority="309"/>
  </conditionalFormatting>
  <conditionalFormatting sqref="B179:B181">
    <cfRule type="duplicateValues" dxfId="307" priority="308"/>
  </conditionalFormatting>
  <conditionalFormatting sqref="B255:B257">
    <cfRule type="duplicateValues" dxfId="306" priority="305" stopIfTrue="1"/>
  </conditionalFormatting>
  <conditionalFormatting sqref="B257">
    <cfRule type="duplicateValues" dxfId="305" priority="306" stopIfTrue="1"/>
  </conditionalFormatting>
  <conditionalFormatting sqref="B255:B257">
    <cfRule type="duplicateValues" dxfId="304" priority="307" stopIfTrue="1"/>
  </conditionalFormatting>
  <conditionalFormatting sqref="B255:B257">
    <cfRule type="duplicateValues" dxfId="303" priority="304"/>
  </conditionalFormatting>
  <conditionalFormatting sqref="B255:B257">
    <cfRule type="duplicateValues" dxfId="302" priority="303"/>
  </conditionalFormatting>
  <conditionalFormatting sqref="B283:B285">
    <cfRule type="duplicateValues" dxfId="301" priority="300" stopIfTrue="1"/>
  </conditionalFormatting>
  <conditionalFormatting sqref="B285">
    <cfRule type="duplicateValues" dxfId="300" priority="301" stopIfTrue="1"/>
  </conditionalFormatting>
  <conditionalFormatting sqref="B283:B285">
    <cfRule type="duplicateValues" dxfId="299" priority="302" stopIfTrue="1"/>
  </conditionalFormatting>
  <conditionalFormatting sqref="B283:B285">
    <cfRule type="duplicateValues" dxfId="298" priority="299"/>
  </conditionalFormatting>
  <conditionalFormatting sqref="B283:B285">
    <cfRule type="duplicateValues" dxfId="297" priority="298"/>
  </conditionalFormatting>
  <conditionalFormatting sqref="B286:B288">
    <cfRule type="duplicateValues" dxfId="296" priority="295" stopIfTrue="1"/>
  </conditionalFormatting>
  <conditionalFormatting sqref="B288">
    <cfRule type="duplicateValues" dxfId="295" priority="296" stopIfTrue="1"/>
  </conditionalFormatting>
  <conditionalFormatting sqref="B286:B288">
    <cfRule type="duplicateValues" dxfId="294" priority="297" stopIfTrue="1"/>
  </conditionalFormatting>
  <conditionalFormatting sqref="B286:B288">
    <cfRule type="duplicateValues" dxfId="293" priority="294"/>
  </conditionalFormatting>
  <conditionalFormatting sqref="B286:B288">
    <cfRule type="duplicateValues" dxfId="292" priority="293"/>
  </conditionalFormatting>
  <conditionalFormatting sqref="B289:B291">
    <cfRule type="duplicateValues" dxfId="291" priority="290" stopIfTrue="1"/>
  </conditionalFormatting>
  <conditionalFormatting sqref="B291">
    <cfRule type="duplicateValues" dxfId="290" priority="291" stopIfTrue="1"/>
  </conditionalFormatting>
  <conditionalFormatting sqref="B289:B291">
    <cfRule type="duplicateValues" dxfId="289" priority="292" stopIfTrue="1"/>
  </conditionalFormatting>
  <conditionalFormatting sqref="B289:B291">
    <cfRule type="duplicateValues" dxfId="288" priority="289"/>
  </conditionalFormatting>
  <conditionalFormatting sqref="B289:B291">
    <cfRule type="duplicateValues" dxfId="287" priority="288"/>
  </conditionalFormatting>
  <conditionalFormatting sqref="B191:B193">
    <cfRule type="duplicateValues" dxfId="286" priority="285" stopIfTrue="1"/>
  </conditionalFormatting>
  <conditionalFormatting sqref="B193">
    <cfRule type="duplicateValues" dxfId="285" priority="286" stopIfTrue="1"/>
  </conditionalFormatting>
  <conditionalFormatting sqref="B191:B193">
    <cfRule type="duplicateValues" dxfId="284" priority="287" stopIfTrue="1"/>
  </conditionalFormatting>
  <conditionalFormatting sqref="B191:B193">
    <cfRule type="duplicateValues" dxfId="283" priority="284"/>
  </conditionalFormatting>
  <conditionalFormatting sqref="B191:B193">
    <cfRule type="duplicateValues" dxfId="282" priority="283"/>
  </conditionalFormatting>
  <conditionalFormatting sqref="B197:B199">
    <cfRule type="duplicateValues" dxfId="281" priority="280" stopIfTrue="1"/>
  </conditionalFormatting>
  <conditionalFormatting sqref="B199">
    <cfRule type="duplicateValues" dxfId="280" priority="281" stopIfTrue="1"/>
  </conditionalFormatting>
  <conditionalFormatting sqref="B197:B199">
    <cfRule type="duplicateValues" dxfId="279" priority="282" stopIfTrue="1"/>
  </conditionalFormatting>
  <conditionalFormatting sqref="B197:B199">
    <cfRule type="duplicateValues" dxfId="278" priority="279"/>
  </conditionalFormatting>
  <conditionalFormatting sqref="B197:B199">
    <cfRule type="duplicateValues" dxfId="277" priority="278"/>
  </conditionalFormatting>
  <conditionalFormatting sqref="B200:B202">
    <cfRule type="duplicateValues" dxfId="276" priority="275" stopIfTrue="1"/>
  </conditionalFormatting>
  <conditionalFormatting sqref="B202">
    <cfRule type="duplicateValues" dxfId="275" priority="276" stopIfTrue="1"/>
  </conditionalFormatting>
  <conditionalFormatting sqref="B200:B202">
    <cfRule type="duplicateValues" dxfId="274" priority="277" stopIfTrue="1"/>
  </conditionalFormatting>
  <conditionalFormatting sqref="B200:B202">
    <cfRule type="duplicateValues" dxfId="273" priority="274"/>
  </conditionalFormatting>
  <conditionalFormatting sqref="B200:B202">
    <cfRule type="duplicateValues" dxfId="272" priority="273"/>
  </conditionalFormatting>
  <conditionalFormatting sqref="B182:B184">
    <cfRule type="duplicateValues" dxfId="271" priority="270" stopIfTrue="1"/>
  </conditionalFormatting>
  <conditionalFormatting sqref="B184">
    <cfRule type="duplicateValues" dxfId="270" priority="271" stopIfTrue="1"/>
  </conditionalFormatting>
  <conditionalFormatting sqref="B182:B184">
    <cfRule type="duplicateValues" dxfId="269" priority="272" stopIfTrue="1"/>
  </conditionalFormatting>
  <conditionalFormatting sqref="B182:B184">
    <cfRule type="duplicateValues" dxfId="268" priority="269"/>
  </conditionalFormatting>
  <conditionalFormatting sqref="B182:B184">
    <cfRule type="duplicateValues" dxfId="267" priority="268"/>
  </conditionalFormatting>
  <conditionalFormatting sqref="B185:B187">
    <cfRule type="duplicateValues" dxfId="266" priority="265" stopIfTrue="1"/>
  </conditionalFormatting>
  <conditionalFormatting sqref="B187">
    <cfRule type="duplicateValues" dxfId="265" priority="266" stopIfTrue="1"/>
  </conditionalFormatting>
  <conditionalFormatting sqref="B185:B187">
    <cfRule type="duplicateValues" dxfId="264" priority="267" stopIfTrue="1"/>
  </conditionalFormatting>
  <conditionalFormatting sqref="B185:B187">
    <cfRule type="duplicateValues" dxfId="263" priority="264"/>
  </conditionalFormatting>
  <conditionalFormatting sqref="B185:B187">
    <cfRule type="duplicateValues" dxfId="262" priority="263"/>
  </conditionalFormatting>
  <conditionalFormatting sqref="B141">
    <cfRule type="duplicateValues" dxfId="261" priority="260" stopIfTrue="1"/>
  </conditionalFormatting>
  <conditionalFormatting sqref="B141">
    <cfRule type="duplicateValues" dxfId="260" priority="261" stopIfTrue="1"/>
  </conditionalFormatting>
  <conditionalFormatting sqref="B141">
    <cfRule type="duplicateValues" dxfId="259" priority="262" stopIfTrue="1"/>
  </conditionalFormatting>
  <conditionalFormatting sqref="B141">
    <cfRule type="duplicateValues" dxfId="258" priority="259"/>
  </conditionalFormatting>
  <conditionalFormatting sqref="B141">
    <cfRule type="duplicateValues" dxfId="257" priority="258"/>
  </conditionalFormatting>
  <conditionalFormatting sqref="B203:B205">
    <cfRule type="duplicateValues" dxfId="256" priority="255" stopIfTrue="1"/>
  </conditionalFormatting>
  <conditionalFormatting sqref="B205">
    <cfRule type="duplicateValues" dxfId="255" priority="256" stopIfTrue="1"/>
  </conditionalFormatting>
  <conditionalFormatting sqref="B203:B205">
    <cfRule type="duplicateValues" dxfId="254" priority="257" stopIfTrue="1"/>
  </conditionalFormatting>
  <conditionalFormatting sqref="B203:B205">
    <cfRule type="duplicateValues" dxfId="253" priority="254"/>
  </conditionalFormatting>
  <conditionalFormatting sqref="B203:B205">
    <cfRule type="duplicateValues" dxfId="252" priority="253"/>
  </conditionalFormatting>
  <conditionalFormatting sqref="B206:B208">
    <cfRule type="duplicateValues" dxfId="251" priority="250" stopIfTrue="1"/>
  </conditionalFormatting>
  <conditionalFormatting sqref="B208">
    <cfRule type="duplicateValues" dxfId="250" priority="251" stopIfTrue="1"/>
  </conditionalFormatting>
  <conditionalFormatting sqref="B206:B208">
    <cfRule type="duplicateValues" dxfId="249" priority="252" stopIfTrue="1"/>
  </conditionalFormatting>
  <conditionalFormatting sqref="B206:B208">
    <cfRule type="duplicateValues" dxfId="248" priority="249"/>
  </conditionalFormatting>
  <conditionalFormatting sqref="B206:B208">
    <cfRule type="duplicateValues" dxfId="247" priority="248"/>
  </conditionalFormatting>
  <conditionalFormatting sqref="B292:B294">
    <cfRule type="duplicateValues" dxfId="246" priority="245" stopIfTrue="1"/>
  </conditionalFormatting>
  <conditionalFormatting sqref="B294">
    <cfRule type="duplicateValues" dxfId="245" priority="246" stopIfTrue="1"/>
  </conditionalFormatting>
  <conditionalFormatting sqref="B292:B294">
    <cfRule type="duplicateValues" dxfId="244" priority="247" stopIfTrue="1"/>
  </conditionalFormatting>
  <conditionalFormatting sqref="B292:B294">
    <cfRule type="duplicateValues" dxfId="243" priority="244"/>
  </conditionalFormatting>
  <conditionalFormatting sqref="B292:B294">
    <cfRule type="duplicateValues" dxfId="242" priority="243"/>
  </conditionalFormatting>
  <conditionalFormatting sqref="B209:B210 B212">
    <cfRule type="duplicateValues" dxfId="241" priority="240" stopIfTrue="1"/>
  </conditionalFormatting>
  <conditionalFormatting sqref="B212">
    <cfRule type="duplicateValues" dxfId="240" priority="241" stopIfTrue="1"/>
  </conditionalFormatting>
  <conditionalFormatting sqref="B209:B210">
    <cfRule type="duplicateValues" dxfId="239" priority="242" stopIfTrue="1"/>
  </conditionalFormatting>
  <conditionalFormatting sqref="B209:B210 B212">
    <cfRule type="duplicateValues" dxfId="238" priority="239"/>
  </conditionalFormatting>
  <conditionalFormatting sqref="B209:B210">
    <cfRule type="duplicateValues" dxfId="237" priority="238"/>
  </conditionalFormatting>
  <conditionalFormatting sqref="B258:B260">
    <cfRule type="duplicateValues" dxfId="236" priority="235" stopIfTrue="1"/>
  </conditionalFormatting>
  <conditionalFormatting sqref="B260">
    <cfRule type="duplicateValues" dxfId="235" priority="236" stopIfTrue="1"/>
  </conditionalFormatting>
  <conditionalFormatting sqref="B258:B260">
    <cfRule type="duplicateValues" dxfId="234" priority="237" stopIfTrue="1"/>
  </conditionalFormatting>
  <conditionalFormatting sqref="B258:B260">
    <cfRule type="duplicateValues" dxfId="233" priority="234"/>
  </conditionalFormatting>
  <conditionalFormatting sqref="B258:B260">
    <cfRule type="duplicateValues" dxfId="232" priority="233"/>
  </conditionalFormatting>
  <conditionalFormatting sqref="B213:B215">
    <cfRule type="duplicateValues" dxfId="231" priority="230" stopIfTrue="1"/>
  </conditionalFormatting>
  <conditionalFormatting sqref="B215">
    <cfRule type="duplicateValues" dxfId="230" priority="231" stopIfTrue="1"/>
  </conditionalFormatting>
  <conditionalFormatting sqref="B213:B215">
    <cfRule type="duplicateValues" dxfId="229" priority="232" stopIfTrue="1"/>
  </conditionalFormatting>
  <conditionalFormatting sqref="B213:B215">
    <cfRule type="duplicateValues" dxfId="228" priority="229"/>
  </conditionalFormatting>
  <conditionalFormatting sqref="B213:B215">
    <cfRule type="duplicateValues" dxfId="227" priority="228"/>
  </conditionalFormatting>
  <conditionalFormatting sqref="B295:B297">
    <cfRule type="duplicateValues" dxfId="226" priority="225" stopIfTrue="1"/>
  </conditionalFormatting>
  <conditionalFormatting sqref="B297">
    <cfRule type="duplicateValues" dxfId="225" priority="226" stopIfTrue="1"/>
  </conditionalFormatting>
  <conditionalFormatting sqref="B295:B297">
    <cfRule type="duplicateValues" dxfId="224" priority="227" stopIfTrue="1"/>
  </conditionalFormatting>
  <conditionalFormatting sqref="B295:B297">
    <cfRule type="duplicateValues" dxfId="223" priority="224"/>
  </conditionalFormatting>
  <conditionalFormatting sqref="B295:B297">
    <cfRule type="duplicateValues" dxfId="222" priority="223"/>
  </conditionalFormatting>
  <conditionalFormatting sqref="B216:B217 B220">
    <cfRule type="duplicateValues" dxfId="221" priority="220" stopIfTrue="1"/>
  </conditionalFormatting>
  <conditionalFormatting sqref="B220">
    <cfRule type="duplicateValues" dxfId="220" priority="221" stopIfTrue="1"/>
  </conditionalFormatting>
  <conditionalFormatting sqref="B216:B217">
    <cfRule type="duplicateValues" dxfId="219" priority="222" stopIfTrue="1"/>
  </conditionalFormatting>
  <conditionalFormatting sqref="B216:B217 B220">
    <cfRule type="duplicateValues" dxfId="218" priority="219"/>
  </conditionalFormatting>
  <conditionalFormatting sqref="B216:B217">
    <cfRule type="duplicateValues" dxfId="217" priority="218"/>
  </conditionalFormatting>
  <conditionalFormatting sqref="B221:B223">
    <cfRule type="duplicateValues" dxfId="216" priority="215" stopIfTrue="1"/>
  </conditionalFormatting>
  <conditionalFormatting sqref="B223">
    <cfRule type="duplicateValues" dxfId="215" priority="216" stopIfTrue="1"/>
  </conditionalFormatting>
  <conditionalFormatting sqref="B221:B223">
    <cfRule type="duplicateValues" dxfId="214" priority="217" stopIfTrue="1"/>
  </conditionalFormatting>
  <conditionalFormatting sqref="B221:B223">
    <cfRule type="duplicateValues" dxfId="213" priority="214"/>
  </conditionalFormatting>
  <conditionalFormatting sqref="B221:B223">
    <cfRule type="duplicateValues" dxfId="212" priority="213"/>
  </conditionalFormatting>
  <conditionalFormatting sqref="B224:B225 B228">
    <cfRule type="duplicateValues" dxfId="211" priority="210" stopIfTrue="1"/>
  </conditionalFormatting>
  <conditionalFormatting sqref="B228">
    <cfRule type="duplicateValues" dxfId="210" priority="211" stopIfTrue="1"/>
  </conditionalFormatting>
  <conditionalFormatting sqref="B224:B225">
    <cfRule type="duplicateValues" dxfId="209" priority="212" stopIfTrue="1"/>
  </conditionalFormatting>
  <conditionalFormatting sqref="B224:B225 B228">
    <cfRule type="duplicateValues" dxfId="208" priority="209"/>
  </conditionalFormatting>
  <conditionalFormatting sqref="B224:B225">
    <cfRule type="duplicateValues" dxfId="207" priority="208"/>
  </conditionalFormatting>
  <conditionalFormatting sqref="B298:B300">
    <cfRule type="duplicateValues" dxfId="206" priority="205" stopIfTrue="1"/>
  </conditionalFormatting>
  <conditionalFormatting sqref="B300">
    <cfRule type="duplicateValues" dxfId="205" priority="206" stopIfTrue="1"/>
  </conditionalFormatting>
  <conditionalFormatting sqref="B298:B300">
    <cfRule type="duplicateValues" dxfId="204" priority="207" stopIfTrue="1"/>
  </conditionalFormatting>
  <conditionalFormatting sqref="B298:B300">
    <cfRule type="duplicateValues" dxfId="203" priority="204"/>
  </conditionalFormatting>
  <conditionalFormatting sqref="B298:B300">
    <cfRule type="duplicateValues" dxfId="202" priority="203"/>
  </conditionalFormatting>
  <conditionalFormatting sqref="B229:B230 B232">
    <cfRule type="duplicateValues" dxfId="201" priority="200" stopIfTrue="1"/>
  </conditionalFormatting>
  <conditionalFormatting sqref="B232">
    <cfRule type="duplicateValues" dxfId="200" priority="201" stopIfTrue="1"/>
  </conditionalFormatting>
  <conditionalFormatting sqref="B229:B230">
    <cfRule type="duplicateValues" dxfId="199" priority="202" stopIfTrue="1"/>
  </conditionalFormatting>
  <conditionalFormatting sqref="B229:B230 B232">
    <cfRule type="duplicateValues" dxfId="198" priority="199"/>
  </conditionalFormatting>
  <conditionalFormatting sqref="B229:B230">
    <cfRule type="duplicateValues" dxfId="197" priority="198"/>
  </conditionalFormatting>
  <conditionalFormatting sqref="B233:B235">
    <cfRule type="duplicateValues" dxfId="196" priority="195" stopIfTrue="1"/>
  </conditionalFormatting>
  <conditionalFormatting sqref="B235">
    <cfRule type="duplicateValues" dxfId="195" priority="196" stopIfTrue="1"/>
  </conditionalFormatting>
  <conditionalFormatting sqref="B233:B235">
    <cfRule type="duplicateValues" dxfId="194" priority="197" stopIfTrue="1"/>
  </conditionalFormatting>
  <conditionalFormatting sqref="B233:B235">
    <cfRule type="duplicateValues" dxfId="193" priority="194"/>
  </conditionalFormatting>
  <conditionalFormatting sqref="B233:B235">
    <cfRule type="duplicateValues" dxfId="192" priority="193"/>
  </conditionalFormatting>
  <conditionalFormatting sqref="B236:B238">
    <cfRule type="duplicateValues" dxfId="191" priority="190" stopIfTrue="1"/>
  </conditionalFormatting>
  <conditionalFormatting sqref="B238">
    <cfRule type="duplicateValues" dxfId="190" priority="191" stopIfTrue="1"/>
  </conditionalFormatting>
  <conditionalFormatting sqref="B236:B238">
    <cfRule type="duplicateValues" dxfId="189" priority="192" stopIfTrue="1"/>
  </conditionalFormatting>
  <conditionalFormatting sqref="B236:B238">
    <cfRule type="duplicateValues" dxfId="188" priority="189"/>
  </conditionalFormatting>
  <conditionalFormatting sqref="B236:B238">
    <cfRule type="duplicateValues" dxfId="187" priority="188"/>
  </conditionalFormatting>
  <conditionalFormatting sqref="B301:B303">
    <cfRule type="duplicateValues" dxfId="186" priority="185" stopIfTrue="1"/>
  </conditionalFormatting>
  <conditionalFormatting sqref="B303">
    <cfRule type="duplicateValues" dxfId="185" priority="186" stopIfTrue="1"/>
  </conditionalFormatting>
  <conditionalFormatting sqref="B301:B303">
    <cfRule type="duplicateValues" dxfId="184" priority="187" stopIfTrue="1"/>
  </conditionalFormatting>
  <conditionalFormatting sqref="B301:B303">
    <cfRule type="duplicateValues" dxfId="183" priority="184"/>
  </conditionalFormatting>
  <conditionalFormatting sqref="B301:B303">
    <cfRule type="duplicateValues" dxfId="182" priority="183"/>
  </conditionalFormatting>
  <conditionalFormatting sqref="B304:B306">
    <cfRule type="duplicateValues" dxfId="181" priority="180" stopIfTrue="1"/>
  </conditionalFormatting>
  <conditionalFormatting sqref="B306">
    <cfRule type="duplicateValues" dxfId="180" priority="181" stopIfTrue="1"/>
  </conditionalFormatting>
  <conditionalFormatting sqref="B304:B306">
    <cfRule type="duplicateValues" dxfId="179" priority="182" stopIfTrue="1"/>
  </conditionalFormatting>
  <conditionalFormatting sqref="B304:B306">
    <cfRule type="duplicateValues" dxfId="178" priority="179"/>
  </conditionalFormatting>
  <conditionalFormatting sqref="B304:B306">
    <cfRule type="duplicateValues" dxfId="177" priority="178"/>
  </conditionalFormatting>
  <conditionalFormatting sqref="B307:B309">
    <cfRule type="duplicateValues" dxfId="176" priority="175" stopIfTrue="1"/>
  </conditionalFormatting>
  <conditionalFormatting sqref="B309">
    <cfRule type="duplicateValues" dxfId="175" priority="176" stopIfTrue="1"/>
  </conditionalFormatting>
  <conditionalFormatting sqref="B307:B309">
    <cfRule type="duplicateValues" dxfId="174" priority="177" stopIfTrue="1"/>
  </conditionalFormatting>
  <conditionalFormatting sqref="B307:B309">
    <cfRule type="duplicateValues" dxfId="173" priority="174"/>
  </conditionalFormatting>
  <conditionalFormatting sqref="B307:B309">
    <cfRule type="duplicateValues" dxfId="172" priority="173"/>
  </conditionalFormatting>
  <conditionalFormatting sqref="B261:B263">
    <cfRule type="duplicateValues" dxfId="171" priority="170" stopIfTrue="1"/>
  </conditionalFormatting>
  <conditionalFormatting sqref="B263">
    <cfRule type="duplicateValues" dxfId="170" priority="171" stopIfTrue="1"/>
  </conditionalFormatting>
  <conditionalFormatting sqref="B261:B263">
    <cfRule type="duplicateValues" dxfId="169" priority="172" stopIfTrue="1"/>
  </conditionalFormatting>
  <conditionalFormatting sqref="B261:B263">
    <cfRule type="duplicateValues" dxfId="168" priority="169"/>
  </conditionalFormatting>
  <conditionalFormatting sqref="B261:B263">
    <cfRule type="duplicateValues" dxfId="167" priority="168"/>
  </conditionalFormatting>
  <conditionalFormatting sqref="B310:B312">
    <cfRule type="duplicateValues" dxfId="166" priority="165" stopIfTrue="1"/>
  </conditionalFormatting>
  <conditionalFormatting sqref="B312">
    <cfRule type="duplicateValues" dxfId="165" priority="166" stopIfTrue="1"/>
  </conditionalFormatting>
  <conditionalFormatting sqref="B310:B312">
    <cfRule type="duplicateValues" dxfId="164" priority="167" stopIfTrue="1"/>
  </conditionalFormatting>
  <conditionalFormatting sqref="B310:B312">
    <cfRule type="duplicateValues" dxfId="163" priority="164"/>
  </conditionalFormatting>
  <conditionalFormatting sqref="B310:B312">
    <cfRule type="duplicateValues" dxfId="162" priority="163"/>
  </conditionalFormatting>
  <conditionalFormatting sqref="B239:B241">
    <cfRule type="duplicateValues" dxfId="161" priority="160" stopIfTrue="1"/>
  </conditionalFormatting>
  <conditionalFormatting sqref="B241">
    <cfRule type="duplicateValues" dxfId="160" priority="161" stopIfTrue="1"/>
  </conditionalFormatting>
  <conditionalFormatting sqref="B239:B241">
    <cfRule type="duplicateValues" dxfId="159" priority="162" stopIfTrue="1"/>
  </conditionalFormatting>
  <conditionalFormatting sqref="B239:B241">
    <cfRule type="duplicateValues" dxfId="158" priority="159"/>
  </conditionalFormatting>
  <conditionalFormatting sqref="B239:B241">
    <cfRule type="duplicateValues" dxfId="157" priority="158"/>
  </conditionalFormatting>
  <conditionalFormatting sqref="B313:B315">
    <cfRule type="duplicateValues" dxfId="156" priority="155" stopIfTrue="1"/>
  </conditionalFormatting>
  <conditionalFormatting sqref="B315">
    <cfRule type="duplicateValues" dxfId="155" priority="156" stopIfTrue="1"/>
  </conditionalFormatting>
  <conditionalFormatting sqref="B313:B315">
    <cfRule type="duplicateValues" dxfId="154" priority="157" stopIfTrue="1"/>
  </conditionalFormatting>
  <conditionalFormatting sqref="B313:B315">
    <cfRule type="duplicateValues" dxfId="153" priority="154"/>
  </conditionalFormatting>
  <conditionalFormatting sqref="B313:B315">
    <cfRule type="duplicateValues" dxfId="152" priority="153"/>
  </conditionalFormatting>
  <conditionalFormatting sqref="B316:B318">
    <cfRule type="duplicateValues" dxfId="151" priority="150" stopIfTrue="1"/>
  </conditionalFormatting>
  <conditionalFormatting sqref="B318">
    <cfRule type="duplicateValues" dxfId="150" priority="151" stopIfTrue="1"/>
  </conditionalFormatting>
  <conditionalFormatting sqref="B316:B318">
    <cfRule type="duplicateValues" dxfId="149" priority="152" stopIfTrue="1"/>
  </conditionalFormatting>
  <conditionalFormatting sqref="B316:B318">
    <cfRule type="duplicateValues" dxfId="148" priority="149"/>
  </conditionalFormatting>
  <conditionalFormatting sqref="B316:B318">
    <cfRule type="duplicateValues" dxfId="147" priority="148"/>
  </conditionalFormatting>
  <conditionalFormatting sqref="B231">
    <cfRule type="duplicateValues" dxfId="146" priority="145" stopIfTrue="1"/>
  </conditionalFormatting>
  <conditionalFormatting sqref="B231">
    <cfRule type="duplicateValues" dxfId="145" priority="146" stopIfTrue="1"/>
  </conditionalFormatting>
  <conditionalFormatting sqref="B231">
    <cfRule type="duplicateValues" dxfId="144" priority="147" stopIfTrue="1"/>
  </conditionalFormatting>
  <conditionalFormatting sqref="B231">
    <cfRule type="duplicateValues" dxfId="143" priority="144"/>
  </conditionalFormatting>
  <conditionalFormatting sqref="B231">
    <cfRule type="duplicateValues" dxfId="142" priority="143"/>
  </conditionalFormatting>
  <conditionalFormatting sqref="B211">
    <cfRule type="duplicateValues" dxfId="141" priority="140" stopIfTrue="1"/>
  </conditionalFormatting>
  <conditionalFormatting sqref="B211">
    <cfRule type="duplicateValues" dxfId="140" priority="141" stopIfTrue="1"/>
  </conditionalFormatting>
  <conditionalFormatting sqref="B211">
    <cfRule type="duplicateValues" dxfId="139" priority="142" stopIfTrue="1"/>
  </conditionalFormatting>
  <conditionalFormatting sqref="B211">
    <cfRule type="duplicateValues" dxfId="138" priority="139"/>
  </conditionalFormatting>
  <conditionalFormatting sqref="B211">
    <cfRule type="duplicateValues" dxfId="137" priority="138"/>
  </conditionalFormatting>
  <conditionalFormatting sqref="B103:B105">
    <cfRule type="duplicateValues" dxfId="136" priority="135" stopIfTrue="1"/>
  </conditionalFormatting>
  <conditionalFormatting sqref="B105">
    <cfRule type="duplicateValues" dxfId="135" priority="136" stopIfTrue="1"/>
  </conditionalFormatting>
  <conditionalFormatting sqref="B103:B105">
    <cfRule type="duplicateValues" dxfId="134" priority="137" stopIfTrue="1"/>
  </conditionalFormatting>
  <conditionalFormatting sqref="B103:B105">
    <cfRule type="duplicateValues" dxfId="133" priority="134"/>
  </conditionalFormatting>
  <conditionalFormatting sqref="B103:B105">
    <cfRule type="duplicateValues" dxfId="132" priority="133"/>
  </conditionalFormatting>
  <conditionalFormatting sqref="B319:B321">
    <cfRule type="duplicateValues" dxfId="131" priority="130" stopIfTrue="1"/>
  </conditionalFormatting>
  <conditionalFormatting sqref="B321">
    <cfRule type="duplicateValues" dxfId="130" priority="131" stopIfTrue="1"/>
  </conditionalFormatting>
  <conditionalFormatting sqref="B319:B321">
    <cfRule type="duplicateValues" dxfId="129" priority="132" stopIfTrue="1"/>
  </conditionalFormatting>
  <conditionalFormatting sqref="B319:B321">
    <cfRule type="duplicateValues" dxfId="128" priority="129"/>
  </conditionalFormatting>
  <conditionalFormatting sqref="B319:B321">
    <cfRule type="duplicateValues" dxfId="127" priority="128"/>
  </conditionalFormatting>
  <conditionalFormatting sqref="B264:B266">
    <cfRule type="duplicateValues" dxfId="126" priority="125" stopIfTrue="1"/>
  </conditionalFormatting>
  <conditionalFormatting sqref="B266">
    <cfRule type="duplicateValues" dxfId="125" priority="126" stopIfTrue="1"/>
  </conditionalFormatting>
  <conditionalFormatting sqref="B264:B266">
    <cfRule type="duplicateValues" dxfId="124" priority="127" stopIfTrue="1"/>
  </conditionalFormatting>
  <conditionalFormatting sqref="B264:B266">
    <cfRule type="duplicateValues" dxfId="123" priority="124"/>
  </conditionalFormatting>
  <conditionalFormatting sqref="B264:B266">
    <cfRule type="duplicateValues" dxfId="122" priority="123"/>
  </conditionalFormatting>
  <conditionalFormatting sqref="B242:B244">
    <cfRule type="duplicateValues" dxfId="121" priority="120" stopIfTrue="1"/>
  </conditionalFormatting>
  <conditionalFormatting sqref="B244">
    <cfRule type="duplicateValues" dxfId="120" priority="121" stopIfTrue="1"/>
  </conditionalFormatting>
  <conditionalFormatting sqref="B242:B244">
    <cfRule type="duplicateValues" dxfId="119" priority="122" stopIfTrue="1"/>
  </conditionalFormatting>
  <conditionalFormatting sqref="B242:B244">
    <cfRule type="duplicateValues" dxfId="118" priority="119"/>
  </conditionalFormatting>
  <conditionalFormatting sqref="B242:B244">
    <cfRule type="duplicateValues" dxfId="117" priority="118"/>
  </conditionalFormatting>
  <conditionalFormatting sqref="B322:B324">
    <cfRule type="duplicateValues" dxfId="116" priority="115" stopIfTrue="1"/>
  </conditionalFormatting>
  <conditionalFormatting sqref="B324">
    <cfRule type="duplicateValues" dxfId="115" priority="116" stopIfTrue="1"/>
  </conditionalFormatting>
  <conditionalFormatting sqref="B322:B324">
    <cfRule type="duplicateValues" dxfId="114" priority="117" stopIfTrue="1"/>
  </conditionalFormatting>
  <conditionalFormatting sqref="B322:B324">
    <cfRule type="duplicateValues" dxfId="113" priority="114"/>
  </conditionalFormatting>
  <conditionalFormatting sqref="B322:B324">
    <cfRule type="duplicateValues" dxfId="112" priority="113"/>
  </conditionalFormatting>
  <conditionalFormatting sqref="B325:B327">
    <cfRule type="duplicateValues" dxfId="111" priority="110" stopIfTrue="1"/>
  </conditionalFormatting>
  <conditionalFormatting sqref="B327">
    <cfRule type="duplicateValues" dxfId="110" priority="111" stopIfTrue="1"/>
  </conditionalFormatting>
  <conditionalFormatting sqref="B325:B327">
    <cfRule type="duplicateValues" dxfId="109" priority="112" stopIfTrue="1"/>
  </conditionalFormatting>
  <conditionalFormatting sqref="B325:B327">
    <cfRule type="duplicateValues" dxfId="108" priority="109"/>
  </conditionalFormatting>
  <conditionalFormatting sqref="B325:B327">
    <cfRule type="duplicateValues" dxfId="107" priority="108"/>
  </conditionalFormatting>
  <conditionalFormatting sqref="B218">
    <cfRule type="duplicateValues" dxfId="106" priority="105" stopIfTrue="1"/>
  </conditionalFormatting>
  <conditionalFormatting sqref="B218">
    <cfRule type="duplicateValues" dxfId="105" priority="106" stopIfTrue="1"/>
  </conditionalFormatting>
  <conditionalFormatting sqref="B218">
    <cfRule type="duplicateValues" dxfId="104" priority="107" stopIfTrue="1"/>
  </conditionalFormatting>
  <conditionalFormatting sqref="B218">
    <cfRule type="duplicateValues" dxfId="103" priority="104"/>
  </conditionalFormatting>
  <conditionalFormatting sqref="B218">
    <cfRule type="duplicateValues" dxfId="102" priority="103"/>
  </conditionalFormatting>
  <conditionalFormatting sqref="B226">
    <cfRule type="duplicateValues" dxfId="101" priority="100" stopIfTrue="1"/>
  </conditionalFormatting>
  <conditionalFormatting sqref="B226">
    <cfRule type="duplicateValues" dxfId="100" priority="101" stopIfTrue="1"/>
  </conditionalFormatting>
  <conditionalFormatting sqref="B226">
    <cfRule type="duplicateValues" dxfId="99" priority="102" stopIfTrue="1"/>
  </conditionalFormatting>
  <conditionalFormatting sqref="B226">
    <cfRule type="duplicateValues" dxfId="98" priority="99"/>
  </conditionalFormatting>
  <conditionalFormatting sqref="B226">
    <cfRule type="duplicateValues" dxfId="97" priority="98"/>
  </conditionalFormatting>
  <conditionalFormatting sqref="B245:B247">
    <cfRule type="duplicateValues" dxfId="96" priority="95" stopIfTrue="1"/>
  </conditionalFormatting>
  <conditionalFormatting sqref="B247">
    <cfRule type="duplicateValues" dxfId="95" priority="96" stopIfTrue="1"/>
  </conditionalFormatting>
  <conditionalFormatting sqref="B245:B247">
    <cfRule type="duplicateValues" dxfId="94" priority="97" stopIfTrue="1"/>
  </conditionalFormatting>
  <conditionalFormatting sqref="B245:B247">
    <cfRule type="duplicateValues" dxfId="93" priority="94"/>
  </conditionalFormatting>
  <conditionalFormatting sqref="B245:B247">
    <cfRule type="duplicateValues" dxfId="92" priority="93"/>
  </conditionalFormatting>
  <conditionalFormatting sqref="B328:B330">
    <cfRule type="duplicateValues" dxfId="91" priority="90" stopIfTrue="1"/>
  </conditionalFormatting>
  <conditionalFormatting sqref="B330">
    <cfRule type="duplicateValues" dxfId="90" priority="91" stopIfTrue="1"/>
  </conditionalFormatting>
  <conditionalFormatting sqref="B328:B330">
    <cfRule type="duplicateValues" dxfId="89" priority="92" stopIfTrue="1"/>
  </conditionalFormatting>
  <conditionalFormatting sqref="B328:B330">
    <cfRule type="duplicateValues" dxfId="88" priority="89"/>
  </conditionalFormatting>
  <conditionalFormatting sqref="B328:B330">
    <cfRule type="duplicateValues" dxfId="87" priority="88"/>
  </conditionalFormatting>
  <conditionalFormatting sqref="B331:B333">
    <cfRule type="duplicateValues" dxfId="86" priority="85" stopIfTrue="1"/>
  </conditionalFormatting>
  <conditionalFormatting sqref="B333">
    <cfRule type="duplicateValues" dxfId="85" priority="86" stopIfTrue="1"/>
  </conditionalFormatting>
  <conditionalFormatting sqref="B331:B333">
    <cfRule type="duplicateValues" dxfId="84" priority="87" stopIfTrue="1"/>
  </conditionalFormatting>
  <conditionalFormatting sqref="B331:B333">
    <cfRule type="duplicateValues" dxfId="83" priority="84"/>
  </conditionalFormatting>
  <conditionalFormatting sqref="B331:B333">
    <cfRule type="duplicateValues" dxfId="82" priority="83"/>
  </conditionalFormatting>
  <conditionalFormatting sqref="B45">
    <cfRule type="duplicateValues" dxfId="81" priority="81" stopIfTrue="1"/>
  </conditionalFormatting>
  <conditionalFormatting sqref="B45">
    <cfRule type="duplicateValues" dxfId="80" priority="82" stopIfTrue="1"/>
  </conditionalFormatting>
  <conditionalFormatting sqref="B45">
    <cfRule type="duplicateValues" dxfId="79" priority="80"/>
  </conditionalFormatting>
  <conditionalFormatting sqref="B45">
    <cfRule type="duplicateValues" dxfId="78" priority="79"/>
  </conditionalFormatting>
  <conditionalFormatting sqref="B267:B269">
    <cfRule type="duplicateValues" dxfId="77" priority="76" stopIfTrue="1"/>
  </conditionalFormatting>
  <conditionalFormatting sqref="B269">
    <cfRule type="duplicateValues" dxfId="76" priority="77" stopIfTrue="1"/>
  </conditionalFormatting>
  <conditionalFormatting sqref="B267:B269">
    <cfRule type="duplicateValues" dxfId="75" priority="78" stopIfTrue="1"/>
  </conditionalFormatting>
  <conditionalFormatting sqref="B267:B269">
    <cfRule type="duplicateValues" dxfId="74" priority="75"/>
  </conditionalFormatting>
  <conditionalFormatting sqref="B267:B269">
    <cfRule type="duplicateValues" dxfId="73" priority="74"/>
  </conditionalFormatting>
  <conditionalFormatting sqref="B270:B272">
    <cfRule type="duplicateValues" dxfId="72" priority="71" stopIfTrue="1"/>
  </conditionalFormatting>
  <conditionalFormatting sqref="B272">
    <cfRule type="duplicateValues" dxfId="71" priority="72" stopIfTrue="1"/>
  </conditionalFormatting>
  <conditionalFormatting sqref="B270:B272">
    <cfRule type="duplicateValues" dxfId="70" priority="73" stopIfTrue="1"/>
  </conditionalFormatting>
  <conditionalFormatting sqref="B270:B272">
    <cfRule type="duplicateValues" dxfId="69" priority="70"/>
  </conditionalFormatting>
  <conditionalFormatting sqref="B270:B272">
    <cfRule type="duplicateValues" dxfId="68" priority="69"/>
  </conditionalFormatting>
  <conditionalFormatting sqref="B334:B336">
    <cfRule type="duplicateValues" dxfId="67" priority="66" stopIfTrue="1"/>
  </conditionalFormatting>
  <conditionalFormatting sqref="B336">
    <cfRule type="duplicateValues" dxfId="66" priority="67" stopIfTrue="1"/>
  </conditionalFormatting>
  <conditionalFormatting sqref="B334:B336">
    <cfRule type="duplicateValues" dxfId="65" priority="68" stopIfTrue="1"/>
  </conditionalFormatting>
  <conditionalFormatting sqref="B334:B336">
    <cfRule type="duplicateValues" dxfId="64" priority="65"/>
  </conditionalFormatting>
  <conditionalFormatting sqref="B334:B336">
    <cfRule type="duplicateValues" dxfId="63" priority="64"/>
  </conditionalFormatting>
  <conditionalFormatting sqref="B337:B339">
    <cfRule type="duplicateValues" dxfId="62" priority="61" stopIfTrue="1"/>
  </conditionalFormatting>
  <conditionalFormatting sqref="B339">
    <cfRule type="duplicateValues" dxfId="61" priority="62" stopIfTrue="1"/>
  </conditionalFormatting>
  <conditionalFormatting sqref="B337:B339">
    <cfRule type="duplicateValues" dxfId="60" priority="63" stopIfTrue="1"/>
  </conditionalFormatting>
  <conditionalFormatting sqref="B337:B339">
    <cfRule type="duplicateValues" dxfId="59" priority="60"/>
  </conditionalFormatting>
  <conditionalFormatting sqref="B337:B339">
    <cfRule type="duplicateValues" dxfId="58" priority="59"/>
  </conditionalFormatting>
  <conditionalFormatting sqref="B340:B342">
    <cfRule type="duplicateValues" dxfId="57" priority="56" stopIfTrue="1"/>
  </conditionalFormatting>
  <conditionalFormatting sqref="B342">
    <cfRule type="duplicateValues" dxfId="56" priority="57" stopIfTrue="1"/>
  </conditionalFormatting>
  <conditionalFormatting sqref="B340:B342">
    <cfRule type="duplicateValues" dxfId="55" priority="58" stopIfTrue="1"/>
  </conditionalFormatting>
  <conditionalFormatting sqref="B340:B342">
    <cfRule type="duplicateValues" dxfId="54" priority="55"/>
  </conditionalFormatting>
  <conditionalFormatting sqref="B340:B342">
    <cfRule type="duplicateValues" dxfId="53" priority="54"/>
  </conditionalFormatting>
  <conditionalFormatting sqref="B46">
    <cfRule type="duplicateValues" dxfId="52" priority="52" stopIfTrue="1"/>
  </conditionalFormatting>
  <conditionalFormatting sqref="B46">
    <cfRule type="duplicateValues" dxfId="51" priority="53" stopIfTrue="1"/>
  </conditionalFormatting>
  <conditionalFormatting sqref="B46">
    <cfRule type="duplicateValues" dxfId="50" priority="51"/>
  </conditionalFormatting>
  <conditionalFormatting sqref="B46">
    <cfRule type="duplicateValues" dxfId="49" priority="50"/>
  </conditionalFormatting>
  <conditionalFormatting sqref="B219">
    <cfRule type="duplicateValues" dxfId="48" priority="48" stopIfTrue="1"/>
  </conditionalFormatting>
  <conditionalFormatting sqref="B219">
    <cfRule type="duplicateValues" dxfId="47" priority="49" stopIfTrue="1"/>
  </conditionalFormatting>
  <conditionalFormatting sqref="B219">
    <cfRule type="duplicateValues" dxfId="46" priority="47"/>
  </conditionalFormatting>
  <conditionalFormatting sqref="B343:B345">
    <cfRule type="duplicateValues" dxfId="45" priority="44" stopIfTrue="1"/>
  </conditionalFormatting>
  <conditionalFormatting sqref="B345">
    <cfRule type="duplicateValues" dxfId="44" priority="45" stopIfTrue="1"/>
  </conditionalFormatting>
  <conditionalFormatting sqref="B343:B345">
    <cfRule type="duplicateValues" dxfId="43" priority="46" stopIfTrue="1"/>
  </conditionalFormatting>
  <conditionalFormatting sqref="B343:B345">
    <cfRule type="duplicateValues" dxfId="42" priority="43"/>
  </conditionalFormatting>
  <conditionalFormatting sqref="B343:B345">
    <cfRule type="duplicateValues" dxfId="41" priority="42"/>
  </conditionalFormatting>
  <conditionalFormatting sqref="B346:B348">
    <cfRule type="duplicateValues" dxfId="40" priority="39" stopIfTrue="1"/>
  </conditionalFormatting>
  <conditionalFormatting sqref="B348">
    <cfRule type="duplicateValues" dxfId="39" priority="40" stopIfTrue="1"/>
  </conditionalFormatting>
  <conditionalFormatting sqref="B346:B348">
    <cfRule type="duplicateValues" dxfId="38" priority="41" stopIfTrue="1"/>
  </conditionalFormatting>
  <conditionalFormatting sqref="B346:B348">
    <cfRule type="duplicateValues" dxfId="37" priority="38"/>
  </conditionalFormatting>
  <conditionalFormatting sqref="B346:B348">
    <cfRule type="duplicateValues" dxfId="36" priority="37"/>
  </conditionalFormatting>
  <conditionalFormatting sqref="B349:B351">
    <cfRule type="duplicateValues" dxfId="35" priority="34" stopIfTrue="1"/>
  </conditionalFormatting>
  <conditionalFormatting sqref="B351">
    <cfRule type="duplicateValues" dxfId="34" priority="35" stopIfTrue="1"/>
  </conditionalFormatting>
  <conditionalFormatting sqref="B349:B351">
    <cfRule type="duplicateValues" dxfId="33" priority="36" stopIfTrue="1"/>
  </conditionalFormatting>
  <conditionalFormatting sqref="B349:B351">
    <cfRule type="duplicateValues" dxfId="32" priority="33"/>
  </conditionalFormatting>
  <conditionalFormatting sqref="B349:B351">
    <cfRule type="duplicateValues" dxfId="31" priority="32"/>
  </conditionalFormatting>
  <conditionalFormatting sqref="B47">
    <cfRule type="duplicateValues" dxfId="30" priority="30" stopIfTrue="1"/>
  </conditionalFormatting>
  <conditionalFormatting sqref="B47">
    <cfRule type="duplicateValues" dxfId="29" priority="31" stopIfTrue="1"/>
  </conditionalFormatting>
  <conditionalFormatting sqref="B47">
    <cfRule type="duplicateValues" dxfId="28" priority="29"/>
  </conditionalFormatting>
  <conditionalFormatting sqref="B47">
    <cfRule type="duplicateValues" dxfId="27" priority="28"/>
  </conditionalFormatting>
  <conditionalFormatting sqref="B227">
    <cfRule type="duplicateValues" dxfId="26" priority="26" stopIfTrue="1"/>
  </conditionalFormatting>
  <conditionalFormatting sqref="B227">
    <cfRule type="duplicateValues" dxfId="25" priority="27" stopIfTrue="1"/>
  </conditionalFormatting>
  <conditionalFormatting sqref="B227">
    <cfRule type="duplicateValues" dxfId="24" priority="25"/>
  </conditionalFormatting>
  <conditionalFormatting sqref="B170">
    <cfRule type="duplicateValues" dxfId="23" priority="22" stopIfTrue="1"/>
  </conditionalFormatting>
  <conditionalFormatting sqref="B170">
    <cfRule type="duplicateValues" dxfId="22" priority="23" stopIfTrue="1"/>
  </conditionalFormatting>
  <conditionalFormatting sqref="B170">
    <cfRule type="duplicateValues" dxfId="21" priority="24" stopIfTrue="1"/>
  </conditionalFormatting>
  <conditionalFormatting sqref="B170">
    <cfRule type="duplicateValues" dxfId="20" priority="21"/>
  </conditionalFormatting>
  <conditionalFormatting sqref="B170">
    <cfRule type="duplicateValues" dxfId="19" priority="20"/>
  </conditionalFormatting>
  <conditionalFormatting sqref="B171">
    <cfRule type="duplicateValues" dxfId="18" priority="18" stopIfTrue="1"/>
  </conditionalFormatting>
  <conditionalFormatting sqref="B171">
    <cfRule type="duplicateValues" dxfId="17" priority="19" stopIfTrue="1"/>
  </conditionalFormatting>
  <conditionalFormatting sqref="B171">
    <cfRule type="duplicateValues" dxfId="16" priority="17"/>
  </conditionalFormatting>
  <conditionalFormatting sqref="B171">
    <cfRule type="duplicateValues" dxfId="15" priority="16"/>
  </conditionalFormatting>
  <conditionalFormatting sqref="B106:B108">
    <cfRule type="duplicateValues" dxfId="14" priority="13" stopIfTrue="1"/>
  </conditionalFormatting>
  <conditionalFormatting sqref="B108">
    <cfRule type="duplicateValues" dxfId="13" priority="14" stopIfTrue="1"/>
  </conditionalFormatting>
  <conditionalFormatting sqref="B106:B108">
    <cfRule type="duplicateValues" dxfId="12" priority="15" stopIfTrue="1"/>
  </conditionalFormatting>
  <conditionalFormatting sqref="B106:B108">
    <cfRule type="duplicateValues" dxfId="11" priority="12"/>
  </conditionalFormatting>
  <conditionalFormatting sqref="B106:B108">
    <cfRule type="duplicateValues" dxfId="10" priority="11"/>
  </conditionalFormatting>
  <conditionalFormatting sqref="B194:B196">
    <cfRule type="duplicateValues" dxfId="9" priority="8" stopIfTrue="1"/>
  </conditionalFormatting>
  <conditionalFormatting sqref="B196">
    <cfRule type="duplicateValues" dxfId="8" priority="9" stopIfTrue="1"/>
  </conditionalFormatting>
  <conditionalFormatting sqref="B194:B196">
    <cfRule type="duplicateValues" dxfId="7" priority="10" stopIfTrue="1"/>
  </conditionalFormatting>
  <conditionalFormatting sqref="B194:B196">
    <cfRule type="duplicateValues" dxfId="6" priority="7"/>
  </conditionalFormatting>
  <conditionalFormatting sqref="B194:B196">
    <cfRule type="duplicateValues" dxfId="5" priority="6"/>
  </conditionalFormatting>
  <conditionalFormatting sqref="B248:B250">
    <cfRule type="duplicateValues" dxfId="4" priority="3" stopIfTrue="1"/>
  </conditionalFormatting>
  <conditionalFormatting sqref="B250">
    <cfRule type="duplicateValues" dxfId="3" priority="4" stopIfTrue="1"/>
  </conditionalFormatting>
  <conditionalFormatting sqref="B248:B250">
    <cfRule type="duplicateValues" dxfId="2" priority="5" stopIfTrue="1"/>
  </conditionalFormatting>
  <conditionalFormatting sqref="B248:B250">
    <cfRule type="duplicateValues" dxfId="1" priority="2"/>
  </conditionalFormatting>
  <conditionalFormatting sqref="B248:B250">
    <cfRule type="duplicateValues" dxfId="0" priority="1"/>
  </conditionalFormatting>
  <printOptions horizontalCentered="1"/>
  <pageMargins left="0.25" right="0.25" top="0.25" bottom="0.5" header="0.25" footer="0.2"/>
  <pageSetup paperSize="8" scale="57" orientation="landscape" r:id="rId1"/>
  <headerFooter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List</vt:lpstr>
      <vt:lpstr>Dashboard</vt:lpstr>
      <vt:lpstr>JEL DCR</vt:lpstr>
      <vt:lpstr>'JEL DCR'!Print_Area</vt:lpstr>
      <vt:lpstr>'JEL DCR'!Print_Titles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sushil</dc:creator>
  <cp:lastModifiedBy>Jarvis</cp:lastModifiedBy>
  <cp:lastPrinted>2018-10-10T03:46:38Z</cp:lastPrinted>
  <dcterms:created xsi:type="dcterms:W3CDTF">2010-01-13T10:05:58Z</dcterms:created>
  <dcterms:modified xsi:type="dcterms:W3CDTF">2019-12-12T15:46:02Z</dcterms:modified>
</cp:coreProperties>
</file>